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46320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46320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46320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46320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46320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46320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46320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46320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46320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46320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46320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46320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46320</v>
      </c>
      <c r="F18" t="inlineStr">
        <is>
          <t>DALARNAS LÄN</t>
        </is>
      </c>
      <c r="G18" t="inlineStr">
        <is>
          <t>VANSBRO</t>
        </is>
      </c>
      <c r="I18" t="n">
        <v>13.9</v>
      </c>
      <c r="J18" t="n">
        <v>1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27</v>
      </c>
      <c r="U18" t="n">
        <v>0</v>
      </c>
      <c r="V18" s="2" t="inlineStr">
        <is>
          <t>Garnlav
Kolflarnlav
Mörk kolflarnlav
Rynkskinn
Mindre märgborre
Tjäder</t>
        </is>
      </c>
      <c r="W18">
        <f>HYPERLINK("https://klasma.github.io/Logging_2021/artfynd/A 6671-2026 artfynd.xlsx", "A 6671-2026")</f>
        <v/>
      </c>
      <c r="X18">
        <f>HYPERLINK("https://klasma.github.io/Logging_2021/kartor/A 6671-2026 karta.png", "A 6671-2026")</f>
        <v/>
      </c>
      <c r="Y18">
        <f>HYPERLINK("https://klasma.github.io/Logging_2021/kartor_geotiff/A 6671-2026 georefererad karta.tif", "A 6671-2026")</f>
        <v/>
      </c>
      <c r="AA18">
        <f>HYPERLINK("https://klasma.github.io/Logging_2021/klagomål/A 6671-2026 FSC-klagomål.docx", "A 6671-2026")</f>
        <v/>
      </c>
      <c r="AB18">
        <f>HYPERLINK("https://klasma.github.io/Logging_2021/klagomålsmail/A 6671-2026 FSC-klagomål mail.docx", "A 6671-2026")</f>
        <v/>
      </c>
      <c r="AC18">
        <f>HYPERLINK("https://klasma.github.io/Logging_2021/tillsyn/A 6671-2026 tillsynsbegäran.docx", "A 6671-2026")</f>
        <v/>
      </c>
      <c r="AD18">
        <f>HYPERLINK("https://klasma.github.io/Logging_2021/tillsynsmail/A 6671-2026 tillsynsbegäran mail.docx", "A 6671-2026")</f>
        <v/>
      </c>
      <c r="AE18">
        <f>HYPERLINK("https://klasma.github.io/Logging_2021/fåglar/A 6671-2026 prioriterade fågelarter.docx", "A 6671-2026")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46320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46320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46320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46320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46320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33003-2025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46320</v>
      </c>
      <c r="F24" t="inlineStr">
        <is>
          <t>DALARNAS LÄN</t>
        </is>
      </c>
      <c r="G24" t="inlineStr">
        <is>
          <t>VANSBRO</t>
        </is>
      </c>
      <c r="I24" t="n">
        <v>2.3</v>
      </c>
      <c r="J24" t="n">
        <v>2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12</v>
      </c>
      <c r="U24" t="n">
        <v>12</v>
      </c>
      <c r="V24" s="2" t="inlineStr">
        <is>
          <t>Garnlav
Knärot
Kolflarnlav
Tretåig hackspett</t>
        </is>
      </c>
      <c r="W24">
        <f>HYPERLINK("https://klasma.github.io/Logging_2021/artfynd/A 33003-2025 artfynd.xlsx", "A 33003-2025")</f>
        <v/>
      </c>
      <c r="X24">
        <f>HYPERLINK("https://klasma.github.io/Logging_2021/kartor/A 33003-2025 karta.png", "A 33003-2025")</f>
        <v/>
      </c>
      <c r="Y24">
        <f>HYPERLINK("https://klasma.github.io/Logging_2021/kartor_geotiff/A 33003-2025 georefererad karta.tif", "A 33003-2025")</f>
        <v/>
      </c>
      <c r="Z24">
        <f>HYPERLINK("https://klasma.github.io/Logging_2021/knärot/A 33003-2025 karta knärot.png", "A 33003-2025")</f>
        <v/>
      </c>
      <c r="AA24">
        <f>HYPERLINK("https://klasma.github.io/Logging_2021/klagomål/A 33003-2025 FSC-klagomål.docx", "A 33003-2025")</f>
        <v/>
      </c>
      <c r="AB24">
        <f>HYPERLINK("https://klasma.github.io/Logging_2021/klagomålsmail/A 33003-2025 FSC-klagomål mail.docx", "A 33003-2025")</f>
        <v/>
      </c>
      <c r="AC24">
        <f>HYPERLINK("https://klasma.github.io/Logging_2021/tillsyn/A 33003-2025 tillsynsbegäran.docx", "A 33003-2025")</f>
        <v/>
      </c>
      <c r="AD24">
        <f>HYPERLINK("https://klasma.github.io/Logging_2021/tillsynsmail/A 33003-2025 tillsynsbegäran mail.docx", "A 33003-2025")</f>
        <v/>
      </c>
      <c r="AE24">
        <f>HYPERLINK("https://klasma.github.io/Logging_2021/fåglar/A 33003-2025 prioriterade fågelarter.docx", "A 33003-2025")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46320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46320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46320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46320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41377-2026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46301</v>
      </c>
      <c r="E29" s="1" t="n">
        <v>46320</v>
      </c>
      <c r="F29" t="inlineStr">
        <is>
          <t>DALARNAS LÄN</t>
        </is>
      </c>
      <c r="G29" t="inlineStr">
        <is>
          <t>VANSBRO</t>
        </is>
      </c>
      <c r="I29" t="n">
        <v>0.6</v>
      </c>
      <c r="J29" t="n">
        <v>1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4</v>
      </c>
      <c r="U29" t="n">
        <v>0</v>
      </c>
      <c r="V29" s="2" t="inlineStr">
        <is>
          <t>Garnlav
Knärot
Ullticka</t>
        </is>
      </c>
      <c r="W29">
        <f>HYPERLINK("https://klasma.github.io/Logging_2021/artfynd/A 41377-2026 artfynd.xlsx", "A 41377-2026")</f>
        <v/>
      </c>
      <c r="X29">
        <f>HYPERLINK("https://klasma.github.io/Logging_2021/kartor/A 41377-2026 karta.png", "A 41377-2026")</f>
        <v/>
      </c>
      <c r="Y29">
        <f>HYPERLINK("https://klasma.github.io/Logging_2021/kartor_geotiff/A 41377-2026 georefererad karta.tif", "A 41377-2026")</f>
        <v/>
      </c>
      <c r="Z29">
        <f>HYPERLINK("https://klasma.github.io/Logging_2021/knärot/A 41377-2026 karta knärot.png", "A 41377-2026")</f>
        <v/>
      </c>
      <c r="AA29">
        <f>HYPERLINK("https://klasma.github.io/Logging_2021/klagomål/A 41377-2026 FSC-klagomål.docx", "A 41377-2026")</f>
        <v/>
      </c>
      <c r="AB29">
        <f>HYPERLINK("https://klasma.github.io/Logging_2021/klagomålsmail/A 41377-2026 FSC-klagomål mail.docx", "A 41377-2026")</f>
        <v/>
      </c>
      <c r="AC29">
        <f>HYPERLINK("https://klasma.github.io/Logging_2021/tillsyn/A 41377-2026 tillsynsbegäran.docx", "A 41377-2026")</f>
        <v/>
      </c>
      <c r="AD29">
        <f>HYPERLINK("https://klasma.github.io/Logging_2021/tillsynsmail/A 41377-2026 tillsynsbegäran mail.docx", "A 41377-2026")</f>
        <v/>
      </c>
    </row>
    <row r="30" ht="15" customHeight="1">
      <c r="A30" t="inlineStr">
        <is>
          <t>A 41690-2026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46302</v>
      </c>
      <c r="E30" s="1" t="n">
        <v>46320</v>
      </c>
      <c r="F30" t="inlineStr">
        <is>
          <t>DALARNAS LÄN</t>
        </is>
      </c>
      <c r="G30" t="inlineStr">
        <is>
          <t>VANSBRO</t>
        </is>
      </c>
      <c r="I30" t="n">
        <v>2.4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Drillsnäppa
Ullticka
Älg</t>
        </is>
      </c>
      <c r="W30">
        <f>HYPERLINK("https://klasma.github.io/Logging_2021/artfynd/A 41690-2026 artfynd.xlsx", "A 41690-2026")</f>
        <v/>
      </c>
      <c r="X30">
        <f>HYPERLINK("https://klasma.github.io/Logging_2021/kartor/A 41690-2026 karta.png", "A 41690-2026")</f>
        <v/>
      </c>
      <c r="Y30">
        <f>HYPERLINK("https://klasma.github.io/Logging_2021/kartor_geotiff/A 41690-2026 georefererad karta.tif", "A 41690-2026")</f>
        <v/>
      </c>
      <c r="AA30">
        <f>HYPERLINK("https://klasma.github.io/Logging_2021/klagomål/A 41690-2026 FSC-klagomål.docx", "A 41690-2026")</f>
        <v/>
      </c>
      <c r="AB30">
        <f>HYPERLINK("https://klasma.github.io/Logging_2021/klagomålsmail/A 41690-2026 FSC-klagomål mail.docx", "A 41690-2026")</f>
        <v/>
      </c>
      <c r="AC30">
        <f>HYPERLINK("https://klasma.github.io/Logging_2021/tillsyn/A 41690-2026 tillsynsbegäran.docx", "A 41690-2026")</f>
        <v/>
      </c>
      <c r="AD30">
        <f>HYPERLINK("https://klasma.github.io/Logging_2021/tillsynsmail/A 41690-2026 tillsynsbegäran mail.docx", "A 41690-2026")</f>
        <v/>
      </c>
      <c r="AE30">
        <f>HYPERLINK("https://klasma.github.io/Logging_2021/fåglar/A 41690-2026 prioriterade fågelarter.docx", "A 41690-2026")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46320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16725-2024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45409</v>
      </c>
      <c r="E32" s="1" t="n">
        <v>46320</v>
      </c>
      <c r="F32" t="inlineStr">
        <is>
          <t>DALARNAS LÄN</t>
        </is>
      </c>
      <c r="G32" t="inlineStr">
        <is>
          <t>VANSBRO</t>
        </is>
      </c>
      <c r="I32" t="n">
        <v>3.1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Skuggblåslav
Bollvitmossa</t>
        </is>
      </c>
      <c r="W32">
        <f>HYPERLINK("https://klasma.github.io/Logging_2021/artfynd/A 16725-2024 artfynd.xlsx", "A 16725-2024")</f>
        <v/>
      </c>
      <c r="X32">
        <f>HYPERLINK("https://klasma.github.io/Logging_2021/kartor/A 16725-2024 karta.png", "A 16725-2024")</f>
        <v/>
      </c>
      <c r="Y32">
        <f>HYPERLINK("https://klasma.github.io/Logging_2021/kartor_geotiff/A 16725-2024 georefererad karta.tif", "A 16725-2024")</f>
        <v/>
      </c>
      <c r="AA32">
        <f>HYPERLINK("https://klasma.github.io/Logging_2021/klagomål/A 16725-2024 FSC-klagomål.docx", "A 16725-2024")</f>
        <v/>
      </c>
      <c r="AB32">
        <f>HYPERLINK("https://klasma.github.io/Logging_2021/klagomålsmail/A 16725-2024 FSC-klagomål mail.docx", "A 16725-2024")</f>
        <v/>
      </c>
      <c r="AC32">
        <f>HYPERLINK("https://klasma.github.io/Logging_2021/tillsyn/A 16725-2024 tillsynsbegäran.docx", "A 16725-2024")</f>
        <v/>
      </c>
      <c r="AD32">
        <f>HYPERLINK("https://klasma.github.io/Logging_2021/tillsynsmail/A 16725-2024 tillsynsbegäran mail.docx", "A 16725-2024")</f>
        <v/>
      </c>
    </row>
    <row r="33" ht="15" customHeight="1">
      <c r="A33" t="inlineStr">
        <is>
          <t>A 11433-2025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45726</v>
      </c>
      <c r="E33" s="1" t="n">
        <v>46320</v>
      </c>
      <c r="F33" t="inlineStr">
        <is>
          <t>DALARNAS LÄN</t>
        </is>
      </c>
      <c r="G33" t="inlineStr">
        <is>
          <t>VANSBRO</t>
        </is>
      </c>
      <c r="I33" t="n">
        <v>7.5</v>
      </c>
      <c r="J33" t="n">
        <v>1</v>
      </c>
      <c r="K33" t="n">
        <v>1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24</v>
      </c>
      <c r="U33" t="n">
        <v>24</v>
      </c>
      <c r="V33" s="2" t="inlineStr">
        <is>
          <t>Garnlav
Knärot
Bollvitmossa</t>
        </is>
      </c>
      <c r="W33">
        <f>HYPERLINK("https://klasma.github.io/Logging_2021/artfynd/A 11433-2025 artfynd.xlsx", "A 11433-2025")</f>
        <v/>
      </c>
      <c r="X33">
        <f>HYPERLINK("https://klasma.github.io/Logging_2021/kartor/A 11433-2025 karta.png", "A 11433-2025")</f>
        <v/>
      </c>
      <c r="Y33">
        <f>HYPERLINK("https://klasma.github.io/Logging_2021/kartor_geotiff/A 11433-2025 georefererad karta.tif", "A 11433-2025")</f>
        <v/>
      </c>
      <c r="Z33">
        <f>HYPERLINK("https://klasma.github.io/Logging_2021/knärot/A 11433-2025 karta knärot.png", "A 11433-2025")</f>
        <v/>
      </c>
      <c r="AA33">
        <f>HYPERLINK("https://klasma.github.io/Logging_2021/klagomål/A 11433-2025 FSC-klagomål.docx", "A 11433-2025")</f>
        <v/>
      </c>
      <c r="AB33">
        <f>HYPERLINK("https://klasma.github.io/Logging_2021/klagomålsmail/A 11433-2025 FSC-klagomål mail.docx", "A 11433-2025")</f>
        <v/>
      </c>
      <c r="AC33">
        <f>HYPERLINK("https://klasma.github.io/Logging_2021/tillsyn/A 11433-2025 tillsynsbegäran.docx", "A 11433-2025")</f>
        <v/>
      </c>
      <c r="AD33">
        <f>HYPERLINK("https://klasma.github.io/Logging_2021/tillsynsmail/A 11433-2025 tillsynsbegäran mail.docx", "A 11433-2025")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46320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46320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46320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46320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46320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43753-2026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46316</v>
      </c>
      <c r="E39" s="1" t="n">
        <v>46320</v>
      </c>
      <c r="F39" t="inlineStr">
        <is>
          <t>DALARNAS LÄN</t>
        </is>
      </c>
      <c r="G39" t="inlineStr">
        <is>
          <t>VANSBRO</t>
        </is>
      </c>
      <c r="I39" t="n">
        <v>2.7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Kungsfågel</t>
        </is>
      </c>
      <c r="W39">
        <f>HYPERLINK("https://klasma.github.io/Logging_2021/artfynd/A 43753-2026 artfynd.xlsx", "A 43753-2026")</f>
        <v/>
      </c>
      <c r="X39">
        <f>HYPERLINK("https://klasma.github.io/Logging_2021/kartor/A 43753-2026 karta.png", "A 43753-2026")</f>
        <v/>
      </c>
      <c r="Y39">
        <f>HYPERLINK("https://klasma.github.io/Logging_2021/kartor_geotiff/A 43753-2026 georefererad karta.tif", "A 43753-2026")</f>
        <v/>
      </c>
      <c r="Z39">
        <f>HYPERLINK("https://klasma.github.io/Logging_2021/knärot/A 43753-2026 karta knärot.png", "A 43753-2026")</f>
        <v/>
      </c>
      <c r="AA39">
        <f>HYPERLINK("https://klasma.github.io/Logging_2021/klagomål/A 43753-2026 FSC-klagomål.docx", "A 43753-2026")</f>
        <v/>
      </c>
      <c r="AB39">
        <f>HYPERLINK("https://klasma.github.io/Logging_2021/klagomålsmail/A 43753-2026 FSC-klagomål mail.docx", "A 43753-2026")</f>
        <v/>
      </c>
      <c r="AC39">
        <f>HYPERLINK("https://klasma.github.io/Logging_2021/tillsyn/A 43753-2026 tillsynsbegäran.docx", "A 43753-2026")</f>
        <v/>
      </c>
      <c r="AD39">
        <f>HYPERLINK("https://klasma.github.io/Logging_2021/tillsynsmail/A 43753-2026 tillsynsbegäran mail.docx", "A 43753-2026")</f>
        <v/>
      </c>
    </row>
    <row r="40" ht="15" customHeight="1">
      <c r="A40" t="inlineStr">
        <is>
          <t>A 14475-2024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46320</v>
      </c>
      <c r="F40" t="inlineStr">
        <is>
          <t>DALARNAS LÄN</t>
        </is>
      </c>
      <c r="G40" t="inlineStr">
        <is>
          <t>VANSBRO</t>
        </is>
      </c>
      <c r="I40" t="n">
        <v>20.4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3</v>
      </c>
      <c r="V40" s="2" t="inlineStr">
        <is>
          <t>Garnlav
Dropptaggsvamp</t>
        </is>
      </c>
      <c r="W40">
        <f>HYPERLINK("https://klasma.github.io/Logging_2021/artfynd/A 14475-2024 artfynd.xlsx", "A 14475-2024")</f>
        <v/>
      </c>
      <c r="X40">
        <f>HYPERLINK("https://klasma.github.io/Logging_2021/kartor/A 14475-2024 karta.png", "A 14475-2024")</f>
        <v/>
      </c>
      <c r="Y40">
        <f>HYPERLINK("https://klasma.github.io/Logging_2021/kartor_geotiff/A 14475-2024 georefererad karta.tif", "A 14475-2024")</f>
        <v/>
      </c>
      <c r="AA40">
        <f>HYPERLINK("https://klasma.github.io/Logging_2021/klagomål/A 14475-2024 FSC-klagomål.docx", "A 14475-2024")</f>
        <v/>
      </c>
      <c r="AB40">
        <f>HYPERLINK("https://klasma.github.io/Logging_2021/klagomålsmail/A 14475-2024 FSC-klagomål mail.docx", "A 14475-2024")</f>
        <v/>
      </c>
      <c r="AC40">
        <f>HYPERLINK("https://klasma.github.io/Logging_2021/tillsyn/A 14475-2024 tillsynsbegäran.docx", "A 14475-2024")</f>
        <v/>
      </c>
      <c r="AD40">
        <f>HYPERLINK("https://klasma.github.io/Logging_2021/tillsynsmail/A 14475-2024 tillsynsbegäran mail.docx", "A 14475-2024")</f>
        <v/>
      </c>
    </row>
    <row r="41" ht="15" customHeight="1">
      <c r="A41" t="inlineStr">
        <is>
          <t>A 58009-2023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46320</v>
      </c>
      <c r="F41" t="inlineStr">
        <is>
          <t>DALARNAS LÄN</t>
        </is>
      </c>
      <c r="G41" t="inlineStr">
        <is>
          <t>VANSBRO</t>
        </is>
      </c>
      <c r="I41" t="n">
        <v>0.5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Sädesärla
Orre</t>
        </is>
      </c>
      <c r="W41">
        <f>HYPERLINK("https://klasma.github.io/Logging_2021/artfynd/A 58009-2023 artfynd.xlsx", "A 58009-2023")</f>
        <v/>
      </c>
      <c r="X41">
        <f>HYPERLINK("https://klasma.github.io/Logging_2021/kartor/A 58009-2023 karta.png", "A 58009-2023")</f>
        <v/>
      </c>
      <c r="Y41">
        <f>HYPERLINK("https://klasma.github.io/Logging_2021/kartor_geotiff/A 58009-2023 georefererad karta.tif", "A 58009-2023")</f>
        <v/>
      </c>
      <c r="AA41">
        <f>HYPERLINK("https://klasma.github.io/Logging_2021/klagomål/A 58009-2023 FSC-klagomål.docx", "A 58009-2023")</f>
        <v/>
      </c>
      <c r="AB41">
        <f>HYPERLINK("https://klasma.github.io/Logging_2021/klagomålsmail/A 58009-2023 FSC-klagomål mail.docx", "A 58009-2023")</f>
        <v/>
      </c>
      <c r="AC41">
        <f>HYPERLINK("https://klasma.github.io/Logging_2021/tillsyn/A 58009-2023 tillsynsbegäran.docx", "A 58009-2023")</f>
        <v/>
      </c>
      <c r="AD41">
        <f>HYPERLINK("https://klasma.github.io/Logging_2021/tillsynsmail/A 58009-2023 tillsynsbegäran mail.docx", "A 58009-2023")</f>
        <v/>
      </c>
      <c r="AE41">
        <f>HYPERLINK("https://klasma.github.io/Logging_2021/fåglar/A 58009-2023 prioriterade fågelarter.docx", "A 58009-2023")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46320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54453-2024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46320</v>
      </c>
      <c r="F43" t="inlineStr">
        <is>
          <t>DALARNAS LÄN</t>
        </is>
      </c>
      <c r="G43" t="inlineStr">
        <is>
          <t>VANSBRO</t>
        </is>
      </c>
      <c r="I43" t="n">
        <v>0.4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Skarp dropptaggsvamp</t>
        </is>
      </c>
      <c r="W43">
        <f>HYPERLINK("https://klasma.github.io/Logging_2021/artfynd/A 54453-2024 artfynd.xlsx", "A 54453-2024")</f>
        <v/>
      </c>
      <c r="X43">
        <f>HYPERLINK("https://klasma.github.io/Logging_2021/kartor/A 54453-2024 karta.png", "A 54453-2024")</f>
        <v/>
      </c>
      <c r="Y43">
        <f>HYPERLINK("https://klasma.github.io/Logging_2021/kartor_geotiff/A 54453-2024 georefererad karta.tif", "A 54453-2024")</f>
        <v/>
      </c>
      <c r="AA43">
        <f>HYPERLINK("https://klasma.github.io/Logging_2021/klagomål/A 54453-2024 FSC-klagomål.docx", "A 54453-2024")</f>
        <v/>
      </c>
      <c r="AB43">
        <f>HYPERLINK("https://klasma.github.io/Logging_2021/klagomålsmail/A 54453-2024 FSC-klagomål mail.docx", "A 54453-2024")</f>
        <v/>
      </c>
      <c r="AC43">
        <f>HYPERLINK("https://klasma.github.io/Logging_2021/tillsyn/A 54453-2024 tillsynsbegäran.docx", "A 54453-2024")</f>
        <v/>
      </c>
      <c r="AD43">
        <f>HYPERLINK("https://klasma.github.io/Logging_2021/tillsynsmail/A 54453-2024 tillsynsbegäran mail.docx", "A 54453-2024")</f>
        <v/>
      </c>
    </row>
    <row r="44" ht="15" customHeight="1">
      <c r="A44" t="inlineStr">
        <is>
          <t>A 26756-2026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46320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HYPERLINK("https://klasma.github.io/Logging_2021/artfynd/A 26756-2026 artfynd.xlsx", "A 26756-2026")</f>
        <v/>
      </c>
      <c r="X44">
        <f>HYPERLINK("https://klasma.github.io/Logging_2021/kartor/A 26756-2026 karta.png", "A 26756-2026")</f>
        <v/>
      </c>
      <c r="Y44">
        <f>HYPERLINK("https://klasma.github.io/Logging_2021/kartor_geotiff/A 26756-2026 georefererad karta.tif", "A 26756-2026")</f>
        <v/>
      </c>
      <c r="AA44">
        <f>HYPERLINK("https://klasma.github.io/Logging_2021/klagomål/A 26756-2026 FSC-klagomål.docx", "A 26756-2026")</f>
        <v/>
      </c>
      <c r="AB44">
        <f>HYPERLINK("https://klasma.github.io/Logging_2021/klagomålsmail/A 26756-2026 FSC-klagomål mail.docx", "A 26756-2026")</f>
        <v/>
      </c>
      <c r="AC44">
        <f>HYPERLINK("https://klasma.github.io/Logging_2021/tillsyn/A 26756-2026 tillsynsbegäran.docx", "A 26756-2026")</f>
        <v/>
      </c>
      <c r="AD44">
        <f>HYPERLINK("https://klasma.github.io/Logging_2021/tillsynsmail/A 26756-2026 tillsynsbegäran mail.docx", "A 26756-2026")</f>
        <v/>
      </c>
      <c r="AE44">
        <f>HYPERLINK("https://klasma.github.io/Logging_2021/fåglar/A 26756-2026 prioriterade fågelarter.docx", "A 26756-2026")</f>
        <v/>
      </c>
    </row>
    <row r="45" ht="15" customHeight="1">
      <c r="A45" t="inlineStr">
        <is>
          <t>A 33250-2024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46320</v>
      </c>
      <c r="F45" t="inlineStr">
        <is>
          <t>DALARNAS LÄN</t>
        </is>
      </c>
      <c r="G45" t="inlineStr">
        <is>
          <t>VANSBRO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Reliktbock</t>
        </is>
      </c>
      <c r="W45">
        <f>HYPERLINK("https://klasma.github.io/Logging_2021/artfynd/A 33250-2024 artfynd.xlsx", "A 33250-2024")</f>
        <v/>
      </c>
      <c r="X45">
        <f>HYPERLINK("https://klasma.github.io/Logging_2021/kartor/A 33250-2024 karta.png", "A 33250-2024")</f>
        <v/>
      </c>
      <c r="Y45">
        <f>HYPERLINK("https://klasma.github.io/Logging_2021/kartor_geotiff/A 33250-2024 georefererad karta.tif", "A 33250-2024")</f>
        <v/>
      </c>
      <c r="AA45">
        <f>HYPERLINK("https://klasma.github.io/Logging_2021/klagomål/A 33250-2024 FSC-klagomål.docx", "A 33250-2024")</f>
        <v/>
      </c>
      <c r="AB45">
        <f>HYPERLINK("https://klasma.github.io/Logging_2021/klagomålsmail/A 33250-2024 FSC-klagomål mail.docx", "A 33250-2024")</f>
        <v/>
      </c>
      <c r="AC45">
        <f>HYPERLINK("https://klasma.github.io/Logging_2021/tillsyn/A 33250-2024 tillsynsbegäran.docx", "A 33250-2024")</f>
        <v/>
      </c>
      <c r="AD45">
        <f>HYPERLINK("https://klasma.github.io/Logging_2021/tillsynsmail/A 33250-2024 tillsynsbegäran mail.docx", "A 33250-2024")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46320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46320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27052-2025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46320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HYPERLINK("https://klasma.github.io/Logging_2021/artfynd/A 27052-2025 artfynd.xlsx", "A 27052-2025")</f>
        <v/>
      </c>
      <c r="X48">
        <f>HYPERLINK("https://klasma.github.io/Logging_2021/kartor/A 27052-2025 karta.png", "A 27052-2025")</f>
        <v/>
      </c>
      <c r="Y48">
        <f>HYPERLINK("https://klasma.github.io/Logging_2021/kartor_geotiff/A 27052-2025 georefererad karta.tif", "A 27052-2025")</f>
        <v/>
      </c>
      <c r="AA48">
        <f>HYPERLINK("https://klasma.github.io/Logging_2021/klagomål/A 27052-2025 FSC-klagomål.docx", "A 27052-2025")</f>
        <v/>
      </c>
      <c r="AB48">
        <f>HYPERLINK("https://klasma.github.io/Logging_2021/klagomålsmail/A 27052-2025 FSC-klagomål mail.docx", "A 27052-2025")</f>
        <v/>
      </c>
      <c r="AC48">
        <f>HYPERLINK("https://klasma.github.io/Logging_2021/tillsyn/A 27052-2025 tillsynsbegäran.docx", "A 27052-2025")</f>
        <v/>
      </c>
      <c r="AD48">
        <f>HYPERLINK("https://klasma.github.io/Logging_2021/tillsynsmail/A 27052-2025 tillsynsbegäran mail.docx", "A 27052-2025")</f>
        <v/>
      </c>
      <c r="AE48">
        <f>HYPERLINK("https://klasma.github.io/Logging_2021/fåglar/A 27052-2025 prioriterade fågelarter.docx", "A 27052-2025")</f>
        <v/>
      </c>
    </row>
    <row r="49" ht="15" customHeight="1">
      <c r="A49" t="inlineStr">
        <is>
          <t>A 32917-2025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46320</v>
      </c>
      <c r="F49" t="inlineStr">
        <is>
          <t>DALARNAS LÄN</t>
        </is>
      </c>
      <c r="G49" t="inlineStr">
        <is>
          <t>VANSBRO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2</v>
      </c>
      <c r="V49" s="2" t="inlineStr">
        <is>
          <t>Garnlav</t>
        </is>
      </c>
      <c r="W49">
        <f>HYPERLINK("https://klasma.github.io/Logging_2021/artfynd/A 32917-2025 artfynd.xlsx", "A 32917-2025")</f>
        <v/>
      </c>
      <c r="X49">
        <f>HYPERLINK("https://klasma.github.io/Logging_2021/kartor/A 32917-2025 karta.png", "A 32917-2025")</f>
        <v/>
      </c>
      <c r="Y49">
        <f>HYPERLINK("https://klasma.github.io/Logging_2021/kartor_geotiff/A 32917-2025 georefererad karta.tif", "A 32917-2025")</f>
        <v/>
      </c>
      <c r="AA49">
        <f>HYPERLINK("https://klasma.github.io/Logging_2021/klagomål/A 32917-2025 FSC-klagomål.docx", "A 32917-2025")</f>
        <v/>
      </c>
      <c r="AB49">
        <f>HYPERLINK("https://klasma.github.io/Logging_2021/klagomålsmail/A 32917-2025 FSC-klagomål mail.docx", "A 32917-2025")</f>
        <v/>
      </c>
      <c r="AC49">
        <f>HYPERLINK("https://klasma.github.io/Logging_2021/tillsyn/A 32917-2025 tillsynsbegäran.docx", "A 32917-2025")</f>
        <v/>
      </c>
      <c r="AD49">
        <f>HYPERLINK("https://klasma.github.io/Logging_2021/tillsynsmail/A 32917-2025 tillsynsbegäran mail.docx", "A 32917-2025")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46320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46320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52675-2025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45956</v>
      </c>
      <c r="E52" s="1" t="n">
        <v>46320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Motaggsvamp</t>
        </is>
      </c>
      <c r="W52">
        <f>HYPERLINK("https://klasma.github.io/Logging_2021/artfynd/A 52675-2025 artfynd.xlsx", "A 52675-2025")</f>
        <v/>
      </c>
      <c r="X52">
        <f>HYPERLINK("https://klasma.github.io/Logging_2021/kartor/A 52675-2025 karta.png", "A 52675-2025")</f>
        <v/>
      </c>
      <c r="Y52">
        <f>HYPERLINK("https://klasma.github.io/Logging_2021/kartor_geotiff/A 52675-2025 georefererad karta.tif", "A 52675-2025")</f>
        <v/>
      </c>
      <c r="AA52">
        <f>HYPERLINK("https://klasma.github.io/Logging_2021/klagomål/A 52675-2025 FSC-klagomål.docx", "A 52675-2025")</f>
        <v/>
      </c>
      <c r="AB52">
        <f>HYPERLINK("https://klasma.github.io/Logging_2021/klagomålsmail/A 52675-2025 FSC-klagomål mail.docx", "A 52675-2025")</f>
        <v/>
      </c>
      <c r="AC52">
        <f>HYPERLINK("https://klasma.github.io/Logging_2021/tillsyn/A 52675-2025 tillsynsbegäran.docx", "A 52675-2025")</f>
        <v/>
      </c>
      <c r="AD52">
        <f>HYPERLINK("https://klasma.github.io/Logging_2021/tillsynsmail/A 52675-2025 tillsynsbegäran mail.docx", "A 52675-2025")</f>
        <v/>
      </c>
    </row>
    <row r="53" ht="15" customHeight="1">
      <c r="A53" t="inlineStr">
        <is>
          <t>A 37219-2024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46320</v>
      </c>
      <c r="F53" t="inlineStr">
        <is>
          <t>DALARNAS LÄN</t>
        </is>
      </c>
      <c r="G53" t="inlineStr">
        <is>
          <t>VANSBRO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4</v>
      </c>
      <c r="V53" s="2" t="inlineStr">
        <is>
          <t>Tjäder</t>
        </is>
      </c>
      <c r="W53">
        <f>HYPERLINK("https://klasma.github.io/Logging_2021/artfynd/A 37219-2024 artfynd.xlsx", "A 37219-2024")</f>
        <v/>
      </c>
      <c r="X53">
        <f>HYPERLINK("https://klasma.github.io/Logging_2021/kartor/A 37219-2024 karta.png", "A 37219-2024")</f>
        <v/>
      </c>
      <c r="Y53">
        <f>HYPERLINK("https://klasma.github.io/Logging_2021/kartor_geotiff/A 37219-2024 georefererad karta.tif", "A 37219-2024")</f>
        <v/>
      </c>
      <c r="AA53">
        <f>HYPERLINK("https://klasma.github.io/Logging_2021/klagomål/A 37219-2024 FSC-klagomål.docx", "A 37219-2024")</f>
        <v/>
      </c>
      <c r="AB53">
        <f>HYPERLINK("https://klasma.github.io/Logging_2021/klagomålsmail/A 37219-2024 FSC-klagomål mail.docx", "A 37219-2024")</f>
        <v/>
      </c>
      <c r="AC53">
        <f>HYPERLINK("https://klasma.github.io/Logging_2021/tillsyn/A 37219-2024 tillsynsbegäran.docx", "A 37219-2024")</f>
        <v/>
      </c>
      <c r="AD53">
        <f>HYPERLINK("https://klasma.github.io/Logging_2021/tillsynsmail/A 37219-2024 tillsynsbegäran mail.docx", "A 37219-2024")</f>
        <v/>
      </c>
      <c r="AE53">
        <f>HYPERLINK("https://klasma.github.io/Logging_2021/fåglar/A 37219-2024 prioriterade fågelarter.docx", "A 37219-2024")</f>
        <v/>
      </c>
    </row>
    <row r="54" ht="15" customHeight="1">
      <c r="A54" t="inlineStr">
        <is>
          <t>A 57810-2023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45247</v>
      </c>
      <c r="E54" s="1" t="n">
        <v>46320</v>
      </c>
      <c r="F54" t="inlineStr">
        <is>
          <t>DALARNAS LÄN</t>
        </is>
      </c>
      <c r="G54" t="inlineStr">
        <is>
          <t>VANSBRO</t>
        </is>
      </c>
      <c r="I54" t="n">
        <v>0.6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HYPERLINK("https://klasma.github.io/Logging_2021/artfynd/A 57810-2023 artfynd.xlsx", "A 57810-2023")</f>
        <v/>
      </c>
      <c r="X54">
        <f>HYPERLINK("https://klasma.github.io/Logging_2021/kartor/A 57810-2023 karta.png", "A 57810-2023")</f>
        <v/>
      </c>
      <c r="Y54">
        <f>HYPERLINK("https://klasma.github.io/Logging_2021/kartor_geotiff/A 57810-2023 georefererad karta.tif", "A 57810-2023")</f>
        <v/>
      </c>
      <c r="AA54">
        <f>HYPERLINK("https://klasma.github.io/Logging_2021/klagomål/A 57810-2023 FSC-klagomål.docx", "A 57810-2023")</f>
        <v/>
      </c>
      <c r="AB54">
        <f>HYPERLINK("https://klasma.github.io/Logging_2021/klagomålsmail/A 57810-2023 FSC-klagomål mail.docx", "A 57810-2023")</f>
        <v/>
      </c>
      <c r="AC54">
        <f>HYPERLINK("https://klasma.github.io/Logging_2021/tillsyn/A 57810-2023 tillsynsbegäran.docx", "A 57810-2023")</f>
        <v/>
      </c>
      <c r="AD54">
        <f>HYPERLINK("https://klasma.github.io/Logging_2021/tillsynsmail/A 57810-2023 tillsynsbegäran mail.docx", "A 57810-2023")</f>
        <v/>
      </c>
      <c r="AE54">
        <f>HYPERLINK("https://klasma.github.io/Logging_2021/fåglar/A 57810-2023 prioriterade fågelarter.docx", "A 57810-2023")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46320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46320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46320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46320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46320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46320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46320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46320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46320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46320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46320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46320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46320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46320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46320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46320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46320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46320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46320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46320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46320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46320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46320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46320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46320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45888</v>
      </c>
      <c r="E80" s="1" t="n">
        <v>46320</v>
      </c>
      <c r="F80" t="inlineStr">
        <is>
          <t>DALARNAS LÄN</t>
        </is>
      </c>
      <c r="G80" t="inlineStr">
        <is>
          <t>VANSBRO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45888</v>
      </c>
      <c r="E81" s="1" t="n">
        <v>46320</v>
      </c>
      <c r="F81" t="inlineStr">
        <is>
          <t>DALARNAS LÄN</t>
        </is>
      </c>
      <c r="G81" t="inlineStr">
        <is>
          <t>VANSBRO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46320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46320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46320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46320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46320</v>
      </c>
      <c r="F86" t="inlineStr">
        <is>
          <t>DALARNAS LÄN</t>
        </is>
      </c>
      <c r="G86" t="inlineStr">
        <is>
          <t>VANSBRO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46320</v>
      </c>
      <c r="F87" t="inlineStr">
        <is>
          <t>DALARNAS LÄN</t>
        </is>
      </c>
      <c r="G87" t="inlineStr">
        <is>
          <t>VANSBRO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44673</v>
      </c>
      <c r="E88" s="1" t="n">
        <v>46320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46320</v>
      </c>
      <c r="F89" t="inlineStr">
        <is>
          <t>DALARNAS LÄN</t>
        </is>
      </c>
      <c r="G89" t="inlineStr">
        <is>
          <t>VANSBRO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46320</v>
      </c>
      <c r="F90" t="inlineStr">
        <is>
          <t>DALARNAS LÄN</t>
        </is>
      </c>
      <c r="G90" t="inlineStr">
        <is>
          <t>VANSBRO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46320</v>
      </c>
      <c r="F91" t="inlineStr">
        <is>
          <t>DALARNAS LÄN</t>
        </is>
      </c>
      <c r="G91" t="inlineStr">
        <is>
          <t>VANSBRO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46320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46320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46320</v>
      </c>
      <c r="F94" t="inlineStr">
        <is>
          <t>DALARNAS LÄN</t>
        </is>
      </c>
      <c r="G94" t="inlineStr">
        <is>
          <t>VANSBRO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46320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46320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46320</v>
      </c>
      <c r="F97" t="inlineStr">
        <is>
          <t>DALARNAS LÄN</t>
        </is>
      </c>
      <c r="G97" t="inlineStr">
        <is>
          <t>VANSBRO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45240</v>
      </c>
      <c r="E98" s="1" t="n">
        <v>46320</v>
      </c>
      <c r="F98" t="inlineStr">
        <is>
          <t>DALARNAS LÄN</t>
        </is>
      </c>
      <c r="G98" t="inlineStr">
        <is>
          <t>VANSBRO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46320</v>
      </c>
      <c r="F99" t="inlineStr">
        <is>
          <t>DALARNAS LÄN</t>
        </is>
      </c>
      <c r="G99" t="inlineStr">
        <is>
          <t>VANSBRO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46320</v>
      </c>
      <c r="F100" t="inlineStr">
        <is>
          <t>DALARNAS LÄN</t>
        </is>
      </c>
      <c r="G100" t="inlineStr">
        <is>
          <t>VANSBRO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46320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46320</v>
      </c>
      <c r="F102" t="inlineStr">
        <is>
          <t>DALARNAS LÄN</t>
        </is>
      </c>
      <c r="G102" t="inlineStr">
        <is>
          <t>VANSBRO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46320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45214</v>
      </c>
      <c r="E104" s="1" t="n">
        <v>46320</v>
      </c>
      <c r="F104" t="inlineStr">
        <is>
          <t>DALARNAS LÄN</t>
        </is>
      </c>
      <c r="G104" t="inlineStr">
        <is>
          <t>VANSBRO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46320</v>
      </c>
      <c r="F105" t="inlineStr">
        <is>
          <t>DALARNAS LÄN</t>
        </is>
      </c>
      <c r="G105" t="inlineStr">
        <is>
          <t>VANSBRO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45331</v>
      </c>
      <c r="E106" s="1" t="n">
        <v>46320</v>
      </c>
      <c r="F106" t="inlineStr">
        <is>
          <t>DALARNAS LÄN</t>
        </is>
      </c>
      <c r="G106" t="inlineStr">
        <is>
          <t>VANSBRO</t>
        </is>
      </c>
      <c r="I106" t="n">
        <v>11.4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46320</v>
      </c>
      <c r="F107" t="inlineStr">
        <is>
          <t>DALARNAS LÄN</t>
        </is>
      </c>
      <c r="G107" t="inlineStr">
        <is>
          <t>VANSBRO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46164</v>
      </c>
      <c r="E108" s="1" t="n">
        <v>46320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45576</v>
      </c>
      <c r="E109" s="1" t="n">
        <v>46320</v>
      </c>
      <c r="F109" t="inlineStr">
        <is>
          <t>DALARNAS LÄN</t>
        </is>
      </c>
      <c r="G109" t="inlineStr">
        <is>
          <t>VANSBRO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46164</v>
      </c>
      <c r="E110" s="1" t="n">
        <v>46320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öst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46320</v>
      </c>
      <c r="F111" t="inlineStr">
        <is>
          <t>DALARNAS LÄN</t>
        </is>
      </c>
      <c r="G111" t="inlineStr">
        <is>
          <t>VANSBRO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46320</v>
      </c>
      <c r="F112" t="inlineStr">
        <is>
          <t>DALARNAS LÄN</t>
        </is>
      </c>
      <c r="G112" t="inlineStr">
        <is>
          <t>VANSBRO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46320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44980</v>
      </c>
      <c r="E114" s="1" t="n">
        <v>46320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46320</v>
      </c>
      <c r="F115" t="inlineStr">
        <is>
          <t>DALARNAS LÄN</t>
        </is>
      </c>
      <c r="G115" t="inlineStr">
        <is>
          <t>VANSBRO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46320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46320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44931</v>
      </c>
      <c r="E118" s="1" t="n">
        <v>46320</v>
      </c>
      <c r="F118" t="inlineStr">
        <is>
          <t>DALARNAS LÄN</t>
        </is>
      </c>
      <c r="G118" t="inlineStr">
        <is>
          <t>VANSBRO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46174</v>
      </c>
      <c r="E119" s="1" t="n">
        <v>46320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46320</v>
      </c>
      <c r="F120" t="inlineStr">
        <is>
          <t>DALARNAS LÄN</t>
        </is>
      </c>
      <c r="G120" t="inlineStr">
        <is>
          <t>VANSBRO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46320</v>
      </c>
      <c r="F121" t="inlineStr">
        <is>
          <t>DALARNAS LÄN</t>
        </is>
      </c>
      <c r="G121" t="inlineStr">
        <is>
          <t>VANSBRO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48840-2025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45937</v>
      </c>
      <c r="E122" s="1" t="n">
        <v>46320</v>
      </c>
      <c r="F122" t="inlineStr">
        <is>
          <t>DALARNAS LÄN</t>
        </is>
      </c>
      <c r="G122" t="inlineStr">
        <is>
          <t>VANSBRO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46320</v>
      </c>
      <c r="F123" t="inlineStr">
        <is>
          <t>DALARNAS LÄN</t>
        </is>
      </c>
      <c r="G123" t="inlineStr">
        <is>
          <t>VANSBRO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45939</v>
      </c>
      <c r="E124" s="1" t="n">
        <v>46320</v>
      </c>
      <c r="F124" t="inlineStr">
        <is>
          <t>DALARNAS LÄN</t>
        </is>
      </c>
      <c r="G124" t="inlineStr">
        <is>
          <t>VANSBRO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46320</v>
      </c>
      <c r="F125" t="inlineStr">
        <is>
          <t>DALARNAS LÄN</t>
        </is>
      </c>
      <c r="G125" t="inlineStr">
        <is>
          <t>VANSBRO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45939</v>
      </c>
      <c r="E126" s="1" t="n">
        <v>46320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46320</v>
      </c>
      <c r="F127" t="inlineStr">
        <is>
          <t>DALARNAS LÄN</t>
        </is>
      </c>
      <c r="G127" t="inlineStr">
        <is>
          <t>VANSBRO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44837</v>
      </c>
      <c r="E128" s="1" t="n">
        <v>46320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48111-2024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45589</v>
      </c>
      <c r="E129" s="1" t="n">
        <v>46320</v>
      </c>
      <c r="F129" t="inlineStr">
        <is>
          <t>DALARNAS LÄN</t>
        </is>
      </c>
      <c r="G129" t="inlineStr">
        <is>
          <t>VANSBRO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46320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46320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46320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46320</v>
      </c>
      <c r="F133" t="inlineStr">
        <is>
          <t>DALARNAS LÄN</t>
        </is>
      </c>
      <c r="G133" t="inlineStr">
        <is>
          <t>VANSBRO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46320</v>
      </c>
      <c r="F134" t="inlineStr">
        <is>
          <t>DALARNAS LÄN</t>
        </is>
      </c>
      <c r="G134" t="inlineStr">
        <is>
          <t>VANSBRO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46320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46320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46320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46320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46320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46320</v>
      </c>
      <c r="F140" t="inlineStr">
        <is>
          <t>DALARNAS LÄN</t>
        </is>
      </c>
      <c r="G140" t="inlineStr">
        <is>
          <t>VANSBRO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46320</v>
      </c>
      <c r="F141" t="inlineStr">
        <is>
          <t>DALARNAS LÄN</t>
        </is>
      </c>
      <c r="G141" t="inlineStr">
        <is>
          <t>VANSBRO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46320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46320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46320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46320</v>
      </c>
      <c r="F145" t="inlineStr">
        <is>
          <t>DALARNAS LÄN</t>
        </is>
      </c>
      <c r="G145" t="inlineStr">
        <is>
          <t>VANSBRO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46320</v>
      </c>
      <c r="F146" t="inlineStr">
        <is>
          <t>DALARNAS LÄN</t>
        </is>
      </c>
      <c r="G146" t="inlineStr">
        <is>
          <t>VANSBRO</t>
        </is>
      </c>
      <c r="H146" t="inlineStr">
        <is>
          <t>Övriga statliga verk och myndigheter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44791</v>
      </c>
      <c r="E147" s="1" t="n">
        <v>46320</v>
      </c>
      <c r="F147" t="inlineStr">
        <is>
          <t>DALARNAS LÄN</t>
        </is>
      </c>
      <c r="G147" t="inlineStr">
        <is>
          <t>VANSBRO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46320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45296</v>
      </c>
      <c r="E149" s="1" t="n">
        <v>46320</v>
      </c>
      <c r="F149" t="inlineStr">
        <is>
          <t>DALARNAS LÄN</t>
        </is>
      </c>
      <c r="G149" t="inlineStr">
        <is>
          <t>VANSBRO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46320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46320</v>
      </c>
      <c r="F151" t="inlineStr">
        <is>
          <t>DALARNAS LÄN</t>
        </is>
      </c>
      <c r="G151" t="inlineStr">
        <is>
          <t>VANSBRO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46320</v>
      </c>
      <c r="F152" t="inlineStr">
        <is>
          <t>DALARNAS LÄN</t>
        </is>
      </c>
      <c r="G152" t="inlineStr">
        <is>
          <t>VANSBRO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46320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46320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46320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46320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46190</v>
      </c>
      <c r="E157" s="1" t="n">
        <v>46320</v>
      </c>
      <c r="F157" t="inlineStr">
        <is>
          <t>DALARNAS LÄN</t>
        </is>
      </c>
      <c r="G157" t="inlineStr">
        <is>
          <t>VANSBRO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46320</v>
      </c>
      <c r="F158" t="inlineStr">
        <is>
          <t>DALARNAS LÄN</t>
        </is>
      </c>
      <c r="G158" t="inlineStr">
        <is>
          <t>VANSBRO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46320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46320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46320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46320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46320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10.5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44612</v>
      </c>
      <c r="E164" s="1" t="n">
        <v>46320</v>
      </c>
      <c r="F164" t="inlineStr">
        <is>
          <t>DALARNAS LÄN</t>
        </is>
      </c>
      <c r="G164" t="inlineStr">
        <is>
          <t>VANSBRO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46320</v>
      </c>
      <c r="F165" t="inlineStr">
        <is>
          <t>DALARNAS LÄN</t>
        </is>
      </c>
      <c r="G165" t="inlineStr">
        <is>
          <t>VANSBRO</t>
        </is>
      </c>
      <c r="H165" t="inlineStr">
        <is>
          <t>Kommuner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46320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10.7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46320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46320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46320</v>
      </c>
      <c r="F169" t="inlineStr">
        <is>
          <t>DALARNAS LÄN</t>
        </is>
      </c>
      <c r="G169" t="inlineStr">
        <is>
          <t>VANSBRO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45519</v>
      </c>
      <c r="E170" s="1" t="n">
        <v>46320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46320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29035-2026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46199</v>
      </c>
      <c r="E172" s="1" t="n">
        <v>46320</v>
      </c>
      <c r="F172" t="inlineStr">
        <is>
          <t>DALARNAS LÄN</t>
        </is>
      </c>
      <c r="G172" t="inlineStr">
        <is>
          <t>VANSBRO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62398-2021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46320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öst AB</t>
        </is>
      </c>
      <c r="I173" t="n">
        <v>22.1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46320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46203</v>
      </c>
      <c r="E175" s="1" t="n">
        <v>46320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46320</v>
      </c>
      <c r="F176" t="inlineStr">
        <is>
          <t>DALARNAS LÄN</t>
        </is>
      </c>
      <c r="G176" t="inlineStr">
        <is>
          <t>VANSBRO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29174-2026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46202</v>
      </c>
      <c r="E177" s="1" t="n">
        <v>46320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46203</v>
      </c>
      <c r="E178" s="1" t="n">
        <v>46320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46320</v>
      </c>
      <c r="F179" t="inlineStr">
        <is>
          <t>DALARNAS LÄN</t>
        </is>
      </c>
      <c r="G179" t="inlineStr">
        <is>
          <t>VANSBRO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46204</v>
      </c>
      <c r="E180" s="1" t="n">
        <v>46320</v>
      </c>
      <c r="F180" t="inlineStr">
        <is>
          <t>DALARNAS LÄN</t>
        </is>
      </c>
      <c r="G180" t="inlineStr">
        <is>
          <t>VANSBRO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46320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46320</v>
      </c>
      <c r="F182" t="inlineStr">
        <is>
          <t>DALARNAS LÄN</t>
        </is>
      </c>
      <c r="G182" t="inlineStr">
        <is>
          <t>VANSBRO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45712</v>
      </c>
      <c r="E183" s="1" t="n">
        <v>46320</v>
      </c>
      <c r="F183" t="inlineStr">
        <is>
          <t>DALARNAS LÄN</t>
        </is>
      </c>
      <c r="G183" t="inlineStr">
        <is>
          <t>VANSBRO</t>
        </is>
      </c>
      <c r="I183" t="n">
        <v>13.8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46320</v>
      </c>
      <c r="F184" t="inlineStr">
        <is>
          <t>DALARNAS LÄN</t>
        </is>
      </c>
      <c r="G184" t="inlineStr">
        <is>
          <t>VANSBRO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53839-2022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44880</v>
      </c>
      <c r="E185" s="1" t="n">
        <v>46320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46204</v>
      </c>
      <c r="E186" s="1" t="n">
        <v>46320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60036-2023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46320</v>
      </c>
      <c r="F187" t="inlineStr">
        <is>
          <t>DALARNAS LÄN</t>
        </is>
      </c>
      <c r="G187" t="inlineStr">
        <is>
          <t>VANSBRO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2086-2024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45309</v>
      </c>
      <c r="E188" s="1" t="n">
        <v>46320</v>
      </c>
      <c r="F188" t="inlineStr">
        <is>
          <t>DALARNAS LÄN</t>
        </is>
      </c>
      <c r="G188" t="inlineStr">
        <is>
          <t>VANSBRO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46320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44862</v>
      </c>
      <c r="E190" s="1" t="n">
        <v>46320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46320</v>
      </c>
      <c r="F191" t="inlineStr">
        <is>
          <t>DALARNAS LÄN</t>
        </is>
      </c>
      <c r="G191" t="inlineStr">
        <is>
          <t>VANSBRO</t>
        </is>
      </c>
      <c r="H191" t="inlineStr">
        <is>
          <t>Övriga statliga verk och myndigheter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46320</v>
      </c>
      <c r="F192" t="inlineStr">
        <is>
          <t>DALARNAS LÄN</t>
        </is>
      </c>
      <c r="G192" t="inlineStr">
        <is>
          <t>VANSBRO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46320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72635-2021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44546</v>
      </c>
      <c r="E194" s="1" t="n">
        <v>46320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46320</v>
      </c>
      <c r="F195" t="inlineStr">
        <is>
          <t>DALARNAS LÄN</t>
        </is>
      </c>
      <c r="G195" t="inlineStr">
        <is>
          <t>VANSBRO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46320</v>
      </c>
      <c r="F196" t="inlineStr">
        <is>
          <t>DALARNAS LÄN</t>
        </is>
      </c>
      <c r="G196" t="inlineStr">
        <is>
          <t>VANSBRO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46320</v>
      </c>
      <c r="F197" t="inlineStr">
        <is>
          <t>DALARNAS LÄN</t>
        </is>
      </c>
      <c r="G197" t="inlineStr">
        <is>
          <t>VANSBRO</t>
        </is>
      </c>
      <c r="H197" t="inlineStr">
        <is>
          <t>Övriga statliga verk och myndigheter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46320</v>
      </c>
      <c r="F198" t="inlineStr">
        <is>
          <t>DALARNAS LÄN</t>
        </is>
      </c>
      <c r="G198" t="inlineStr">
        <is>
          <t>VANSBRO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46212</v>
      </c>
      <c r="E199" s="1" t="n">
        <v>46320</v>
      </c>
      <c r="F199" t="inlineStr">
        <is>
          <t>DALARNAS LÄN</t>
        </is>
      </c>
      <c r="G199" t="inlineStr">
        <is>
          <t>VANSBRO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46320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46212</v>
      </c>
      <c r="E201" s="1" t="n">
        <v>46320</v>
      </c>
      <c r="F201" t="inlineStr">
        <is>
          <t>DALARNAS LÄN</t>
        </is>
      </c>
      <c r="G201" t="inlineStr">
        <is>
          <t>VANSBRO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45457</v>
      </c>
      <c r="E202" s="1" t="n">
        <v>46320</v>
      </c>
      <c r="F202" t="inlineStr">
        <is>
          <t>DALARNAS LÄN</t>
        </is>
      </c>
      <c r="G202" t="inlineStr">
        <is>
          <t>VANSBRO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46320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46320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46320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46320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20.2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45483</v>
      </c>
      <c r="E207" s="1" t="n">
        <v>46320</v>
      </c>
      <c r="F207" t="inlineStr">
        <is>
          <t>DALARNAS LÄN</t>
        </is>
      </c>
      <c r="G207" t="inlineStr">
        <is>
          <t>VANSBRO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45783</v>
      </c>
      <c r="E208" s="1" t="n">
        <v>46320</v>
      </c>
      <c r="F208" t="inlineStr">
        <is>
          <t>DALARNAS LÄN</t>
        </is>
      </c>
      <c r="G208" t="inlineStr">
        <is>
          <t>VANSBRO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45674</v>
      </c>
      <c r="E209" s="1" t="n">
        <v>46320</v>
      </c>
      <c r="F209" t="inlineStr">
        <is>
          <t>DALARNAS LÄN</t>
        </is>
      </c>
      <c r="G209" t="inlineStr">
        <is>
          <t>VANSBRO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45783</v>
      </c>
      <c r="E210" s="1" t="n">
        <v>46320</v>
      </c>
      <c r="F210" t="inlineStr">
        <is>
          <t>DALARNAS LÄN</t>
        </is>
      </c>
      <c r="G210" t="inlineStr">
        <is>
          <t>VANSBRO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46320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46320</v>
      </c>
      <c r="F212" t="inlineStr">
        <is>
          <t>DALARNAS LÄN</t>
        </is>
      </c>
      <c r="G212" t="inlineStr">
        <is>
          <t>VANSBRO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46320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45492</v>
      </c>
      <c r="E214" s="1" t="n">
        <v>46320</v>
      </c>
      <c r="F214" t="inlineStr">
        <is>
          <t>DALARNAS LÄN</t>
        </is>
      </c>
      <c r="G214" t="inlineStr">
        <is>
          <t>VANSBRO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46280</v>
      </c>
      <c r="E215" s="1" t="n">
        <v>46320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46280</v>
      </c>
      <c r="E216" s="1" t="n">
        <v>46320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38253-2026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46281</v>
      </c>
      <c r="E217" s="1" t="n">
        <v>46320</v>
      </c>
      <c r="F217" t="inlineStr">
        <is>
          <t>DALARNAS LÄN</t>
        </is>
      </c>
      <c r="G217" t="inlineStr">
        <is>
          <t>VANSBRO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46320</v>
      </c>
      <c r="F218" t="inlineStr">
        <is>
          <t>DALARNAS LÄN</t>
        </is>
      </c>
      <c r="G218" t="inlineStr">
        <is>
          <t>VANSBRO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46320</v>
      </c>
      <c r="F219" t="inlineStr">
        <is>
          <t>DALARNAS LÄN</t>
        </is>
      </c>
      <c r="G219" t="inlineStr">
        <is>
          <t>VANSBRO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46320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46238</v>
      </c>
      <c r="E221" s="1" t="n">
        <v>46320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46320</v>
      </c>
      <c r="F222" t="inlineStr">
        <is>
          <t>DALARNAS LÄN</t>
        </is>
      </c>
      <c r="G222" t="inlineStr">
        <is>
          <t>VANSBRO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29411-2024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45483</v>
      </c>
      <c r="E223" s="1" t="n">
        <v>46320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46033</v>
      </c>
      <c r="E224" s="1" t="n">
        <v>46320</v>
      </c>
      <c r="F224" t="inlineStr">
        <is>
          <t>DALARNAS LÄN</t>
        </is>
      </c>
      <c r="G224" t="inlineStr">
        <is>
          <t>VANSBRO</t>
        </is>
      </c>
      <c r="I224" t="n">
        <v>9.9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46320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46286</v>
      </c>
      <c r="E226" s="1" t="n">
        <v>46320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46320</v>
      </c>
      <c r="F227" t="inlineStr">
        <is>
          <t>DALARNAS LÄN</t>
        </is>
      </c>
      <c r="G227" t="inlineStr">
        <is>
          <t>VANSBRO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46320</v>
      </c>
      <c r="F228" t="inlineStr">
        <is>
          <t>DALARNAS LÄN</t>
        </is>
      </c>
      <c r="G228" t="inlineStr">
        <is>
          <t>VANSBRO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46283</v>
      </c>
      <c r="E229" s="1" t="n">
        <v>46320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46283</v>
      </c>
      <c r="E230" s="1" t="n">
        <v>46320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46320</v>
      </c>
      <c r="F231" t="inlineStr">
        <is>
          <t>DALARNAS LÄN</t>
        </is>
      </c>
      <c r="G231" t="inlineStr">
        <is>
          <t>VANSBRO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46320</v>
      </c>
      <c r="F232" t="inlineStr">
        <is>
          <t>DALARNAS LÄN</t>
        </is>
      </c>
      <c r="G232" t="inlineStr">
        <is>
          <t>VANSBRO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46320</v>
      </c>
      <c r="F233" t="inlineStr">
        <is>
          <t>DALARNAS LÄN</t>
        </is>
      </c>
      <c r="G233" t="inlineStr">
        <is>
          <t>VANSBRO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46320</v>
      </c>
      <c r="F234" t="inlineStr">
        <is>
          <t>DALARNAS LÄN</t>
        </is>
      </c>
      <c r="G234" t="inlineStr">
        <is>
          <t>VANSBRO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46320</v>
      </c>
      <c r="F235" t="inlineStr">
        <is>
          <t>DALARNAS LÄN</t>
        </is>
      </c>
      <c r="G235" t="inlineStr">
        <is>
          <t>VANSBRO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46320</v>
      </c>
      <c r="F236" t="inlineStr">
        <is>
          <t>DALARNAS LÄN</t>
        </is>
      </c>
      <c r="G236" t="inlineStr">
        <is>
          <t>VANSBRO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46320</v>
      </c>
      <c r="F237" t="inlineStr">
        <is>
          <t>DALARNAS LÄN</t>
        </is>
      </c>
      <c r="G237" t="inlineStr">
        <is>
          <t>VANSBRO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46320</v>
      </c>
      <c r="F238" t="inlineStr">
        <is>
          <t>DALARNAS LÄN</t>
        </is>
      </c>
      <c r="G238" t="inlineStr">
        <is>
          <t>VANSBRO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46049</v>
      </c>
      <c r="E239" s="1" t="n">
        <v>46320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46320</v>
      </c>
      <c r="F240" t="inlineStr">
        <is>
          <t>DALARNAS LÄN</t>
        </is>
      </c>
      <c r="G240" t="inlineStr">
        <is>
          <t>VANSBRO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46320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46320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46320</v>
      </c>
      <c r="F243" t="inlineStr">
        <is>
          <t>DALARNAS LÄN</t>
        </is>
      </c>
      <c r="G243" t="inlineStr">
        <is>
          <t>VANSBRO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46320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46320</v>
      </c>
      <c r="F245" t="inlineStr">
        <is>
          <t>DALARNAS LÄN</t>
        </is>
      </c>
      <c r="G245" t="inlineStr">
        <is>
          <t>VANSBRO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46320</v>
      </c>
      <c r="F246" t="inlineStr">
        <is>
          <t>DALARNAS LÄN</t>
        </is>
      </c>
      <c r="G246" t="inlineStr">
        <is>
          <t>VANSBRO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46320</v>
      </c>
      <c r="F247" t="inlineStr">
        <is>
          <t>DALARNAS LÄN</t>
        </is>
      </c>
      <c r="G247" t="inlineStr">
        <is>
          <t>VANSBRO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45807</v>
      </c>
      <c r="E248" s="1" t="n">
        <v>46320</v>
      </c>
      <c r="F248" t="inlineStr">
        <is>
          <t>DALARNAS LÄN</t>
        </is>
      </c>
      <c r="G248" t="inlineStr">
        <is>
          <t>VANSBRO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46320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45807</v>
      </c>
      <c r="E250" s="1" t="n">
        <v>46320</v>
      </c>
      <c r="F250" t="inlineStr">
        <is>
          <t>DALARNAS LÄN</t>
        </is>
      </c>
      <c r="G250" t="inlineStr">
        <is>
          <t>VANSBRO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46294</v>
      </c>
      <c r="E251" s="1" t="n">
        <v>46320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46320</v>
      </c>
      <c r="F252" t="inlineStr">
        <is>
          <t>DALARNAS LÄN</t>
        </is>
      </c>
      <c r="G252" t="inlineStr">
        <is>
          <t>VANSBRO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46320</v>
      </c>
      <c r="F253" t="inlineStr">
        <is>
          <t>DALARNAS LÄN</t>
        </is>
      </c>
      <c r="G253" t="inlineStr">
        <is>
          <t>VANSBRO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46320</v>
      </c>
      <c r="F254" t="inlineStr">
        <is>
          <t>DALARNAS LÄN</t>
        </is>
      </c>
      <c r="G254" t="inlineStr">
        <is>
          <t>VANSBRO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46320</v>
      </c>
      <c r="F255" t="inlineStr">
        <is>
          <t>DALARNAS LÄN</t>
        </is>
      </c>
      <c r="G255" t="inlineStr">
        <is>
          <t>VANSBRO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46320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46293</v>
      </c>
      <c r="E257" s="1" t="n">
        <v>46320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45695</v>
      </c>
      <c r="E258" s="1" t="n">
        <v>46320</v>
      </c>
      <c r="F258" t="inlineStr">
        <is>
          <t>DALARNAS LÄN</t>
        </is>
      </c>
      <c r="G258" t="inlineStr">
        <is>
          <t>VANSBRO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46320</v>
      </c>
      <c r="F259" t="inlineStr">
        <is>
          <t>DALARNAS LÄN</t>
        </is>
      </c>
      <c r="G259" t="inlineStr">
        <is>
          <t>VANSBRO</t>
        </is>
      </c>
      <c r="I259" t="n">
        <v>15.1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46294</v>
      </c>
      <c r="E260" s="1" t="n">
        <v>46320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46293</v>
      </c>
      <c r="E261" s="1" t="n">
        <v>46320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45666</v>
      </c>
      <c r="E262" s="1" t="n">
        <v>46320</v>
      </c>
      <c r="F262" t="inlineStr">
        <is>
          <t>DALARNAS LÄN</t>
        </is>
      </c>
      <c r="G262" t="inlineStr">
        <is>
          <t>VANSBRO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46320</v>
      </c>
      <c r="F263" t="inlineStr">
        <is>
          <t>DALARNAS LÄN</t>
        </is>
      </c>
      <c r="G263" t="inlineStr">
        <is>
          <t>VANSBRO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46294</v>
      </c>
      <c r="E264" s="1" t="n">
        <v>46320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44734</v>
      </c>
      <c r="E265" s="1" t="n">
        <v>46320</v>
      </c>
      <c r="F265" t="inlineStr">
        <is>
          <t>DALARNAS LÄN</t>
        </is>
      </c>
      <c r="G265" t="inlineStr">
        <is>
          <t>VANSBRO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46320</v>
      </c>
      <c r="F266" t="inlineStr">
        <is>
          <t>DALARNAS LÄN</t>
        </is>
      </c>
      <c r="G266" t="inlineStr">
        <is>
          <t>VANSBRO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46021</v>
      </c>
      <c r="E267" s="1" t="n">
        <v>46320</v>
      </c>
      <c r="F267" t="inlineStr">
        <is>
          <t>DALARNAS LÄN</t>
        </is>
      </c>
      <c r="G267" t="inlineStr">
        <is>
          <t>VANSBRO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46294</v>
      </c>
      <c r="E268" s="1" t="n">
        <v>46320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46320</v>
      </c>
      <c r="F269" t="inlineStr">
        <is>
          <t>DALARNAS LÄN</t>
        </is>
      </c>
      <c r="G269" t="inlineStr">
        <is>
          <t>VANSBRO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46320</v>
      </c>
      <c r="F270" t="inlineStr">
        <is>
          <t>DALARNAS LÄN</t>
        </is>
      </c>
      <c r="G270" t="inlineStr">
        <is>
          <t>VANSBRO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46294</v>
      </c>
      <c r="E271" s="1" t="n">
        <v>46320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46252</v>
      </c>
      <c r="E272" s="1" t="n">
        <v>46320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46320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46253</v>
      </c>
      <c r="E274" s="1" t="n">
        <v>46320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46320</v>
      </c>
      <c r="F275" t="inlineStr">
        <is>
          <t>DALARNAS LÄN</t>
        </is>
      </c>
      <c r="G275" t="inlineStr">
        <is>
          <t>VANSBRO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46320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46320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46320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46320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46082</v>
      </c>
      <c r="E280" s="1" t="n">
        <v>46320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46320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46320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46252</v>
      </c>
      <c r="E283" s="1" t="n">
        <v>46320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46082</v>
      </c>
      <c r="E284" s="1" t="n">
        <v>46320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46320</v>
      </c>
      <c r="F285" t="inlineStr">
        <is>
          <t>DALARNAS LÄN</t>
        </is>
      </c>
      <c r="G285" t="inlineStr">
        <is>
          <t>VANSBRO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46320</v>
      </c>
      <c r="F286" t="inlineStr">
        <is>
          <t>DALARNAS LÄN</t>
        </is>
      </c>
      <c r="G286" t="inlineStr">
        <is>
          <t>VANSBRO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46300</v>
      </c>
      <c r="E287" s="1" t="n">
        <v>46320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46320</v>
      </c>
      <c r="F288" t="inlineStr">
        <is>
          <t>DALARNAS LÄN</t>
        </is>
      </c>
      <c r="G288" t="inlineStr">
        <is>
          <t>VANSBRO</t>
        </is>
      </c>
      <c r="I288" t="n">
        <v>27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46300</v>
      </c>
      <c r="E289" s="1" t="n">
        <v>46320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46320</v>
      </c>
      <c r="F290" t="inlineStr">
        <is>
          <t>DALARNAS LÄN</t>
        </is>
      </c>
      <c r="G290" t="inlineStr">
        <is>
          <t>VANSBRO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46320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46320</v>
      </c>
      <c r="F292" t="inlineStr">
        <is>
          <t>DALARNAS LÄN</t>
        </is>
      </c>
      <c r="G292" t="inlineStr">
        <is>
          <t>VANSBRO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46320</v>
      </c>
      <c r="F293" t="inlineStr">
        <is>
          <t>DALARNAS LÄN</t>
        </is>
      </c>
      <c r="G293" t="inlineStr">
        <is>
          <t>VANSBRO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46300</v>
      </c>
      <c r="E294" s="1" t="n">
        <v>46320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19.7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46254</v>
      </c>
      <c r="E295" s="1" t="n">
        <v>46320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46297</v>
      </c>
      <c r="E296" s="1" t="n">
        <v>46320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46320</v>
      </c>
      <c r="F297" t="inlineStr">
        <is>
          <t>DALARNAS LÄN</t>
        </is>
      </c>
      <c r="G297" t="inlineStr">
        <is>
          <t>VANSBRO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46320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46320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46320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46320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46320</v>
      </c>
      <c r="F302" t="inlineStr">
        <is>
          <t>DALARNAS LÄN</t>
        </is>
      </c>
      <c r="G302" t="inlineStr">
        <is>
          <t>VANSBRO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46320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46320</v>
      </c>
      <c r="F304" t="inlineStr">
        <is>
          <t>DALARNAS LÄN</t>
        </is>
      </c>
      <c r="G304" t="inlineStr">
        <is>
          <t>VANSBRO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46255</v>
      </c>
      <c r="E305" s="1" t="n">
        <v>46320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46320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46320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46320</v>
      </c>
      <c r="F308" t="inlineStr">
        <is>
          <t>DALARNAS LÄN</t>
        </is>
      </c>
      <c r="G308" t="inlineStr">
        <is>
          <t>VANSBRO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46302</v>
      </c>
      <c r="E309" s="1" t="n">
        <v>46320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46320</v>
      </c>
      <c r="F310" t="inlineStr">
        <is>
          <t>DALARNAS LÄN</t>
        </is>
      </c>
      <c r="G310" t="inlineStr">
        <is>
          <t>VANSBRO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35042-2026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46259</v>
      </c>
      <c r="E311" s="1" t="n">
        <v>46320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45377</v>
      </c>
      <c r="E312" s="1" t="n">
        <v>46320</v>
      </c>
      <c r="F312" t="inlineStr">
        <is>
          <t>DALARNAS LÄN</t>
        </is>
      </c>
      <c r="G312" t="inlineStr">
        <is>
          <t>VANSBRO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35050-2026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46259</v>
      </c>
      <c r="E313" s="1" t="n">
        <v>46320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46320</v>
      </c>
      <c r="F314" t="inlineStr">
        <is>
          <t>DALARNAS LÄN</t>
        </is>
      </c>
      <c r="G314" t="inlineStr">
        <is>
          <t>VANSBRO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46320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46320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46302</v>
      </c>
      <c r="E317" s="1" t="n">
        <v>46320</v>
      </c>
      <c r="F317" t="inlineStr">
        <is>
          <t>DALARNAS LÄN</t>
        </is>
      </c>
      <c r="G317" t="inlineStr">
        <is>
          <t>VANSBRO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46320</v>
      </c>
      <c r="F318" t="inlineStr">
        <is>
          <t>DALARNAS LÄN</t>
        </is>
      </c>
      <c r="G318" t="inlineStr">
        <is>
          <t>VANSBRO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46320</v>
      </c>
      <c r="F319" t="inlineStr">
        <is>
          <t>DALARNAS LÄN</t>
        </is>
      </c>
      <c r="G319" t="inlineStr">
        <is>
          <t>VANSBRO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46304</v>
      </c>
      <c r="E320" s="1" t="n">
        <v>46320</v>
      </c>
      <c r="F320" t="inlineStr">
        <is>
          <t>DALARNAS LÄN</t>
        </is>
      </c>
      <c r="G320" t="inlineStr">
        <is>
          <t>VANSBRO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46304</v>
      </c>
      <c r="E321" s="1" t="n">
        <v>46320</v>
      </c>
      <c r="F321" t="inlineStr">
        <is>
          <t>DALARNAS LÄN</t>
        </is>
      </c>
      <c r="G321" t="inlineStr">
        <is>
          <t>VANSBRO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46320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46320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46320</v>
      </c>
      <c r="F324" t="inlineStr">
        <is>
          <t>DALARNAS LÄN</t>
        </is>
      </c>
      <c r="G324" t="inlineStr">
        <is>
          <t>VANSBRO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46113</v>
      </c>
      <c r="E325" s="1" t="n">
        <v>46320</v>
      </c>
      <c r="F325" t="inlineStr">
        <is>
          <t>DALARNAS LÄN</t>
        </is>
      </c>
      <c r="G325" t="inlineStr">
        <is>
          <t>VANSBRO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46320</v>
      </c>
      <c r="F326" t="inlineStr">
        <is>
          <t>DALARNAS LÄN</t>
        </is>
      </c>
      <c r="G326" t="inlineStr">
        <is>
          <t>VANSBRO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46320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45868</v>
      </c>
      <c r="E328" s="1" t="n">
        <v>46320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46303</v>
      </c>
      <c r="E329" s="1" t="n">
        <v>46320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46320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46320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46320</v>
      </c>
      <c r="F332" t="inlineStr">
        <is>
          <t>DALARNAS LÄN</t>
        </is>
      </c>
      <c r="G332" t="inlineStr">
        <is>
          <t>VANSBRO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46320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46320</v>
      </c>
      <c r="F334" t="inlineStr">
        <is>
          <t>DALARNAS LÄN</t>
        </is>
      </c>
      <c r="G334" t="inlineStr">
        <is>
          <t>VANSBRO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46320</v>
      </c>
      <c r="F335" t="inlineStr">
        <is>
          <t>DALARNAS LÄN</t>
        </is>
      </c>
      <c r="G335" t="inlineStr">
        <is>
          <t>VANSBRO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46303</v>
      </c>
      <c r="E336" s="1" t="n">
        <v>46320</v>
      </c>
      <c r="F336" t="inlineStr">
        <is>
          <t>DALARNAS LÄN</t>
        </is>
      </c>
      <c r="G336" t="inlineStr">
        <is>
          <t>VANSBRO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46124</v>
      </c>
      <c r="E337" s="1" t="n">
        <v>46320</v>
      </c>
      <c r="F337" t="inlineStr">
        <is>
          <t>DALARNAS LÄN</t>
        </is>
      </c>
      <c r="G337" t="inlineStr">
        <is>
          <t>VANSBRO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46125</v>
      </c>
      <c r="E338" s="1" t="n">
        <v>46320</v>
      </c>
      <c r="F338" t="inlineStr">
        <is>
          <t>DALARNAS LÄN</t>
        </is>
      </c>
      <c r="G338" t="inlineStr">
        <is>
          <t>VANSBRO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46320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46320</v>
      </c>
      <c r="F340" t="inlineStr">
        <is>
          <t>DALARNAS LÄN</t>
        </is>
      </c>
      <c r="G340" t="inlineStr">
        <is>
          <t>VANSBRO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46320</v>
      </c>
      <c r="F341" t="inlineStr">
        <is>
          <t>DALARNAS LÄN</t>
        </is>
      </c>
      <c r="G341" t="inlineStr">
        <is>
          <t>VANSBRO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46320</v>
      </c>
      <c r="F342" t="inlineStr">
        <is>
          <t>DALARNAS LÄN</t>
        </is>
      </c>
      <c r="G342" t="inlineStr">
        <is>
          <t>VANSBRO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46320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46320</v>
      </c>
      <c r="F344" t="inlineStr">
        <is>
          <t>DALARNAS LÄN</t>
        </is>
      </c>
      <c r="G344" t="inlineStr">
        <is>
          <t>VANSBRO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45876</v>
      </c>
      <c r="E345" s="1" t="n">
        <v>46320</v>
      </c>
      <c r="F345" t="inlineStr">
        <is>
          <t>DALARNAS LÄN</t>
        </is>
      </c>
      <c r="G345" t="inlineStr">
        <is>
          <t>VANSBRO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46320</v>
      </c>
      <c r="F346" t="inlineStr">
        <is>
          <t>DALARNAS LÄN</t>
        </is>
      </c>
      <c r="G346" t="inlineStr">
        <is>
          <t>VANSBRO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46320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46320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46308</v>
      </c>
      <c r="E349" s="1" t="n">
        <v>46320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46265</v>
      </c>
      <c r="E350" s="1" t="n">
        <v>46320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46320</v>
      </c>
      <c r="F351" t="inlineStr">
        <is>
          <t>DALARNAS LÄN</t>
        </is>
      </c>
      <c r="G351" t="inlineStr">
        <is>
          <t>VANSBRO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46320</v>
      </c>
      <c r="F352" t="inlineStr">
        <is>
          <t>DALARNAS LÄN</t>
        </is>
      </c>
      <c r="G352" t="inlineStr">
        <is>
          <t>VANSBRO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46307</v>
      </c>
      <c r="E353" s="1" t="n">
        <v>46320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46320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46320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46320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46320</v>
      </c>
      <c r="F357" t="inlineStr">
        <is>
          <t>DALARNAS LÄN</t>
        </is>
      </c>
      <c r="G357" t="inlineStr">
        <is>
          <t>VANSBRO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63816-2021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44509</v>
      </c>
      <c r="E358" s="1" t="n">
        <v>46320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46320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46320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45491</v>
      </c>
      <c r="E361" s="1" t="n">
        <v>46320</v>
      </c>
      <c r="F361" t="inlineStr">
        <is>
          <t>DALARNAS LÄN</t>
        </is>
      </c>
      <c r="G361" t="inlineStr">
        <is>
          <t>VANSBRO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46320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46320</v>
      </c>
      <c r="F363" t="inlineStr">
        <is>
          <t>DALARNAS LÄN</t>
        </is>
      </c>
      <c r="G363" t="inlineStr">
        <is>
          <t>VANSBRO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46320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46262</v>
      </c>
      <c r="E365" s="1" t="n">
        <v>46320</v>
      </c>
      <c r="F365" t="inlineStr">
        <is>
          <t>DALARNAS LÄN</t>
        </is>
      </c>
      <c r="G365" t="inlineStr">
        <is>
          <t>VANSBRO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46308</v>
      </c>
      <c r="E366" s="1" t="n">
        <v>46320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46320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45806</v>
      </c>
      <c r="E368" s="1" t="n">
        <v>46320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46320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46309</v>
      </c>
      <c r="E370" s="1" t="n">
        <v>46320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46320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46320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46320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46320</v>
      </c>
      <c r="F374" t="inlineStr">
        <is>
          <t>DALARNAS LÄN</t>
        </is>
      </c>
      <c r="G374" t="inlineStr">
        <is>
          <t>VANSBRO</t>
        </is>
      </c>
      <c r="H374" t="inlineStr">
        <is>
          <t>Kyrkan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46268</v>
      </c>
      <c r="E375" s="1" t="n">
        <v>46320</v>
      </c>
      <c r="F375" t="inlineStr">
        <is>
          <t>DALARNAS LÄN</t>
        </is>
      </c>
      <c r="G375" t="inlineStr">
        <is>
          <t>VANSBRO</t>
        </is>
      </c>
      <c r="H375" t="inlineStr">
        <is>
          <t>Kyrkan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46320</v>
      </c>
      <c r="F376" t="inlineStr">
        <is>
          <t>DALARNAS LÄN</t>
        </is>
      </c>
      <c r="G376" t="inlineStr">
        <is>
          <t>VANSBRO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46320</v>
      </c>
      <c r="F377" t="inlineStr">
        <is>
          <t>DALARNAS LÄN</t>
        </is>
      </c>
      <c r="G377" t="inlineStr">
        <is>
          <t>VANSBRO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46320</v>
      </c>
      <c r="F378" t="inlineStr">
        <is>
          <t>DALARNAS LÄN</t>
        </is>
      </c>
      <c r="G378" t="inlineStr">
        <is>
          <t>VANSBRO</t>
        </is>
      </c>
      <c r="H378" t="inlineStr">
        <is>
          <t>Kyrkan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46320</v>
      </c>
      <c r="F379" t="inlineStr">
        <is>
          <t>DALARNAS LÄN</t>
        </is>
      </c>
      <c r="G379" t="inlineStr">
        <is>
          <t>VANSBRO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46320</v>
      </c>
      <c r="F380" t="inlineStr">
        <is>
          <t>DALARNAS LÄN</t>
        </is>
      </c>
      <c r="G380" t="inlineStr">
        <is>
          <t>VANSBRO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46320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46320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46272</v>
      </c>
      <c r="E383" s="1" t="n">
        <v>46320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46320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46320</v>
      </c>
      <c r="F385" t="inlineStr">
        <is>
          <t>DALARNAS LÄN</t>
        </is>
      </c>
      <c r="G385" t="inlineStr">
        <is>
          <t>VANSBRO</t>
        </is>
      </c>
      <c r="I385" t="n">
        <v>13.9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46320</v>
      </c>
      <c r="F386" t="inlineStr">
        <is>
          <t>DALARNAS LÄN</t>
        </is>
      </c>
      <c r="G386" t="inlineStr">
        <is>
          <t>VANSBRO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46320</v>
      </c>
      <c r="F387" t="inlineStr">
        <is>
          <t>DALARNAS LÄN</t>
        </is>
      </c>
      <c r="G387" t="inlineStr">
        <is>
          <t>VANSBRO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46320</v>
      </c>
      <c r="F388" t="inlineStr">
        <is>
          <t>DALARNAS LÄN</t>
        </is>
      </c>
      <c r="G388" t="inlineStr">
        <is>
          <t>VANSBRO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46320</v>
      </c>
      <c r="F389" t="inlineStr">
        <is>
          <t>DALARNAS LÄN</t>
        </is>
      </c>
      <c r="G389" t="inlineStr">
        <is>
          <t>VANSBRO</t>
        </is>
      </c>
      <c r="H389" t="inlineStr">
        <is>
          <t>Kyrkan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46318</v>
      </c>
      <c r="E390" s="1" t="n">
        <v>46320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46320</v>
      </c>
      <c r="F391" t="inlineStr">
        <is>
          <t>DALARNAS LÄN</t>
        </is>
      </c>
      <c r="G391" t="inlineStr">
        <is>
          <t>VANSBRO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45363</v>
      </c>
      <c r="E392" s="1" t="n">
        <v>46320</v>
      </c>
      <c r="F392" t="inlineStr">
        <is>
          <t>DALARNAS LÄN</t>
        </is>
      </c>
      <c r="G392" t="inlineStr">
        <is>
          <t>VANSBRO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46320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45817</v>
      </c>
      <c r="E394" s="1" t="n">
        <v>46320</v>
      </c>
      <c r="F394" t="inlineStr">
        <is>
          <t>DALARNAS LÄN</t>
        </is>
      </c>
      <c r="G394" t="inlineStr">
        <is>
          <t>VANSBRO</t>
        </is>
      </c>
      <c r="I394" t="n">
        <v>15.8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46275</v>
      </c>
      <c r="E395" s="1" t="n">
        <v>46320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46318</v>
      </c>
      <c r="E396" s="1" t="n">
        <v>46320</v>
      </c>
      <c r="F396" t="inlineStr">
        <is>
          <t>DALARNAS LÄN</t>
        </is>
      </c>
      <c r="G396" t="inlineStr">
        <is>
          <t>VANSBRO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46318</v>
      </c>
      <c r="E397" s="1" t="n">
        <v>46320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46320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46320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46320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46320</v>
      </c>
      <c r="F401" t="inlineStr">
        <is>
          <t>DALARNAS LÄN</t>
        </is>
      </c>
      <c r="G401" t="inlineStr">
        <is>
          <t>VANSBRO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46320</v>
      </c>
      <c r="F402" t="inlineStr">
        <is>
          <t>DALARNAS LÄN</t>
        </is>
      </c>
      <c r="G402" t="inlineStr">
        <is>
          <t>VANSBRO</t>
        </is>
      </c>
      <c r="H402" t="inlineStr">
        <is>
          <t>Övriga statliga verk och myndigheter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46320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46320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45498</v>
      </c>
      <c r="E405" s="1" t="n">
        <v>46320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44966</v>
      </c>
      <c r="E406" s="1" t="n">
        <v>46320</v>
      </c>
      <c r="F406" t="inlineStr">
        <is>
          <t>DALARNAS LÄN</t>
        </is>
      </c>
      <c r="G406" t="inlineStr">
        <is>
          <t>VANSBRO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45085</v>
      </c>
      <c r="E407" s="1" t="n">
        <v>46320</v>
      </c>
      <c r="F407" t="inlineStr">
        <is>
          <t>DALARNAS LÄN</t>
        </is>
      </c>
      <c r="G407" t="inlineStr">
        <is>
          <t>VANSBRO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46320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46320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46320</v>
      </c>
      <c r="F410" t="inlineStr">
        <is>
          <t>DALARNAS LÄN</t>
        </is>
      </c>
      <c r="G410" t="inlineStr">
        <is>
          <t>VANSBRO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20931-2022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44701</v>
      </c>
      <c r="E411" s="1" t="n">
        <v>46320</v>
      </c>
      <c r="F411" t="inlineStr">
        <is>
          <t>DALARNAS LÄN</t>
        </is>
      </c>
      <c r="G411" t="inlineStr">
        <is>
          <t>VANSBRO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46320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46320</v>
      </c>
      <c r="F413" t="inlineStr">
        <is>
          <t>DALARNAS LÄN</t>
        </is>
      </c>
      <c r="G413" t="inlineStr">
        <is>
          <t>VANSBRO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46320</v>
      </c>
      <c r="F414" t="inlineStr">
        <is>
          <t>DALARNAS LÄN</t>
        </is>
      </c>
      <c r="G414" t="inlineStr">
        <is>
          <t>VANSBRO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45890</v>
      </c>
      <c r="E415" s="1" t="n">
        <v>46320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45772</v>
      </c>
      <c r="E416" s="1" t="n">
        <v>46320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45689</v>
      </c>
      <c r="E417" s="1" t="n">
        <v>46320</v>
      </c>
      <c r="F417" t="inlineStr">
        <is>
          <t>DALARNAS LÄN</t>
        </is>
      </c>
      <c r="G417" t="inlineStr">
        <is>
          <t>VANSBRO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46320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46320</v>
      </c>
      <c r="F419" t="inlineStr">
        <is>
          <t>DALARNAS LÄN</t>
        </is>
      </c>
      <c r="G419" t="inlineStr">
        <is>
          <t>VANSBRO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46320</v>
      </c>
      <c r="F420" t="inlineStr">
        <is>
          <t>DALARNAS LÄN</t>
        </is>
      </c>
      <c r="G420" t="inlineStr">
        <is>
          <t>VANSBRO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50533-2024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46320</v>
      </c>
      <c r="F421" t="inlineStr">
        <is>
          <t>DALARNAS LÄN</t>
        </is>
      </c>
      <c r="G421" t="inlineStr">
        <is>
          <t>VANSBRO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45481</v>
      </c>
      <c r="E422" s="1" t="n">
        <v>46320</v>
      </c>
      <c r="F422" t="inlineStr">
        <is>
          <t>DALARNAS LÄN</t>
        </is>
      </c>
      <c r="G422" t="inlineStr">
        <is>
          <t>VANSBRO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46320</v>
      </c>
      <c r="F423" t="inlineStr">
        <is>
          <t>DALARNAS LÄN</t>
        </is>
      </c>
      <c r="G423" t="inlineStr">
        <is>
          <t>VANSBRO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46320</v>
      </c>
      <c r="F424" t="inlineStr">
        <is>
          <t>DALARNAS LÄN</t>
        </is>
      </c>
      <c r="G424" t="inlineStr">
        <is>
          <t>VANSBRO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45631</v>
      </c>
      <c r="E425" s="1" t="n">
        <v>46320</v>
      </c>
      <c r="F425" t="inlineStr">
        <is>
          <t>DALARNAS LÄN</t>
        </is>
      </c>
      <c r="G425" t="inlineStr">
        <is>
          <t>VANSBRO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51396-2022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44869</v>
      </c>
      <c r="E426" s="1" t="n">
        <v>46320</v>
      </c>
      <c r="F426" t="inlineStr">
        <is>
          <t>DALARNAS LÄN</t>
        </is>
      </c>
      <c r="G426" t="inlineStr">
        <is>
          <t>VANSBRO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46320</v>
      </c>
      <c r="F427" t="inlineStr">
        <is>
          <t>DALARNAS LÄN</t>
        </is>
      </c>
      <c r="G427" t="inlineStr">
        <is>
          <t>VANSBRO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46320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46320</v>
      </c>
      <c r="F429" t="inlineStr">
        <is>
          <t>DALARNAS LÄN</t>
        </is>
      </c>
      <c r="G429" t="inlineStr">
        <is>
          <t>VANSBRO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46320</v>
      </c>
      <c r="F430" t="inlineStr">
        <is>
          <t>DALARNAS LÄN</t>
        </is>
      </c>
      <c r="G430" t="inlineStr">
        <is>
          <t>VANSBRO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46320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46320</v>
      </c>
      <c r="F432" t="inlineStr">
        <is>
          <t>DALARNAS LÄN</t>
        </is>
      </c>
      <c r="G432" t="inlineStr">
        <is>
          <t>VANSBRO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46320</v>
      </c>
      <c r="F433" t="inlineStr">
        <is>
          <t>DALARNAS LÄN</t>
        </is>
      </c>
      <c r="G433" t="inlineStr">
        <is>
          <t>VANSBRO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4680-2023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44957</v>
      </c>
      <c r="E434" s="1" t="n">
        <v>46320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46320</v>
      </c>
      <c r="F435" t="inlineStr">
        <is>
          <t>DALARNAS LÄN</t>
        </is>
      </c>
      <c r="G435" t="inlineStr">
        <is>
          <t>VANSBRO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45530</v>
      </c>
      <c r="E436" s="1" t="n">
        <v>46320</v>
      </c>
      <c r="F436" t="inlineStr">
        <is>
          <t>DALARNAS LÄN</t>
        </is>
      </c>
      <c r="G436" t="inlineStr">
        <is>
          <t>VANSBRO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45763</v>
      </c>
      <c r="E437" s="1" t="n">
        <v>46320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46320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46320</v>
      </c>
      <c r="F439" t="inlineStr">
        <is>
          <t>DALARNAS LÄN</t>
        </is>
      </c>
      <c r="G439" t="inlineStr">
        <is>
          <t>VANSBRO</t>
        </is>
      </c>
      <c r="H439" t="inlineStr">
        <is>
          <t>Kommuner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45689</v>
      </c>
      <c r="E440" s="1" t="n">
        <v>46320</v>
      </c>
      <c r="F440" t="inlineStr">
        <is>
          <t>DALARNAS LÄN</t>
        </is>
      </c>
      <c r="G440" t="inlineStr">
        <is>
          <t>VANSBRO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45689</v>
      </c>
      <c r="E441" s="1" t="n">
        <v>46320</v>
      </c>
      <c r="F441" t="inlineStr">
        <is>
          <t>DALARNAS LÄN</t>
        </is>
      </c>
      <c r="G441" t="inlineStr">
        <is>
          <t>VANSBRO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8694-2023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44972</v>
      </c>
      <c r="E442" s="1" t="n">
        <v>46320</v>
      </c>
      <c r="F442" t="inlineStr">
        <is>
          <t>DALARNAS LÄN</t>
        </is>
      </c>
      <c r="G442" t="inlineStr">
        <is>
          <t>VANSBRO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46320</v>
      </c>
      <c r="F443" t="inlineStr">
        <is>
          <t>DALARNAS LÄN</t>
        </is>
      </c>
      <c r="G443" t="inlineStr">
        <is>
          <t>VANSBRO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46320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44960</v>
      </c>
      <c r="E445" s="1" t="n">
        <v>46320</v>
      </c>
      <c r="F445" t="inlineStr">
        <is>
          <t>DALARNAS LÄN</t>
        </is>
      </c>
      <c r="G445" t="inlineStr">
        <is>
          <t>VANSBRO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45371</v>
      </c>
      <c r="E446" s="1" t="n">
        <v>46320</v>
      </c>
      <c r="F446" t="inlineStr">
        <is>
          <t>DALARNAS LÄN</t>
        </is>
      </c>
      <c r="G446" t="inlineStr">
        <is>
          <t>VANSBRO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46320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57947-2023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45247</v>
      </c>
      <c r="E448" s="1" t="n">
        <v>46320</v>
      </c>
      <c r="F448" t="inlineStr">
        <is>
          <t>DALARNAS LÄN</t>
        </is>
      </c>
      <c r="G448" t="inlineStr">
        <is>
          <t>VANSBRO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46320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35299-2024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45530</v>
      </c>
      <c r="E450" s="1" t="n">
        <v>46320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13062-2023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45002</v>
      </c>
      <c r="E451" s="1" t="n">
        <v>46320</v>
      </c>
      <c r="F451" t="inlineStr">
        <is>
          <t>DALARNAS LÄN</t>
        </is>
      </c>
      <c r="G451" t="inlineStr">
        <is>
          <t>VANSBRO</t>
        </is>
      </c>
      <c r="H451" t="inlineStr">
        <is>
          <t>Övriga statliga verk och myndigheter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44925</v>
      </c>
      <c r="E452" s="1" t="n">
        <v>46320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46320</v>
      </c>
      <c r="F453" t="inlineStr">
        <is>
          <t>DALARNAS LÄN</t>
        </is>
      </c>
      <c r="G453" t="inlineStr">
        <is>
          <t>VANSBRO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45443</v>
      </c>
      <c r="E454" s="1" t="n">
        <v>46320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5420-2024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45331</v>
      </c>
      <c r="E455" s="1" t="n">
        <v>46320</v>
      </c>
      <c r="F455" t="inlineStr">
        <is>
          <t>DALARNAS LÄN</t>
        </is>
      </c>
      <c r="G455" t="inlineStr">
        <is>
          <t>VANSBRO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46320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öst AB</t>
        </is>
      </c>
      <c r="I456" t="n">
        <v>45.8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46320</v>
      </c>
      <c r="F457" t="inlineStr">
        <is>
          <t>DALARNAS LÄN</t>
        </is>
      </c>
      <c r="G457" t="inlineStr">
        <is>
          <t>VANSBRO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11485-2024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45372</v>
      </c>
      <c r="E458" s="1" t="n">
        <v>46320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44805</v>
      </c>
      <c r="E459" s="1" t="n">
        <v>46320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46320</v>
      </c>
      <c r="F460" t="inlineStr">
        <is>
          <t>DALARNAS LÄN</t>
        </is>
      </c>
      <c r="G460" t="inlineStr">
        <is>
          <t>VANSBRO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13639-2022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44648</v>
      </c>
      <c r="E461" s="1" t="n">
        <v>46320</v>
      </c>
      <c r="F461" t="inlineStr">
        <is>
          <t>DALARNAS LÄN</t>
        </is>
      </c>
      <c r="G461" t="inlineStr">
        <is>
          <t>VANSBRO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921-2025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45665</v>
      </c>
      <c r="E462" s="1" t="n">
        <v>46320</v>
      </c>
      <c r="F462" t="inlineStr">
        <is>
          <t>DALARNAS LÄN</t>
        </is>
      </c>
      <c r="G462" t="inlineStr">
        <is>
          <t>VANSBRO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46320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46320</v>
      </c>
      <c r="F464" t="inlineStr">
        <is>
          <t>DALARNAS LÄN</t>
        </is>
      </c>
      <c r="G464" t="inlineStr">
        <is>
          <t>VANSBRO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46320</v>
      </c>
      <c r="F465" t="inlineStr">
        <is>
          <t>DALARNAS LÄN</t>
        </is>
      </c>
      <c r="G465" t="inlineStr">
        <is>
          <t>VANSBRO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46320</v>
      </c>
      <c r="F466" t="inlineStr">
        <is>
          <t>DALARNAS LÄN</t>
        </is>
      </c>
      <c r="G466" t="inlineStr">
        <is>
          <t>VANSBRO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44728</v>
      </c>
      <c r="E467" s="1" t="n">
        <v>46320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46320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46320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46320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45665</v>
      </c>
      <c r="E471" s="1" t="n">
        <v>46320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46320</v>
      </c>
      <c r="F472" t="inlineStr">
        <is>
          <t>DALARNAS LÄN</t>
        </is>
      </c>
      <c r="G472" t="inlineStr">
        <is>
          <t>VANSBRO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45169</v>
      </c>
      <c r="E473" s="1" t="n">
        <v>46320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46320</v>
      </c>
      <c r="F474" t="inlineStr">
        <is>
          <t>DALARNAS LÄN</t>
        </is>
      </c>
      <c r="G474" t="inlineStr">
        <is>
          <t>VANSBRO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46320</v>
      </c>
      <c r="F475" t="inlineStr">
        <is>
          <t>DALARNAS LÄN</t>
        </is>
      </c>
      <c r="G475" t="inlineStr">
        <is>
          <t>VANSBRO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46320</v>
      </c>
      <c r="F476" t="inlineStr">
        <is>
          <t>DALARNAS LÄN</t>
        </is>
      </c>
      <c r="G476" t="inlineStr">
        <is>
          <t>VANSBRO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50125-2023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45215</v>
      </c>
      <c r="E477" s="1" t="n">
        <v>46320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46320</v>
      </c>
      <c r="F478" t="inlineStr">
        <is>
          <t>DALARNAS LÄN</t>
        </is>
      </c>
      <c r="G478" t="inlineStr">
        <is>
          <t>VANSBRO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46320</v>
      </c>
      <c r="F479" t="inlineStr">
        <is>
          <t>DALARNAS LÄN</t>
        </is>
      </c>
      <c r="G479" t="inlineStr">
        <is>
          <t>VANSBRO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46320</v>
      </c>
      <c r="F480" t="inlineStr">
        <is>
          <t>DALARNAS LÄN</t>
        </is>
      </c>
      <c r="G480" t="inlineStr">
        <is>
          <t>VANSBRO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45322</v>
      </c>
      <c r="E481" s="1" t="n">
        <v>46320</v>
      </c>
      <c r="F481" t="inlineStr">
        <is>
          <t>DALARNAS LÄN</t>
        </is>
      </c>
      <c r="G481" t="inlineStr">
        <is>
          <t>VANSBRO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46320</v>
      </c>
      <c r="F482" t="inlineStr">
        <is>
          <t>DALARNAS LÄN</t>
        </is>
      </c>
      <c r="G482" t="inlineStr">
        <is>
          <t>VANSBRO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44930</v>
      </c>
      <c r="E483" s="1" t="n">
        <v>46320</v>
      </c>
      <c r="F483" t="inlineStr">
        <is>
          <t>DALARNAS LÄN</t>
        </is>
      </c>
      <c r="G483" t="inlineStr">
        <is>
          <t>VANSBRO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55078-2022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44886</v>
      </c>
      <c r="E484" s="1" t="n">
        <v>46320</v>
      </c>
      <c r="F484" t="inlineStr">
        <is>
          <t>DALARNAS LÄN</t>
        </is>
      </c>
      <c r="G484" t="inlineStr">
        <is>
          <t>VANSBRO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46320</v>
      </c>
      <c r="F485" t="inlineStr">
        <is>
          <t>DALARNAS LÄN</t>
        </is>
      </c>
      <c r="G485" t="inlineStr">
        <is>
          <t>VANSBRO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45265</v>
      </c>
      <c r="E486" s="1" t="n">
        <v>46320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45315</v>
      </c>
      <c r="E487" s="1" t="n">
        <v>46320</v>
      </c>
      <c r="F487" t="inlineStr">
        <is>
          <t>DALARNAS LÄN</t>
        </is>
      </c>
      <c r="G487" t="inlineStr">
        <is>
          <t>VANSBRO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11408-2025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45726</v>
      </c>
      <c r="E488" s="1" t="n">
        <v>46320</v>
      </c>
      <c r="F488" t="inlineStr">
        <is>
          <t>DALARNAS LÄN</t>
        </is>
      </c>
      <c r="G488" t="inlineStr">
        <is>
          <t>VANSBRO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45520</v>
      </c>
      <c r="E489" s="1" t="n">
        <v>46320</v>
      </c>
      <c r="F489" t="inlineStr">
        <is>
          <t>DALARNAS LÄN</t>
        </is>
      </c>
      <c r="G489" t="inlineStr">
        <is>
          <t>VANSBRO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46320</v>
      </c>
      <c r="F490" t="inlineStr">
        <is>
          <t>DALARNAS LÄN</t>
        </is>
      </c>
      <c r="G490" t="inlineStr">
        <is>
          <t>VANSBRO</t>
        </is>
      </c>
      <c r="H490" t="inlineStr">
        <is>
          <t>Övriga statliga verk och myndigheter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61515-2022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44916</v>
      </c>
      <c r="E491" s="1" t="n">
        <v>46320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45008</v>
      </c>
      <c r="E492" s="1" t="n">
        <v>46320</v>
      </c>
      <c r="F492" t="inlineStr">
        <is>
          <t>DALARNAS LÄN</t>
        </is>
      </c>
      <c r="G492" t="inlineStr">
        <is>
          <t>VANSBRO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46320</v>
      </c>
      <c r="F493" t="inlineStr">
        <is>
          <t>DALARNAS LÄN</t>
        </is>
      </c>
      <c r="G493" t="inlineStr">
        <is>
          <t>VANSBRO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41371-2022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44826</v>
      </c>
      <c r="E494" s="1" t="n">
        <v>46320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öst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46320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46320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46320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46320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46320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46320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2026-10-25T02:07:36Z</dcterms:created>
  <dcterms:modified xmlns:dcterms="http://purl.org/dc/terms/" xmlns:xsi="http://www.w3.org/2001/XMLSchema-instance" xsi:type="dcterms:W3CDTF">2026-10-25T02:07:37Z</dcterms:modified>
</cp:coreProperties>
</file>