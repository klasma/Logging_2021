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46307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46307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46307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46307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46307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46307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46307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46307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46307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46307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46307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46307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46307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46307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46307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46307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46307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46307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46307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46307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11433-2025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46307</v>
      </c>
      <c r="F29" t="inlineStr">
        <is>
          <t>DALARNAS LÄN</t>
        </is>
      </c>
      <c r="G29" t="inlineStr">
        <is>
          <t>VANSBRO</t>
        </is>
      </c>
      <c r="I29" t="n">
        <v>7.5</v>
      </c>
      <c r="J29" t="n">
        <v>1</v>
      </c>
      <c r="K29" t="n">
        <v>1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24</v>
      </c>
      <c r="U29" t="n">
        <v>24</v>
      </c>
      <c r="V29" s="2" t="inlineStr">
        <is>
          <t>Garnlav
Knärot
Bollvitmossa</t>
        </is>
      </c>
      <c r="W29">
        <f>HYPERLINK("https://klasma.github.io/Logging_2021/artfynd/A 11433-2025 artfynd.xlsx", "A 11433-2025")</f>
        <v/>
      </c>
      <c r="X29">
        <f>HYPERLINK("https://klasma.github.io/Logging_2021/kartor/A 11433-2025 karta.png", "A 11433-2025")</f>
        <v/>
      </c>
      <c r="Y29">
        <f>HYPERLINK("https://klasma.github.io/Logging_2021/kartor_geotiff/A 11433-2025 georefererad karta.tif", "A 11433-2025")</f>
        <v/>
      </c>
      <c r="Z29">
        <f>HYPERLINK("https://klasma.github.io/Logging_2021/knärot/A 11433-2025 karta knärot.png", "A 11433-2025")</f>
        <v/>
      </c>
      <c r="AA29">
        <f>HYPERLINK("https://klasma.github.io/Logging_2021/klagomål/A 11433-2025 FSC-klagomål.docx", "A 11433-2025")</f>
        <v/>
      </c>
      <c r="AB29">
        <f>HYPERLINK("https://klasma.github.io/Logging_2021/klagomålsmail/A 11433-2025 FSC-klagomål mail.docx", "A 11433-2025")</f>
        <v/>
      </c>
      <c r="AC29">
        <f>HYPERLINK("https://klasma.github.io/Logging_2021/tillsyn/A 11433-2025 tillsynsbegäran.docx", "A 11433-2025")</f>
        <v/>
      </c>
      <c r="AD29">
        <f>HYPERLINK("https://klasma.github.io/Logging_2021/tillsynsmail/A 11433-2025 tillsynsbegäran mail.docx", "A 11433-2025")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46307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46307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46307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46307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46307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46307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46307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1691-2026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46307</v>
      </c>
      <c r="F38" t="inlineStr">
        <is>
          <t>DALARNAS LÄN</t>
        </is>
      </c>
      <c r="G38" t="inlineStr">
        <is>
          <t>VANSBRO</t>
        </is>
      </c>
      <c r="I38" t="n">
        <v>6.3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Dropptaggsvamp
Motaggsvamp</t>
        </is>
      </c>
      <c r="W38">
        <f>HYPERLINK("https://klasma.github.io/Logging_2021/artfynd/A 1691-2026 artfynd.xlsx", "A 1691-2026")</f>
        <v/>
      </c>
      <c r="X38">
        <f>HYPERLINK("https://klasma.github.io/Logging_2021/kartor/A 1691-2026 karta.png", "A 1691-2026")</f>
        <v/>
      </c>
      <c r="Y38">
        <f>HYPERLINK("https://klasma.github.io/Logging_2021/kartor_geotiff/A 1691-2026 georefererad karta.tif", "A 1691-2026")</f>
        <v/>
      </c>
      <c r="AA38">
        <f>HYPERLINK("https://klasma.github.io/Logging_2021/klagomål/A 1691-2026 FSC-klagomål.docx", "A 1691-2026")</f>
        <v/>
      </c>
      <c r="AB38">
        <f>HYPERLINK("https://klasma.github.io/Logging_2021/klagomålsmail/A 1691-2026 FSC-klagomål mail.docx", "A 1691-2026")</f>
        <v/>
      </c>
      <c r="AC38">
        <f>HYPERLINK("https://klasma.github.io/Logging_2021/tillsyn/A 1691-2026 tillsynsbegäran.docx", "A 1691-2026")</f>
        <v/>
      </c>
      <c r="AD38">
        <f>HYPERLINK("https://klasma.github.io/Logging_2021/tillsynsmail/A 1691-2026 tillsynsbegäran mail.docx", "A 1691-2026")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46307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37219-2024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46307</v>
      </c>
      <c r="F40" t="inlineStr">
        <is>
          <t>DALARNAS LÄN</t>
        </is>
      </c>
      <c r="G40" t="inlineStr">
        <is>
          <t>VANSBRO</t>
        </is>
      </c>
      <c r="I40" t="n">
        <v>5.3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Tjäder</t>
        </is>
      </c>
      <c r="W40">
        <f>HYPERLINK("https://klasma.github.io/Logging_2021/artfynd/A 37219-2024 artfynd.xlsx", "A 37219-2024")</f>
        <v/>
      </c>
      <c r="X40">
        <f>HYPERLINK("https://klasma.github.io/Logging_2021/kartor/A 37219-2024 karta.png", "A 37219-2024")</f>
        <v/>
      </c>
      <c r="Y40">
        <f>HYPERLINK("https://klasma.github.io/Logging_2021/kartor_geotiff/A 37219-2024 georefererad karta.tif", "A 37219-2024")</f>
        <v/>
      </c>
      <c r="AA40">
        <f>HYPERLINK("https://klasma.github.io/Logging_2021/klagomål/A 37219-2024 FSC-klagomål.docx", "A 37219-2024")</f>
        <v/>
      </c>
      <c r="AB40">
        <f>HYPERLINK("https://klasma.github.io/Logging_2021/klagomålsmail/A 37219-2024 FSC-klagomål mail.docx", "A 37219-2024")</f>
        <v/>
      </c>
      <c r="AC40">
        <f>HYPERLINK("https://klasma.github.io/Logging_2021/tillsyn/A 37219-2024 tillsynsbegäran.docx", "A 37219-2024")</f>
        <v/>
      </c>
      <c r="AD40">
        <f>HYPERLINK("https://klasma.github.io/Logging_2021/tillsynsmail/A 37219-2024 tillsynsbegäran mail.docx", "A 37219-2024")</f>
        <v/>
      </c>
      <c r="AE40">
        <f>HYPERLINK("https://klasma.github.io/Logging_2021/fåglar/A 37219-2024 prioriterade fågelarter.docx", "A 37219-2024")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46307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46307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46307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46307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Järnsparv</t>
        </is>
      </c>
      <c r="W44">
        <f>HYPERLINK("https://klasma.github.io/Logging_2021/artfynd/A 57810-2023 artfynd.xlsx", "A 57810-2023")</f>
        <v/>
      </c>
      <c r="X44">
        <f>HYPERLINK("https://klasma.github.io/Logging_2021/kartor/A 57810-2023 karta.png", "A 57810-2023")</f>
        <v/>
      </c>
      <c r="Y44">
        <f>HYPERLINK("https://klasma.github.io/Logging_2021/kartor_geotiff/A 57810-2023 georefererad karta.tif", "A 57810-2023")</f>
        <v/>
      </c>
      <c r="AA44">
        <f>HYPERLINK("https://klasma.github.io/Logging_2021/klagomål/A 57810-2023 FSC-klagomål.docx", "A 57810-2023")</f>
        <v/>
      </c>
      <c r="AB44">
        <f>HYPERLINK("https://klasma.github.io/Logging_2021/klagomålsmail/A 57810-2023 FSC-klagomål mail.docx", "A 57810-2023")</f>
        <v/>
      </c>
      <c r="AC44">
        <f>HYPERLINK("https://klasma.github.io/Logging_2021/tillsyn/A 57810-2023 tillsynsbegäran.docx", "A 57810-2023")</f>
        <v/>
      </c>
      <c r="AD44">
        <f>HYPERLINK("https://klasma.github.io/Logging_2021/tillsynsmail/A 57810-2023 tillsynsbegäran mail.docx", "A 57810-2023")</f>
        <v/>
      </c>
      <c r="AE44">
        <f>HYPERLINK("https://klasma.github.io/Logging_2021/fåglar/A 57810-2023 prioriterade fågelarter.docx", "A 57810-2023")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46307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46307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46307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3918-2026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46307</v>
      </c>
      <c r="F48" t="inlineStr">
        <is>
          <t>DALARNAS LÄN</t>
        </is>
      </c>
      <c r="G48" t="inlineStr">
        <is>
          <t>VANSBRO</t>
        </is>
      </c>
      <c r="I48" t="n">
        <v>6.2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Duvhök</t>
        </is>
      </c>
      <c r="W48">
        <f>HYPERLINK("https://klasma.github.io/Logging_2021/artfynd/A 3918-2026 artfynd.xlsx", "A 3918-2026")</f>
        <v/>
      </c>
      <c r="X48">
        <f>HYPERLINK("https://klasma.github.io/Logging_2021/kartor/A 3918-2026 karta.png", "A 3918-2026")</f>
        <v/>
      </c>
      <c r="Y48">
        <f>HYPERLINK("https://klasma.github.io/Logging_2021/kartor_geotiff/A 3918-2026 georefererad karta.tif", "A 3918-2026")</f>
        <v/>
      </c>
      <c r="AA48">
        <f>HYPERLINK("https://klasma.github.io/Logging_2021/klagomål/A 3918-2026 FSC-klagomål.docx", "A 3918-2026")</f>
        <v/>
      </c>
      <c r="AB48">
        <f>HYPERLINK("https://klasma.github.io/Logging_2021/klagomålsmail/A 3918-2026 FSC-klagomål mail.docx", "A 3918-2026")</f>
        <v/>
      </c>
      <c r="AC48">
        <f>HYPERLINK("https://klasma.github.io/Logging_2021/tillsyn/A 3918-2026 tillsynsbegäran.docx", "A 3918-2026")</f>
        <v/>
      </c>
      <c r="AD48">
        <f>HYPERLINK("https://klasma.github.io/Logging_2021/tillsynsmail/A 3918-2026 tillsynsbegäran mail.docx", "A 3918-2026")</f>
        <v/>
      </c>
      <c r="AE48">
        <f>HYPERLINK("https://klasma.github.io/Logging_2021/fåglar/A 3918-2026 prioriterade fågelarter.docx", "A 3918-2026")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46307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46051</v>
      </c>
      <c r="E50" s="1" t="n">
        <v>46307</v>
      </c>
      <c r="F50" t="inlineStr">
        <is>
          <t>DALARNAS LÄN</t>
        </is>
      </c>
      <c r="G50" t="inlineStr">
        <is>
          <t>VANSBRO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rörsvepemossa</t>
        </is>
      </c>
      <c r="W50">
        <f>HYPERLINK("https://klasma.github.io/Logging_2021/artfynd/A 5659-2026 artfynd.xlsx", "A 5659-2026")</f>
        <v/>
      </c>
      <c r="X50">
        <f>HYPERLINK("https://klasma.github.io/Logging_2021/kartor/A 5659-2026 karta.png", "A 5659-2026")</f>
        <v/>
      </c>
      <c r="Y50">
        <f>HYPERLINK("https://klasma.github.io/Logging_2021/kartor_geotiff/A 5659-2026 georefererad karta.tif", "A 5659-2026")</f>
        <v/>
      </c>
      <c r="Z50">
        <f>HYPERLINK("https://klasma.github.io/Logging_2021/knärot/A 5659-2026 karta knärot.png", "A 5659-2026")</f>
        <v/>
      </c>
      <c r="AA50">
        <f>HYPERLINK("https://klasma.github.io/Logging_2021/klagomål/A 5659-2026 FSC-klagomål.docx", "A 5659-2026")</f>
        <v/>
      </c>
      <c r="AB50">
        <f>HYPERLINK("https://klasma.github.io/Logging_2021/klagomålsmail/A 5659-2026 FSC-klagomål mail.docx", "A 5659-2026")</f>
        <v/>
      </c>
      <c r="AC50">
        <f>HYPERLINK("https://klasma.github.io/Logging_2021/tillsyn/A 5659-2026 tillsynsbegäran.docx", "A 5659-2026")</f>
        <v/>
      </c>
      <c r="AD50">
        <f>HYPERLINK("https://klasma.github.io/Logging_2021/tillsynsmail/A 5659-2026 tillsynsbegäran mail.docx", "A 5659-2026")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46307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46307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46307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46307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46307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46307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46307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46307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46307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46307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46307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46307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46307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46307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46307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46307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46307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46307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46307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46307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46307</v>
      </c>
      <c r="F71" t="inlineStr">
        <is>
          <t>DALARNAS LÄN</t>
        </is>
      </c>
      <c r="G71" t="inlineStr">
        <is>
          <t>VANSBRO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46307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46307</v>
      </c>
      <c r="F73" t="inlineStr">
        <is>
          <t>DALARNAS LÄN</t>
        </is>
      </c>
      <c r="G73" t="inlineStr">
        <is>
          <t>VANSBRO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46307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46307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8890-2022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44614</v>
      </c>
      <c r="E76" s="1" t="n">
        <v>46307</v>
      </c>
      <c r="F76" t="inlineStr">
        <is>
          <t>DALARNAS LÄN</t>
        </is>
      </c>
      <c r="G76" t="inlineStr">
        <is>
          <t>VANSBRO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46307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46307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46307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46307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46307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46307</v>
      </c>
      <c r="F82" t="inlineStr">
        <is>
          <t>DALARNAS LÄN</t>
        </is>
      </c>
      <c r="G82" t="inlineStr">
        <is>
          <t>VANSBRO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48111-2024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45589</v>
      </c>
      <c r="E83" s="1" t="n">
        <v>46307</v>
      </c>
      <c r="F83" t="inlineStr">
        <is>
          <t>DALARNAS LÄN</t>
        </is>
      </c>
      <c r="G83" t="inlineStr">
        <is>
          <t>VANSBRO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44980</v>
      </c>
      <c r="E84" s="1" t="n">
        <v>46307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46307</v>
      </c>
      <c r="F85" t="inlineStr">
        <is>
          <t>DALARNAS LÄN</t>
        </is>
      </c>
      <c r="G85" t="inlineStr">
        <is>
          <t>VANSBRO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46307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46307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46307</v>
      </c>
      <c r="F89" t="inlineStr">
        <is>
          <t>DALARNAS LÄN</t>
        </is>
      </c>
      <c r="G89" t="inlineStr">
        <is>
          <t>VANSBRO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46307</v>
      </c>
      <c r="F90" t="inlineStr">
        <is>
          <t>DALARNAS LÄN</t>
        </is>
      </c>
      <c r="G90" t="inlineStr">
        <is>
          <t>VANSBRO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46307</v>
      </c>
      <c r="F91" t="inlineStr">
        <is>
          <t>DALARNAS LÄN</t>
        </is>
      </c>
      <c r="G91" t="inlineStr">
        <is>
          <t>VANSBRO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46307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46307</v>
      </c>
      <c r="F93" t="inlineStr">
        <is>
          <t>DALARNAS LÄN</t>
        </is>
      </c>
      <c r="G93" t="inlineStr">
        <is>
          <t>VANSBRO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46307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46307</v>
      </c>
      <c r="F95" t="inlineStr">
        <is>
          <t>DALARNAS LÄN</t>
        </is>
      </c>
      <c r="G95" t="inlineStr">
        <is>
          <t>VANSBRO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46307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8447-2022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44612</v>
      </c>
      <c r="E97" s="1" t="n">
        <v>46307</v>
      </c>
      <c r="F97" t="inlineStr">
        <is>
          <t>DALARNAS LÄN</t>
        </is>
      </c>
      <c r="G97" t="inlineStr">
        <is>
          <t>VANSBRO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46307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46307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46307</v>
      </c>
      <c r="F100" t="inlineStr">
        <is>
          <t>DALARNAS LÄN</t>
        </is>
      </c>
      <c r="G100" t="inlineStr">
        <is>
          <t>VANSBRO</t>
        </is>
      </c>
      <c r="H100" t="inlineStr">
        <is>
          <t>Kommuner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46307</v>
      </c>
      <c r="F101" t="inlineStr">
        <is>
          <t>DALARNAS LÄN</t>
        </is>
      </c>
      <c r="G101" t="inlineStr">
        <is>
          <t>VANSBRO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46307</v>
      </c>
      <c r="F102" t="inlineStr">
        <is>
          <t>DALARNAS LÄN</t>
        </is>
      </c>
      <c r="G102" t="inlineStr">
        <is>
          <t>VANSBRO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46307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46307</v>
      </c>
      <c r="F104" t="inlineStr">
        <is>
          <t>DALARNAS LÄN</t>
        </is>
      </c>
      <c r="G104" t="inlineStr">
        <is>
          <t>VANSBRO</t>
        </is>
      </c>
      <c r="I104" t="n">
        <v>15.5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44862</v>
      </c>
      <c r="E105" s="1" t="n">
        <v>46307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46307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46307</v>
      </c>
      <c r="F107" t="inlineStr">
        <is>
          <t>DALARNAS LÄN</t>
        </is>
      </c>
      <c r="G107" t="inlineStr">
        <is>
          <t>VANSBRO</t>
        </is>
      </c>
      <c r="H107" t="inlineStr">
        <is>
          <t>Övriga statliga verk och myndigheter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46307</v>
      </c>
      <c r="F108" t="inlineStr">
        <is>
          <t>DALARNAS LÄN</t>
        </is>
      </c>
      <c r="G108" t="inlineStr">
        <is>
          <t>VANSBRO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46307</v>
      </c>
      <c r="F109" t="inlineStr">
        <is>
          <t>DALARNAS LÄN</t>
        </is>
      </c>
      <c r="G109" t="inlineStr">
        <is>
          <t>VANSBRO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46307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46307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22.1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46307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46307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60031-2022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44909</v>
      </c>
      <c r="E114" s="1" t="n">
        <v>46307</v>
      </c>
      <c r="F114" t="inlineStr">
        <is>
          <t>DALARNAS LÄN</t>
        </is>
      </c>
      <c r="G114" t="inlineStr">
        <is>
          <t>VANSBRO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46307</v>
      </c>
      <c r="F115" t="inlineStr">
        <is>
          <t>DALARNAS LÄN</t>
        </is>
      </c>
      <c r="G115" t="inlineStr">
        <is>
          <t>VANSBRO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46307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46307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46307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45520</v>
      </c>
      <c r="E119" s="1" t="n">
        <v>46307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46307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35299-2024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45530</v>
      </c>
      <c r="E121" s="1" t="n">
        <v>46307</v>
      </c>
      <c r="F121" t="inlineStr">
        <is>
          <t>DALARNAS LÄN</t>
        </is>
      </c>
      <c r="G121" t="inlineStr">
        <is>
          <t>VANSBRO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46307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46307</v>
      </c>
      <c r="F123" t="inlineStr">
        <is>
          <t>DALARNAS LÄN</t>
        </is>
      </c>
      <c r="G123" t="inlineStr">
        <is>
          <t>VANSBRO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46307</v>
      </c>
      <c r="F124" t="inlineStr">
        <is>
          <t>DALARNAS LÄN</t>
        </is>
      </c>
      <c r="G124" t="inlineStr">
        <is>
          <t>VANSBRO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46307</v>
      </c>
      <c r="F125" t="inlineStr">
        <is>
          <t>DALARNAS LÄN</t>
        </is>
      </c>
      <c r="G125" t="inlineStr">
        <is>
          <t>VANSBRO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13062-2023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45002</v>
      </c>
      <c r="E126" s="1" t="n">
        <v>46307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46307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46307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45309</v>
      </c>
      <c r="E129" s="1" t="n">
        <v>46307</v>
      </c>
      <c r="F129" t="inlineStr">
        <is>
          <t>DALARNAS LÄN</t>
        </is>
      </c>
      <c r="G129" t="inlineStr">
        <is>
          <t>VANSBRO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46307</v>
      </c>
      <c r="F130" t="inlineStr">
        <is>
          <t>DALARNAS LÄN</t>
        </is>
      </c>
      <c r="G130" t="inlineStr">
        <is>
          <t>VANSBRO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46307</v>
      </c>
      <c r="F131" t="inlineStr">
        <is>
          <t>DALARNAS LÄN</t>
        </is>
      </c>
      <c r="G131" t="inlineStr">
        <is>
          <t>VANSBRO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46307</v>
      </c>
      <c r="F132" t="inlineStr">
        <is>
          <t>DALARNAS LÄN</t>
        </is>
      </c>
      <c r="G132" t="inlineStr">
        <is>
          <t>VANSBRO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46307</v>
      </c>
      <c r="F133" t="inlineStr">
        <is>
          <t>DALARNAS LÄN</t>
        </is>
      </c>
      <c r="G133" t="inlineStr">
        <is>
          <t>VANSBRO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46307</v>
      </c>
      <c r="F134" t="inlineStr">
        <is>
          <t>DALARNAS LÄN</t>
        </is>
      </c>
      <c r="G134" t="inlineStr">
        <is>
          <t>VANSBRO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46307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46307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46307</v>
      </c>
      <c r="F137" t="inlineStr">
        <is>
          <t>DALARNAS LÄN</t>
        </is>
      </c>
      <c r="G137" t="inlineStr">
        <is>
          <t>VANSBRO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46307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46307</v>
      </c>
      <c r="F139" t="inlineStr">
        <is>
          <t>DALARNAS LÄN</t>
        </is>
      </c>
      <c r="G139" t="inlineStr">
        <is>
          <t>VANSBRO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45471</v>
      </c>
      <c r="E140" s="1" t="n">
        <v>46307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46307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46307</v>
      </c>
      <c r="F142" t="inlineStr">
        <is>
          <t>DALARNAS LÄN</t>
        </is>
      </c>
      <c r="G142" t="inlineStr">
        <is>
          <t>VANSBRO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46307</v>
      </c>
      <c r="F143" t="inlineStr">
        <is>
          <t>DALARNAS LÄN</t>
        </is>
      </c>
      <c r="G143" t="inlineStr">
        <is>
          <t>VANSBRO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46307</v>
      </c>
      <c r="F144" t="inlineStr">
        <is>
          <t>DALARNAS LÄN</t>
        </is>
      </c>
      <c r="G144" t="inlineStr">
        <is>
          <t>VANSBRO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46307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45783</v>
      </c>
      <c r="E146" s="1" t="n">
        <v>46307</v>
      </c>
      <c r="F146" t="inlineStr">
        <is>
          <t>DALARNAS LÄN</t>
        </is>
      </c>
      <c r="G146" t="inlineStr">
        <is>
          <t>VANSBRO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46307</v>
      </c>
      <c r="F147" t="inlineStr">
        <is>
          <t>DALARNAS LÄN</t>
        </is>
      </c>
      <c r="G147" t="inlineStr">
        <is>
          <t>VANSBRO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45783</v>
      </c>
      <c r="E148" s="1" t="n">
        <v>46307</v>
      </c>
      <c r="F148" t="inlineStr">
        <is>
          <t>DALARNAS LÄN</t>
        </is>
      </c>
      <c r="G148" t="inlineStr">
        <is>
          <t>VANSBRO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46307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44719</v>
      </c>
      <c r="E150" s="1" t="n">
        <v>46307</v>
      </c>
      <c r="F150" t="inlineStr">
        <is>
          <t>DALARNAS LÄN</t>
        </is>
      </c>
      <c r="G150" t="inlineStr">
        <is>
          <t>VANSBRO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45492</v>
      </c>
      <c r="E151" s="1" t="n">
        <v>46307</v>
      </c>
      <c r="F151" t="inlineStr">
        <is>
          <t>DALARNAS LÄN</t>
        </is>
      </c>
      <c r="G151" t="inlineStr">
        <is>
          <t>VANSBRO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46307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29411-2024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45483</v>
      </c>
      <c r="E153" s="1" t="n">
        <v>46307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46307</v>
      </c>
      <c r="F154" t="inlineStr">
        <is>
          <t>DALARNAS LÄN</t>
        </is>
      </c>
      <c r="G154" t="inlineStr">
        <is>
          <t>VANSBRO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46307</v>
      </c>
      <c r="F155" t="inlineStr">
        <is>
          <t>DALARNAS LÄN</t>
        </is>
      </c>
      <c r="G155" t="inlineStr">
        <is>
          <t>VANSBRO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46307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46307</v>
      </c>
      <c r="F157" t="inlineStr">
        <is>
          <t>DALARNAS LÄN</t>
        </is>
      </c>
      <c r="G157" t="inlineStr">
        <is>
          <t>VANSBRO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45331</v>
      </c>
      <c r="E158" s="1" t="n">
        <v>46307</v>
      </c>
      <c r="F158" t="inlineStr">
        <is>
          <t>DALARNAS LÄN</t>
        </is>
      </c>
      <c r="G158" t="inlineStr">
        <is>
          <t>VANSBRO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46307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46307</v>
      </c>
      <c r="F160" t="inlineStr">
        <is>
          <t>DALARNAS LÄN</t>
        </is>
      </c>
      <c r="G160" t="inlineStr">
        <is>
          <t>VANSBRO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46307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45.8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46307</v>
      </c>
      <c r="F162" t="inlineStr">
        <is>
          <t>DALARNAS LÄN</t>
        </is>
      </c>
      <c r="G162" t="inlineStr">
        <is>
          <t>VANSBRO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46307</v>
      </c>
      <c r="F163" t="inlineStr">
        <is>
          <t>DALARNAS LÄN</t>
        </is>
      </c>
      <c r="G163" t="inlineStr">
        <is>
          <t>VANSBRO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46307</v>
      </c>
      <c r="F164" t="inlineStr">
        <is>
          <t>DALARNAS LÄN</t>
        </is>
      </c>
      <c r="G164" t="inlineStr">
        <is>
          <t>VANSBRO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48102-2025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46307</v>
      </c>
      <c r="F165" t="inlineStr">
        <is>
          <t>DALARNAS LÄN</t>
        </is>
      </c>
      <c r="G165" t="inlineStr">
        <is>
          <t>VANSBRO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46307</v>
      </c>
      <c r="F166" t="inlineStr">
        <is>
          <t>DALARNAS LÄN</t>
        </is>
      </c>
      <c r="G166" t="inlineStr">
        <is>
          <t>VANSBRO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46307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46307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46307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11485-2024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45372</v>
      </c>
      <c r="E170" s="1" t="n">
        <v>46307</v>
      </c>
      <c r="F170" t="inlineStr">
        <is>
          <t>DALARNAS LÄN</t>
        </is>
      </c>
      <c r="G170" t="inlineStr">
        <is>
          <t>VANSBRO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46307</v>
      </c>
      <c r="F171" t="inlineStr">
        <is>
          <t>DALARNAS LÄN</t>
        </is>
      </c>
      <c r="G171" t="inlineStr">
        <is>
          <t>VANSBRO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46307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44805</v>
      </c>
      <c r="E173" s="1" t="n">
        <v>46307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46307</v>
      </c>
      <c r="F174" t="inlineStr">
        <is>
          <t>DALARNAS LÄN</t>
        </is>
      </c>
      <c r="G174" t="inlineStr">
        <is>
          <t>VANSBRO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46307</v>
      </c>
      <c r="F175" t="inlineStr">
        <is>
          <t>DALARNAS LÄN</t>
        </is>
      </c>
      <c r="G175" t="inlineStr">
        <is>
          <t>VANSBRO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46307</v>
      </c>
      <c r="F176" t="inlineStr">
        <is>
          <t>DALARNAS LÄN</t>
        </is>
      </c>
      <c r="G176" t="inlineStr">
        <is>
          <t>VANSBRO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20931-2022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44701</v>
      </c>
      <c r="E177" s="1" t="n">
        <v>46307</v>
      </c>
      <c r="F177" t="inlineStr">
        <is>
          <t>DALARNAS LÄN</t>
        </is>
      </c>
      <c r="G177" t="inlineStr">
        <is>
          <t>VANSBRO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46307</v>
      </c>
      <c r="F178" t="inlineStr">
        <is>
          <t>DALARNAS LÄN</t>
        </is>
      </c>
      <c r="G178" t="inlineStr">
        <is>
          <t>VANSBRO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46307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44648</v>
      </c>
      <c r="E180" s="1" t="n">
        <v>46307</v>
      </c>
      <c r="F180" t="inlineStr">
        <is>
          <t>DALARNAS LÄN</t>
        </is>
      </c>
      <c r="G180" t="inlineStr">
        <is>
          <t>VANSBRO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46307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46307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46307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46307</v>
      </c>
      <c r="F184" t="inlineStr">
        <is>
          <t>DALARNAS LÄN</t>
        </is>
      </c>
      <c r="G184" t="inlineStr">
        <is>
          <t>VANSBRO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46307</v>
      </c>
      <c r="F185" t="inlineStr">
        <is>
          <t>DALARNAS LÄN</t>
        </is>
      </c>
      <c r="G185" t="inlineStr">
        <is>
          <t>VANSBRO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46307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45665</v>
      </c>
      <c r="E187" s="1" t="n">
        <v>46307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46307</v>
      </c>
      <c r="F188" t="inlineStr">
        <is>
          <t>DALARNAS LÄN</t>
        </is>
      </c>
      <c r="G188" t="inlineStr">
        <is>
          <t>VANSBRO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45762</v>
      </c>
      <c r="E189" s="1" t="n">
        <v>46307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46307</v>
      </c>
      <c r="F190" t="inlineStr">
        <is>
          <t>DALARNAS LÄN</t>
        </is>
      </c>
      <c r="G190" t="inlineStr">
        <is>
          <t>VANSBRO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46307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46307</v>
      </c>
      <c r="F192" t="inlineStr">
        <is>
          <t>DALARNAS LÄN</t>
        </is>
      </c>
      <c r="G192" t="inlineStr">
        <is>
          <t>VANSBRO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46307</v>
      </c>
      <c r="F193" t="inlineStr">
        <is>
          <t>DALARNAS LÄN</t>
        </is>
      </c>
      <c r="G193" t="inlineStr">
        <is>
          <t>VANSBRO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46307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46307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46307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46307</v>
      </c>
      <c r="F197" t="inlineStr">
        <is>
          <t>DALARNAS LÄN</t>
        </is>
      </c>
      <c r="G197" t="inlineStr">
        <is>
          <t>VANSBRO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46307</v>
      </c>
      <c r="F198" t="inlineStr">
        <is>
          <t>DALARNAS LÄN</t>
        </is>
      </c>
      <c r="G198" t="inlineStr">
        <is>
          <t>VANSBRO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46307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46307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46307</v>
      </c>
      <c r="F201" t="inlineStr">
        <is>
          <t>DALARNAS LÄN</t>
        </is>
      </c>
      <c r="G201" t="inlineStr">
        <is>
          <t>VANSBRO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46307</v>
      </c>
      <c r="F202" t="inlineStr">
        <is>
          <t>DALARNAS LÄN</t>
        </is>
      </c>
      <c r="G202" t="inlineStr">
        <is>
          <t>VANSBRO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44728</v>
      </c>
      <c r="E203" s="1" t="n">
        <v>46307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46307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46307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46307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46307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46307</v>
      </c>
      <c r="F208" t="inlineStr">
        <is>
          <t>DALARNAS LÄN</t>
        </is>
      </c>
      <c r="G208" t="inlineStr">
        <is>
          <t>VANSBRO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46307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46307</v>
      </c>
      <c r="F210" t="inlineStr">
        <is>
          <t>DALARNAS LÄN</t>
        </is>
      </c>
      <c r="G210" t="inlineStr">
        <is>
          <t>VANSBRO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46307</v>
      </c>
      <c r="F211" t="inlineStr">
        <is>
          <t>DALARNAS LÄN</t>
        </is>
      </c>
      <c r="G211" t="inlineStr">
        <is>
          <t>VANSBRO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45956</v>
      </c>
      <c r="E212" s="1" t="n">
        <v>46307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46307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46307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46307</v>
      </c>
      <c r="F215" t="inlineStr">
        <is>
          <t>DALARNAS LÄN</t>
        </is>
      </c>
      <c r="G215" t="inlineStr">
        <is>
          <t>VANSBRO</t>
        </is>
      </c>
      <c r="I215" t="n">
        <v>27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46307</v>
      </c>
      <c r="F216" t="inlineStr">
        <is>
          <t>DALARNAS LÄN</t>
        </is>
      </c>
      <c r="G216" t="inlineStr">
        <is>
          <t>VANSBRO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46307</v>
      </c>
      <c r="F217" t="inlineStr">
        <is>
          <t>DALARNAS LÄN</t>
        </is>
      </c>
      <c r="G217" t="inlineStr">
        <is>
          <t>VANSBRO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46307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46307</v>
      </c>
      <c r="F219" t="inlineStr">
        <is>
          <t>DALARNAS LÄN</t>
        </is>
      </c>
      <c r="G219" t="inlineStr">
        <is>
          <t>VANSBRO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46307</v>
      </c>
      <c r="F220" t="inlineStr">
        <is>
          <t>DALARNAS LÄN</t>
        </is>
      </c>
      <c r="G220" t="inlineStr">
        <is>
          <t>VANSBRO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46307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46307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51396-2022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44869</v>
      </c>
      <c r="E223" s="1" t="n">
        <v>46307</v>
      </c>
      <c r="F223" t="inlineStr">
        <is>
          <t>DALARNAS LÄN</t>
        </is>
      </c>
      <c r="G223" t="inlineStr">
        <is>
          <t>VANSBRO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46307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46307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46307</v>
      </c>
      <c r="F226" t="inlineStr">
        <is>
          <t>DALARNAS LÄN</t>
        </is>
      </c>
      <c r="G226" t="inlineStr">
        <is>
          <t>VANSBRO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46307</v>
      </c>
      <c r="F227" t="inlineStr">
        <is>
          <t>DALARNAS LÄN</t>
        </is>
      </c>
      <c r="G227" t="inlineStr">
        <is>
          <t>VANSBRO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46307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33056-2025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46307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46307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46307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46307</v>
      </c>
      <c r="F232" t="inlineStr">
        <is>
          <t>DALARNAS LÄN</t>
        </is>
      </c>
      <c r="G232" t="inlineStr">
        <is>
          <t>VANSBRO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46307</v>
      </c>
      <c r="F233" t="inlineStr">
        <is>
          <t>DALARNAS LÄN</t>
        </is>
      </c>
      <c r="G233" t="inlineStr">
        <is>
          <t>VANSBRO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46307</v>
      </c>
      <c r="F234" t="inlineStr">
        <is>
          <t>DALARNAS LÄN</t>
        </is>
      </c>
      <c r="G234" t="inlineStr">
        <is>
          <t>VANSBRO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46307</v>
      </c>
      <c r="F235" t="inlineStr">
        <is>
          <t>DALARNAS LÄN</t>
        </is>
      </c>
      <c r="G235" t="inlineStr">
        <is>
          <t>VANSBRO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46307</v>
      </c>
      <c r="F236" t="inlineStr">
        <is>
          <t>DALARNAS LÄN</t>
        </is>
      </c>
      <c r="G236" t="inlineStr">
        <is>
          <t>VANSBRO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46307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46307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46307</v>
      </c>
      <c r="F239" t="inlineStr">
        <is>
          <t>DALARNAS LÄN</t>
        </is>
      </c>
      <c r="G239" t="inlineStr">
        <is>
          <t>VANSBRO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46307</v>
      </c>
      <c r="F240" t="inlineStr">
        <is>
          <t>DALARNAS LÄN</t>
        </is>
      </c>
      <c r="G240" t="inlineStr">
        <is>
          <t>VANSBRO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46307</v>
      </c>
      <c r="F241" t="inlineStr">
        <is>
          <t>DALARNAS LÄN</t>
        </is>
      </c>
      <c r="G241" t="inlineStr">
        <is>
          <t>VANSBRO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46307</v>
      </c>
      <c r="F242" t="inlineStr">
        <is>
          <t>DALARNAS LÄN</t>
        </is>
      </c>
      <c r="G242" t="inlineStr">
        <is>
          <t>VANSBRO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46307</v>
      </c>
      <c r="F243" t="inlineStr">
        <is>
          <t>DALARNAS LÄN</t>
        </is>
      </c>
      <c r="G243" t="inlineStr">
        <is>
          <t>VANSBRO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46307</v>
      </c>
      <c r="F244" t="inlineStr">
        <is>
          <t>DALARNAS LÄN</t>
        </is>
      </c>
      <c r="G244" t="inlineStr">
        <is>
          <t>VANSBRO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45860</v>
      </c>
      <c r="E245" s="1" t="n">
        <v>46307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46307</v>
      </c>
      <c r="F246" t="inlineStr">
        <is>
          <t>DALARNAS LÄN</t>
        </is>
      </c>
      <c r="G246" t="inlineStr">
        <is>
          <t>VANSBRO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46307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46307</v>
      </c>
      <c r="F248" t="inlineStr">
        <is>
          <t>DALARNAS LÄN</t>
        </is>
      </c>
      <c r="G248" t="inlineStr">
        <is>
          <t>VANSBRO</t>
        </is>
      </c>
      <c r="H248" t="inlineStr">
        <is>
          <t>Övriga statliga verk och myndigheter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46307</v>
      </c>
      <c r="F249" t="inlineStr">
        <is>
          <t>DALARNAS LÄN</t>
        </is>
      </c>
      <c r="G249" t="inlineStr">
        <is>
          <t>VANSBRO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45322</v>
      </c>
      <c r="E250" s="1" t="n">
        <v>46307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46307</v>
      </c>
      <c r="F251" t="inlineStr">
        <is>
          <t>DALARNAS LÄN</t>
        </is>
      </c>
      <c r="G251" t="inlineStr">
        <is>
          <t>VANSBRO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46307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46307</v>
      </c>
      <c r="F253" t="inlineStr">
        <is>
          <t>DALARNAS LÄN</t>
        </is>
      </c>
      <c r="G253" t="inlineStr">
        <is>
          <t>VANSBRO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46307</v>
      </c>
      <c r="F254" t="inlineStr">
        <is>
          <t>DALARNAS LÄN</t>
        </is>
      </c>
      <c r="G254" t="inlineStr">
        <is>
          <t>VANSBRO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4680-2023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44957</v>
      </c>
      <c r="E255" s="1" t="n">
        <v>46307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46307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46307</v>
      </c>
      <c r="F257" t="inlineStr">
        <is>
          <t>DALARNAS LÄN</t>
        </is>
      </c>
      <c r="G257" t="inlineStr">
        <is>
          <t>VANSBRO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46307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46307</v>
      </c>
      <c r="F259" t="inlineStr">
        <is>
          <t>DALARNAS LÄN</t>
        </is>
      </c>
      <c r="G259" t="inlineStr">
        <is>
          <t>VANSBRO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46307</v>
      </c>
      <c r="F260" t="inlineStr">
        <is>
          <t>DALARNAS LÄN</t>
        </is>
      </c>
      <c r="G260" t="inlineStr">
        <is>
          <t>VANSBRO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46307</v>
      </c>
      <c r="F261" t="inlineStr">
        <is>
          <t>DALARNAS LÄN</t>
        </is>
      </c>
      <c r="G261" t="inlineStr">
        <is>
          <t>VANSBRO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55078-2022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44886</v>
      </c>
      <c r="E262" s="1" t="n">
        <v>46307</v>
      </c>
      <c r="F262" t="inlineStr">
        <is>
          <t>DALARNAS LÄN</t>
        </is>
      </c>
      <c r="G262" t="inlineStr">
        <is>
          <t>VANSBRO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46307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46307</v>
      </c>
      <c r="F264" t="inlineStr">
        <is>
          <t>DALARNAS LÄN</t>
        </is>
      </c>
      <c r="G264" t="inlineStr">
        <is>
          <t>VANSBRO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46307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46307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46307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46307</v>
      </c>
      <c r="F268" t="inlineStr">
        <is>
          <t>DALARNAS LÄN</t>
        </is>
      </c>
      <c r="G268" t="inlineStr">
        <is>
          <t>VANSBRO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46307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46307</v>
      </c>
      <c r="F270" t="inlineStr">
        <is>
          <t>DALARNAS LÄN</t>
        </is>
      </c>
      <c r="G270" t="inlineStr">
        <is>
          <t>VANSBRO</t>
        </is>
      </c>
      <c r="H270" t="inlineStr">
        <is>
          <t>Kommuner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46307</v>
      </c>
      <c r="F271" t="inlineStr">
        <is>
          <t>DALARNAS LÄN</t>
        </is>
      </c>
      <c r="G271" t="inlineStr">
        <is>
          <t>VANSBRO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46307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45689</v>
      </c>
      <c r="E273" s="1" t="n">
        <v>46307</v>
      </c>
      <c r="F273" t="inlineStr">
        <is>
          <t>DALARNAS LÄN</t>
        </is>
      </c>
      <c r="G273" t="inlineStr">
        <is>
          <t>VANSBRO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45689</v>
      </c>
      <c r="E274" s="1" t="n">
        <v>46307</v>
      </c>
      <c r="F274" t="inlineStr">
        <is>
          <t>DALARNAS LÄN</t>
        </is>
      </c>
      <c r="G274" t="inlineStr">
        <is>
          <t>VANSBRO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46307</v>
      </c>
      <c r="F275" t="inlineStr">
        <is>
          <t>DALARNAS LÄN</t>
        </is>
      </c>
      <c r="G275" t="inlineStr">
        <is>
          <t>VANSBRO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46307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46307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46307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11408-2025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45726</v>
      </c>
      <c r="E279" s="1" t="n">
        <v>46307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46307</v>
      </c>
      <c r="F280" t="inlineStr">
        <is>
          <t>DALARNAS LÄN</t>
        </is>
      </c>
      <c r="G280" t="inlineStr">
        <is>
          <t>VANSBRO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44972</v>
      </c>
      <c r="E281" s="1" t="n">
        <v>46307</v>
      </c>
      <c r="F281" t="inlineStr">
        <is>
          <t>DALARNAS LÄN</t>
        </is>
      </c>
      <c r="G281" t="inlineStr">
        <is>
          <t>VANSBRO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46307</v>
      </c>
      <c r="F282" t="inlineStr">
        <is>
          <t>DALARNAS LÄN</t>
        </is>
      </c>
      <c r="G282" t="inlineStr">
        <is>
          <t>VANSBRO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46307</v>
      </c>
      <c r="F283" t="inlineStr">
        <is>
          <t>DALARNAS LÄN</t>
        </is>
      </c>
      <c r="G283" t="inlineStr">
        <is>
          <t>VANSBRO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46307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46307</v>
      </c>
      <c r="F285" t="inlineStr">
        <is>
          <t>DALARNAS LÄN</t>
        </is>
      </c>
      <c r="G285" t="inlineStr">
        <is>
          <t>VANSBRO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45531</v>
      </c>
      <c r="E286" s="1" t="n">
        <v>46307</v>
      </c>
      <c r="F286" t="inlineStr">
        <is>
          <t>DALARNAS LÄN</t>
        </is>
      </c>
      <c r="G286" t="inlineStr">
        <is>
          <t>VANSBRO</t>
        </is>
      </c>
      <c r="H286" t="inlineStr">
        <is>
          <t>Övriga statliga verk och myndigheter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46307</v>
      </c>
      <c r="F287" t="inlineStr">
        <is>
          <t>DALARNAS LÄN</t>
        </is>
      </c>
      <c r="G287" t="inlineStr">
        <is>
          <t>VANSBRO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46307</v>
      </c>
      <c r="F288" t="inlineStr">
        <is>
          <t>DALARNAS LÄN</t>
        </is>
      </c>
      <c r="G288" t="inlineStr">
        <is>
          <t>VANSBRO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46307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61515-2022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44916</v>
      </c>
      <c r="E290" s="1" t="n">
        <v>46307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46307</v>
      </c>
      <c r="F291" t="inlineStr">
        <is>
          <t>DALARNAS LÄN</t>
        </is>
      </c>
      <c r="G291" t="inlineStr">
        <is>
          <t>VANSBRO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46307</v>
      </c>
      <c r="F292" t="inlineStr">
        <is>
          <t>DALARNAS LÄN</t>
        </is>
      </c>
      <c r="G292" t="inlineStr">
        <is>
          <t>VANSBRO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46307</v>
      </c>
      <c r="F293" t="inlineStr">
        <is>
          <t>DALARNAS LÄN</t>
        </is>
      </c>
      <c r="G293" t="inlineStr">
        <is>
          <t>VANSBRO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46120</v>
      </c>
      <c r="E294" s="1" t="n">
        <v>46307</v>
      </c>
      <c r="F294" t="inlineStr">
        <is>
          <t>DALARNAS LÄN</t>
        </is>
      </c>
      <c r="G294" t="inlineStr">
        <is>
          <t>VANSBRO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46307</v>
      </c>
      <c r="F295" t="inlineStr">
        <is>
          <t>DALARNAS LÄN</t>
        </is>
      </c>
      <c r="G295" t="inlineStr">
        <is>
          <t>VANSBRO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46307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46307</v>
      </c>
      <c r="F297" t="inlineStr">
        <is>
          <t>DALARNAS LÄN</t>
        </is>
      </c>
      <c r="G297" t="inlineStr">
        <is>
          <t>VANSBRO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46307</v>
      </c>
      <c r="F298" t="inlineStr">
        <is>
          <t>DALARNAS LÄN</t>
        </is>
      </c>
      <c r="G298" t="inlineStr">
        <is>
          <t>VANSBRO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46307</v>
      </c>
      <c r="F299" t="inlineStr">
        <is>
          <t>DALARNAS LÄN</t>
        </is>
      </c>
      <c r="G299" t="inlineStr">
        <is>
          <t>VANSBRO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46307</v>
      </c>
      <c r="F300" t="inlineStr">
        <is>
          <t>DALARNAS LÄN</t>
        </is>
      </c>
      <c r="G300" t="inlineStr">
        <is>
          <t>VANSBRO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46307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46307</v>
      </c>
      <c r="F302" t="inlineStr">
        <is>
          <t>DALARNAS LÄN</t>
        </is>
      </c>
      <c r="G302" t="inlineStr">
        <is>
          <t>VANSBRO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46307</v>
      </c>
      <c r="F303" t="inlineStr">
        <is>
          <t>DALARNAS LÄN</t>
        </is>
      </c>
      <c r="G303" t="inlineStr">
        <is>
          <t>VANSBRO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46307</v>
      </c>
      <c r="F304" t="inlineStr">
        <is>
          <t>DALARNAS LÄN</t>
        </is>
      </c>
      <c r="G304" t="inlineStr">
        <is>
          <t>VANSBRO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46307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46307</v>
      </c>
      <c r="F306" t="inlineStr">
        <is>
          <t>DALARNAS LÄN</t>
        </is>
      </c>
      <c r="G306" t="inlineStr">
        <is>
          <t>VANSBRO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46307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46307</v>
      </c>
      <c r="F308" t="inlineStr">
        <is>
          <t>DALARNAS LÄN</t>
        </is>
      </c>
      <c r="G308" t="inlineStr">
        <is>
          <t>VANSBRO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46307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46307</v>
      </c>
      <c r="F310" t="inlineStr">
        <is>
          <t>DALARNAS LÄN</t>
        </is>
      </c>
      <c r="G310" t="inlineStr">
        <is>
          <t>VANSBRO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46307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46307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44673</v>
      </c>
      <c r="E313" s="1" t="n">
        <v>46307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46307</v>
      </c>
      <c r="F314" t="inlineStr">
        <is>
          <t>DALARNAS LÄN</t>
        </is>
      </c>
      <c r="G314" t="inlineStr">
        <is>
          <t>VANSBRO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46307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46307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46307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45806</v>
      </c>
      <c r="E318" s="1" t="n">
        <v>46307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46307</v>
      </c>
      <c r="F319" t="inlineStr">
        <is>
          <t>DALARNAS LÄN</t>
        </is>
      </c>
      <c r="G319" t="inlineStr">
        <is>
          <t>VANSBRO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46307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46307</v>
      </c>
      <c r="F321" t="inlineStr">
        <is>
          <t>DALARNAS LÄN</t>
        </is>
      </c>
      <c r="G321" t="inlineStr">
        <is>
          <t>VANSBRO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46307</v>
      </c>
      <c r="F322" t="inlineStr">
        <is>
          <t>DALARNAS LÄN</t>
        </is>
      </c>
      <c r="G322" t="inlineStr">
        <is>
          <t>VANSBRO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46307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44855</v>
      </c>
      <c r="E324" s="1" t="n">
        <v>46307</v>
      </c>
      <c r="F324" t="inlineStr">
        <is>
          <t>DALARNAS LÄN</t>
        </is>
      </c>
      <c r="G324" t="inlineStr">
        <is>
          <t>VANSBRO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44796</v>
      </c>
      <c r="E325" s="1" t="n">
        <v>46307</v>
      </c>
      <c r="F325" t="inlineStr">
        <is>
          <t>DALARNAS LÄN</t>
        </is>
      </c>
      <c r="G325" t="inlineStr">
        <is>
          <t>VANSBRO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46307</v>
      </c>
      <c r="F326" t="inlineStr">
        <is>
          <t>DALARNAS LÄN</t>
        </is>
      </c>
      <c r="G326" t="inlineStr">
        <is>
          <t>VANSBRO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45214</v>
      </c>
      <c r="E327" s="1" t="n">
        <v>46307</v>
      </c>
      <c r="F327" t="inlineStr">
        <is>
          <t>DALARNAS LÄN</t>
        </is>
      </c>
      <c r="G327" t="inlineStr">
        <is>
          <t>VANSBRO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46307</v>
      </c>
      <c r="F328" t="inlineStr">
        <is>
          <t>DALARNAS LÄN</t>
        </is>
      </c>
      <c r="G328" t="inlineStr">
        <is>
          <t>VANSBRO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46307</v>
      </c>
      <c r="F329" t="inlineStr">
        <is>
          <t>DALARNAS LÄN</t>
        </is>
      </c>
      <c r="G329" t="inlineStr">
        <is>
          <t>VANSBRO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46033</v>
      </c>
      <c r="E330" s="1" t="n">
        <v>46307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45471</v>
      </c>
      <c r="E331" s="1" t="n">
        <v>46307</v>
      </c>
      <c r="F331" t="inlineStr">
        <is>
          <t>DALARNAS LÄN</t>
        </is>
      </c>
      <c r="G331" t="inlineStr">
        <is>
          <t>VANSBRO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46307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46307</v>
      </c>
      <c r="F333" t="inlineStr">
        <is>
          <t>DALARNAS LÄN</t>
        </is>
      </c>
      <c r="G333" t="inlineStr">
        <is>
          <t>VANSBRO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45727</v>
      </c>
      <c r="E334" s="1" t="n">
        <v>46307</v>
      </c>
      <c r="F334" t="inlineStr">
        <is>
          <t>DALARNAS LÄN</t>
        </is>
      </c>
      <c r="G334" t="inlineStr">
        <is>
          <t>VANSBRO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46307</v>
      </c>
      <c r="F335" t="inlineStr">
        <is>
          <t>DALARNAS LÄN</t>
        </is>
      </c>
      <c r="G335" t="inlineStr">
        <is>
          <t>VANSBRO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45714</v>
      </c>
      <c r="E336" s="1" t="n">
        <v>46307</v>
      </c>
      <c r="F336" t="inlineStr">
        <is>
          <t>DALARNAS LÄN</t>
        </is>
      </c>
      <c r="G336" t="inlineStr">
        <is>
          <t>VANSBRO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46307</v>
      </c>
      <c r="F337" t="inlineStr">
        <is>
          <t>DALARNAS LÄN</t>
        </is>
      </c>
      <c r="G337" t="inlineStr">
        <is>
          <t>VANSBRO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46307</v>
      </c>
      <c r="F338" t="inlineStr">
        <is>
          <t>DALARNAS LÄN</t>
        </is>
      </c>
      <c r="G338" t="inlineStr">
        <is>
          <t>VANSBRO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45689</v>
      </c>
      <c r="E339" s="1" t="n">
        <v>46307</v>
      </c>
      <c r="F339" t="inlineStr">
        <is>
          <t>DALARNAS LÄN</t>
        </is>
      </c>
      <c r="G339" t="inlineStr">
        <is>
          <t>VANSBRO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46307</v>
      </c>
      <c r="F340" t="inlineStr">
        <is>
          <t>DALARNAS LÄN</t>
        </is>
      </c>
      <c r="G340" t="inlineStr">
        <is>
          <t>VANSBRO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46307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46307</v>
      </c>
      <c r="F342" t="inlineStr">
        <is>
          <t>DALARNAS LÄN</t>
        </is>
      </c>
      <c r="G342" t="inlineStr">
        <is>
          <t>VANSBRO</t>
        </is>
      </c>
      <c r="I342" t="n">
        <v>13.9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46307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45940</v>
      </c>
      <c r="E344" s="1" t="n">
        <v>46307</v>
      </c>
      <c r="F344" t="inlineStr">
        <is>
          <t>DALARNAS LÄN</t>
        </is>
      </c>
      <c r="G344" t="inlineStr">
        <is>
          <t>VANSBRO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46307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44931</v>
      </c>
      <c r="E346" s="1" t="n">
        <v>46307</v>
      </c>
      <c r="F346" t="inlineStr">
        <is>
          <t>DALARNAS LÄN</t>
        </is>
      </c>
      <c r="G346" t="inlineStr">
        <is>
          <t>VANSBRO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45614</v>
      </c>
      <c r="E347" s="1" t="n">
        <v>46307</v>
      </c>
      <c r="F347" t="inlineStr">
        <is>
          <t>DALARNAS LÄN</t>
        </is>
      </c>
      <c r="G347" t="inlineStr">
        <is>
          <t>VANSBRO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46021</v>
      </c>
      <c r="E348" s="1" t="n">
        <v>46307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46307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46307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46307</v>
      </c>
      <c r="F351" t="inlineStr">
        <is>
          <t>DALARNAS LÄN</t>
        </is>
      </c>
      <c r="G351" t="inlineStr">
        <is>
          <t>VANSBRO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46307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45363</v>
      </c>
      <c r="E353" s="1" t="n">
        <v>46307</v>
      </c>
      <c r="F353" t="inlineStr">
        <is>
          <t>DALARNAS LÄN</t>
        </is>
      </c>
      <c r="G353" t="inlineStr">
        <is>
          <t>VANSBRO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46307</v>
      </c>
      <c r="F354" t="inlineStr">
        <is>
          <t>DALARNAS LÄN</t>
        </is>
      </c>
      <c r="G354" t="inlineStr">
        <is>
          <t>VANSBRO</t>
        </is>
      </c>
      <c r="I354" t="n">
        <v>15.8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46307</v>
      </c>
      <c r="F355" t="inlineStr">
        <is>
          <t>DALARNAS LÄN</t>
        </is>
      </c>
      <c r="G355" t="inlineStr">
        <is>
          <t>VANSBRO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46307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46307</v>
      </c>
      <c r="F357" t="inlineStr">
        <is>
          <t>DALARNAS LÄN</t>
        </is>
      </c>
      <c r="G357" t="inlineStr">
        <is>
          <t>VANSBRO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46307</v>
      </c>
      <c r="F358" t="inlineStr">
        <is>
          <t>DALARNAS LÄN</t>
        </is>
      </c>
      <c r="G358" t="inlineStr">
        <is>
          <t>VANSBRO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46307</v>
      </c>
      <c r="F359" t="inlineStr">
        <is>
          <t>DALARNAS LÄN</t>
        </is>
      </c>
      <c r="G359" t="inlineStr">
        <is>
          <t>VANSBRO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46307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46307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46307</v>
      </c>
      <c r="F362" t="inlineStr">
        <is>
          <t>DALARNAS LÄN</t>
        </is>
      </c>
      <c r="G362" t="inlineStr">
        <is>
          <t>VANSBRO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46307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46307</v>
      </c>
      <c r="F364" t="inlineStr">
        <is>
          <t>DALARNAS LÄN</t>
        </is>
      </c>
      <c r="G364" t="inlineStr">
        <is>
          <t>VANSBRO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45666</v>
      </c>
      <c r="E365" s="1" t="n">
        <v>46307</v>
      </c>
      <c r="F365" t="inlineStr">
        <is>
          <t>DALARNAS LÄN</t>
        </is>
      </c>
      <c r="G365" t="inlineStr">
        <is>
          <t>VANSBRO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45639</v>
      </c>
      <c r="E366" s="1" t="n">
        <v>46307</v>
      </c>
      <c r="F366" t="inlineStr">
        <is>
          <t>DALARNAS LÄN</t>
        </is>
      </c>
      <c r="G366" t="inlineStr">
        <is>
          <t>VANSBRO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46307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46307</v>
      </c>
      <c r="F368" t="inlineStr">
        <is>
          <t>DALARNAS LÄN</t>
        </is>
      </c>
      <c r="G368" t="inlineStr">
        <is>
          <t>VANSBRO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46021</v>
      </c>
      <c r="E369" s="1" t="n">
        <v>46307</v>
      </c>
      <c r="F369" t="inlineStr">
        <is>
          <t>DALARNAS LÄN</t>
        </is>
      </c>
      <c r="G369" t="inlineStr">
        <is>
          <t>VANSBRO</t>
        </is>
      </c>
      <c r="I369" t="n">
        <v>19.1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45673</v>
      </c>
      <c r="E370" s="1" t="n">
        <v>46307</v>
      </c>
      <c r="F370" t="inlineStr">
        <is>
          <t>DALARNAS LÄN</t>
        </is>
      </c>
      <c r="G370" t="inlineStr">
        <is>
          <t>VANSBRO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21744-2026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46307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46307</v>
      </c>
      <c r="F372" t="inlineStr">
        <is>
          <t>DALARNAS LÄN</t>
        </is>
      </c>
      <c r="G372" t="inlineStr">
        <is>
          <t>VANSBRO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46307</v>
      </c>
      <c r="F373" t="inlineStr">
        <is>
          <t>DALARNAS LÄN</t>
        </is>
      </c>
      <c r="G373" t="inlineStr">
        <is>
          <t>VANSBRO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46307</v>
      </c>
      <c r="F374" t="inlineStr">
        <is>
          <t>DALARNAS LÄN</t>
        </is>
      </c>
      <c r="G374" t="inlineStr">
        <is>
          <t>VANSBRO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46307</v>
      </c>
      <c r="F375" t="inlineStr">
        <is>
          <t>DALARNAS LÄN</t>
        </is>
      </c>
      <c r="G375" t="inlineStr">
        <is>
          <t>VANSBRO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46307</v>
      </c>
      <c r="F376" t="inlineStr">
        <is>
          <t>DALARNAS LÄN</t>
        </is>
      </c>
      <c r="G376" t="inlineStr">
        <is>
          <t>VANSBRO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46082</v>
      </c>
      <c r="E377" s="1" t="n">
        <v>46307</v>
      </c>
      <c r="F377" t="inlineStr">
        <is>
          <t>DALARNAS LÄN</t>
        </is>
      </c>
      <c r="G377" t="inlineStr">
        <is>
          <t>VANSBRO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46307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46307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46307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46307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46307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46307</v>
      </c>
      <c r="F383" t="inlineStr">
        <is>
          <t>DALARNAS LÄN</t>
        </is>
      </c>
      <c r="G383" t="inlineStr">
        <is>
          <t>VANSBRO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5386-2024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45331</v>
      </c>
      <c r="E384" s="1" t="n">
        <v>46307</v>
      </c>
      <c r="F384" t="inlineStr">
        <is>
          <t>DALARNAS LÄN</t>
        </is>
      </c>
      <c r="G384" t="inlineStr">
        <is>
          <t>VANSBRO</t>
        </is>
      </c>
      <c r="I384" t="n">
        <v>11.4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46307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46307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46307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46307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46307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46307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46307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46307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46307</v>
      </c>
      <c r="F393" t="inlineStr">
        <is>
          <t>DALARNAS LÄN</t>
        </is>
      </c>
      <c r="G393" t="inlineStr">
        <is>
          <t>VANSBRO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46307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46307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46307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46307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46307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46184</v>
      </c>
      <c r="E399" s="1" t="n">
        <v>46307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46307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46307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46307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46307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46307</v>
      </c>
      <c r="F404" t="inlineStr">
        <is>
          <t>DALARNAS LÄN</t>
        </is>
      </c>
      <c r="G404" t="inlineStr">
        <is>
          <t>VANSBRO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46203</v>
      </c>
      <c r="E405" s="1" t="n">
        <v>46307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29174-2026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46202</v>
      </c>
      <c r="E406" s="1" t="n">
        <v>46307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46307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46307</v>
      </c>
      <c r="F408" t="inlineStr">
        <is>
          <t>DALARNAS LÄN</t>
        </is>
      </c>
      <c r="G408" t="inlineStr">
        <is>
          <t>VANSBRO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46307</v>
      </c>
      <c r="F409" t="inlineStr">
        <is>
          <t>DALARNAS LÄN</t>
        </is>
      </c>
      <c r="G409" t="inlineStr">
        <is>
          <t>VANSBRO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46307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46307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46307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46307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46307</v>
      </c>
      <c r="F414" t="inlineStr">
        <is>
          <t>DALARNAS LÄN</t>
        </is>
      </c>
      <c r="G414" t="inlineStr">
        <is>
          <t>VANSBRO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46307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46307</v>
      </c>
      <c r="F416" t="inlineStr">
        <is>
          <t>DALARNAS LÄN</t>
        </is>
      </c>
      <c r="G416" t="inlineStr">
        <is>
          <t>VANSBRO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46307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46266</v>
      </c>
      <c r="E418" s="1" t="n">
        <v>46307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46307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46307</v>
      </c>
      <c r="F420" t="inlineStr">
        <is>
          <t>DALARNAS LÄN</t>
        </is>
      </c>
      <c r="G420" t="inlineStr">
        <is>
          <t>VANSBRO</t>
        </is>
      </c>
      <c r="H420" t="inlineStr">
        <is>
          <t>Kyrkan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46307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46307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46272</v>
      </c>
      <c r="E423" s="1" t="n">
        <v>46307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46307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46307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46231</v>
      </c>
      <c r="E426" s="1" t="n">
        <v>46307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46274</v>
      </c>
      <c r="E427" s="1" t="n">
        <v>46307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46275</v>
      </c>
      <c r="E428" s="1" t="n">
        <v>46307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46275</v>
      </c>
      <c r="E429" s="1" t="n">
        <v>46307</v>
      </c>
      <c r="F429" t="inlineStr">
        <is>
          <t>DALARNAS LÄN</t>
        </is>
      </c>
      <c r="G429" t="inlineStr">
        <is>
          <t>VANSBRO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46307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46307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46307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37467-2026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46275</v>
      </c>
      <c r="E433" s="1" t="n">
        <v>46307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46307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46307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46307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46307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38253-2026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46281</v>
      </c>
      <c r="E438" s="1" t="n">
        <v>46307</v>
      </c>
      <c r="F438" t="inlineStr">
        <is>
          <t>DALARNAS LÄN</t>
        </is>
      </c>
      <c r="G438" t="inlineStr">
        <is>
          <t>VANSBRO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46281</v>
      </c>
      <c r="E439" s="1" t="n">
        <v>46307</v>
      </c>
      <c r="F439" t="inlineStr">
        <is>
          <t>DALARNAS LÄN</t>
        </is>
      </c>
      <c r="G439" t="inlineStr">
        <is>
          <t>VANSBRO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46281</v>
      </c>
      <c r="E440" s="1" t="n">
        <v>46307</v>
      </c>
      <c r="F440" t="inlineStr">
        <is>
          <t>DALARNAS LÄN</t>
        </is>
      </c>
      <c r="G440" t="inlineStr">
        <is>
          <t>VANSBRO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46307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46307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29.6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46307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46283</v>
      </c>
      <c r="E444" s="1" t="n">
        <v>46307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38644-2026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46283</v>
      </c>
      <c r="E445" s="1" t="n">
        <v>46307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46307</v>
      </c>
      <c r="F446" t="inlineStr">
        <is>
          <t>DALARNAS LÄN</t>
        </is>
      </c>
      <c r="G446" t="inlineStr">
        <is>
          <t>VANSBRO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46289</v>
      </c>
      <c r="E447" s="1" t="n">
        <v>46307</v>
      </c>
      <c r="F447" t="inlineStr">
        <is>
          <t>DALARNAS LÄN</t>
        </is>
      </c>
      <c r="G447" t="inlineStr">
        <is>
          <t>VANSBRO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46307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46294</v>
      </c>
      <c r="E449" s="1" t="n">
        <v>46307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46307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46294</v>
      </c>
      <c r="E451" s="1" t="n">
        <v>46307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46293</v>
      </c>
      <c r="E452" s="1" t="n">
        <v>46307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46294</v>
      </c>
      <c r="E453" s="1" t="n">
        <v>46307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46294</v>
      </c>
      <c r="E454" s="1" t="n">
        <v>46307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46294</v>
      </c>
      <c r="E455" s="1" t="n">
        <v>46307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46307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46307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46307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46307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46252</v>
      </c>
      <c r="E460" s="1" t="n">
        <v>46307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46307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18.9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46307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46307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46252</v>
      </c>
      <c r="E464" s="1" t="n">
        <v>46307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46300</v>
      </c>
      <c r="E465" s="1" t="n">
        <v>46307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41183-2026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46300</v>
      </c>
      <c r="E466" s="1" t="n">
        <v>46307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46297</v>
      </c>
      <c r="E467" s="1" t="n">
        <v>46307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46307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19.7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46307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46297</v>
      </c>
      <c r="E470" s="1" t="n">
        <v>46307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46307</v>
      </c>
      <c r="F471" t="inlineStr">
        <is>
          <t>DALARNAS LÄN</t>
        </is>
      </c>
      <c r="G471" t="inlineStr">
        <is>
          <t>VANSBRO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46255</v>
      </c>
      <c r="E472" s="1" t="n">
        <v>46307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46307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46307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46302</v>
      </c>
      <c r="E475" s="1" t="n">
        <v>46307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46307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35050-2026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46307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46302</v>
      </c>
      <c r="E478" s="1" t="n">
        <v>46307</v>
      </c>
      <c r="F478" t="inlineStr">
        <is>
          <t>DALARNAS LÄN</t>
        </is>
      </c>
      <c r="G478" t="inlineStr">
        <is>
          <t>VANSBRO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35579-2026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46262</v>
      </c>
      <c r="E479" s="1" t="n">
        <v>46307</v>
      </c>
      <c r="F479" t="inlineStr">
        <is>
          <t>DALARNAS LÄN</t>
        </is>
      </c>
      <c r="G479" t="inlineStr">
        <is>
          <t>VANSBRO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46304</v>
      </c>
      <c r="E480" s="1" t="n">
        <v>46307</v>
      </c>
      <c r="F480" t="inlineStr">
        <is>
          <t>DALARNAS LÄN</t>
        </is>
      </c>
      <c r="G480" t="inlineStr">
        <is>
          <t>VANSBRO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46304</v>
      </c>
      <c r="E481" s="1" t="n">
        <v>46307</v>
      </c>
      <c r="F481" t="inlineStr">
        <is>
          <t>DALARNAS LÄN</t>
        </is>
      </c>
      <c r="G481" t="inlineStr">
        <is>
          <t>VANSBRO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46303</v>
      </c>
      <c r="E482" s="1" t="n">
        <v>46307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46303</v>
      </c>
      <c r="E483" s="1" t="n">
        <v>46307</v>
      </c>
      <c r="F483" t="inlineStr">
        <is>
          <t>DALARNAS LÄN</t>
        </is>
      </c>
      <c r="G483" t="inlineStr">
        <is>
          <t>VANSBRO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46303</v>
      </c>
      <c r="E484" s="1" t="n">
        <v>46307</v>
      </c>
      <c r="F484" t="inlineStr">
        <is>
          <t>DALARNAS LÄN</t>
        </is>
      </c>
      <c r="G484" t="inlineStr">
        <is>
          <t>VANSBRO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46307</v>
      </c>
      <c r="F485" t="inlineStr">
        <is>
          <t>DALARNAS LÄN</t>
        </is>
      </c>
      <c r="G485" t="inlineStr">
        <is>
          <t>VANSBRO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45890</v>
      </c>
      <c r="E486" s="1" t="n">
        <v>46307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1286-2024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45401</v>
      </c>
      <c r="E487" s="1" t="n">
        <v>46307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220.8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4782-2022</t>
        </is>
      </c>
      <c r="B488" t="inlineStr">
        <is>
          <t>samrådsanmälan</t>
        </is>
      </c>
      <c r="C488" t="inlineStr">
        <is>
          <t>Skogsbilväg</t>
        </is>
      </c>
      <c r="D488" s="1" t="n">
        <v>44802</v>
      </c>
      <c r="E488" s="1" t="n">
        <v>46307</v>
      </c>
      <c r="F488" t="inlineStr">
        <is>
          <t>DALARNAS LÄN</t>
        </is>
      </c>
      <c r="G488" t="inlineStr">
        <is>
          <t>VANSBRO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3514-2023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45208</v>
      </c>
      <c r="E489" s="1" t="n">
        <v>46307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37.8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409-2025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45699</v>
      </c>
      <c r="E490" s="1" t="n">
        <v>46307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277.1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91-2026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46035</v>
      </c>
      <c r="E491" s="1" t="n">
        <v>46307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153.5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747-2026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46089</v>
      </c>
      <c r="E492" s="1" t="n">
        <v>46307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öst AB</t>
        </is>
      </c>
      <c r="I492" t="n">
        <v>82.40000000000001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2026-10-12T02:04:12Z</dcterms:created>
  <dcterms:modified xmlns:dcterms="http://purl.org/dc/terms/" xmlns:xsi="http://www.w3.org/2001/XMLSchema-instance" xsi:type="dcterms:W3CDTF">2026-10-12T02:04:12Z</dcterms:modified>
</cp:coreProperties>
</file>