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46251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46251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46251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46251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46251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46251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46251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46251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46251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46251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46251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46251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46251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46251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46251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46251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46251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46251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46251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46251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46251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46251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46251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46251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46251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46251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46251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46251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58009-2023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46251</v>
      </c>
      <c r="F33" t="inlineStr">
        <is>
          <t>DALARNAS LÄN</t>
        </is>
      </c>
      <c r="G33" t="inlineStr">
        <is>
          <t>VANSBRO</t>
        </is>
      </c>
      <c r="I33" t="n">
        <v>0.5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Sädesärla
Orre</t>
        </is>
      </c>
      <c r="W33">
        <f>HYPERLINK("https://klasma.github.io/Logging_2021/artfynd/A 58009-2023 artfynd.xlsx", "A 58009-2023")</f>
        <v/>
      </c>
      <c r="X33">
        <f>HYPERLINK("https://klasma.github.io/Logging_2021/kartor/A 58009-2023 karta.png", "A 58009-2023")</f>
        <v/>
      </c>
      <c r="Y33">
        <f>HYPERLINK("https://klasma.github.io/Logging_2021/kartor_geotiff/A 58009-2023 georefererad karta.tif", "A 58009-2023")</f>
        <v/>
      </c>
      <c r="AA33">
        <f>HYPERLINK("https://klasma.github.io/Logging_2021/klagomål/A 58009-2023 FSC-klagomål.docx", "A 58009-2023")</f>
        <v/>
      </c>
      <c r="AB33">
        <f>HYPERLINK("https://klasma.github.io/Logging_2021/klagomålsmail/A 58009-2023 FSC-klagomål mail.docx", "A 58009-2023")</f>
        <v/>
      </c>
      <c r="AC33">
        <f>HYPERLINK("https://klasma.github.io/Logging_2021/tillsyn/A 58009-2023 tillsynsbegäran.docx", "A 58009-2023")</f>
        <v/>
      </c>
      <c r="AD33">
        <f>HYPERLINK("https://klasma.github.io/Logging_2021/tillsynsmail/A 58009-2023 tillsynsbegäran mail.docx", "A 58009-2023")</f>
        <v/>
      </c>
      <c r="AE33">
        <f>HYPERLINK("https://klasma.github.io/Logging_2021/fåglar/A 58009-2023 prioriterade fågelarter.docx", "A 58009-2023")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46251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46251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46251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46251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45205-2021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46251</v>
      </c>
      <c r="F38" t="inlineStr">
        <is>
          <t>DALARNAS LÄN</t>
        </is>
      </c>
      <c r="G38" t="inlineStr">
        <is>
          <t>VANSBRO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HYPERLINK("https://klasma.github.io/Logging_2021/artfynd/A 45205-2021 artfynd.xlsx", "A 45205-2021")</f>
        <v/>
      </c>
      <c r="X38">
        <f>HYPERLINK("https://klasma.github.io/Logging_2021/kartor/A 45205-2021 karta.png", "A 45205-2021")</f>
        <v/>
      </c>
      <c r="Y38">
        <f>HYPERLINK("https://klasma.github.io/Logging_2021/kartor_geotiff/A 45205-2021 georefererad karta.tif", "A 45205-2021")</f>
        <v/>
      </c>
      <c r="AA38">
        <f>HYPERLINK("https://klasma.github.io/Logging_2021/klagomål/A 45205-2021 FSC-klagomål.docx", "A 45205-2021")</f>
        <v/>
      </c>
      <c r="AB38">
        <f>HYPERLINK("https://klasma.github.io/Logging_2021/klagomålsmail/A 45205-2021 FSC-klagomål mail.docx", "A 45205-2021")</f>
        <v/>
      </c>
      <c r="AC38">
        <f>HYPERLINK("https://klasma.github.io/Logging_2021/tillsyn/A 45205-2021 tillsynsbegäran.docx", "A 45205-2021")</f>
        <v/>
      </c>
      <c r="AD38">
        <f>HYPERLINK("https://klasma.github.io/Logging_2021/tillsynsmail/A 45205-2021 tillsynsbegäran mail.docx", "A 45205-2021")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46251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51579-2021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46251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HYPERLINK("https://klasma.github.io/Logging_2021/artfynd/A 51579-2021 artfynd.xlsx", "A 51579-2021")</f>
        <v/>
      </c>
      <c r="X40">
        <f>HYPERLINK("https://klasma.github.io/Logging_2021/kartor/A 51579-2021 karta.png", "A 51579-2021")</f>
        <v/>
      </c>
      <c r="Y40">
        <f>HYPERLINK("https://klasma.github.io/Logging_2021/kartor_geotiff/A 51579-2021 georefererad karta.tif", "A 51579-2021")</f>
        <v/>
      </c>
      <c r="AA40">
        <f>HYPERLINK("https://klasma.github.io/Logging_2021/klagomål/A 51579-2021 FSC-klagomål.docx", "A 51579-2021")</f>
        <v/>
      </c>
      <c r="AB40">
        <f>HYPERLINK("https://klasma.github.io/Logging_2021/klagomålsmail/A 51579-2021 FSC-klagomål mail.docx", "A 51579-2021")</f>
        <v/>
      </c>
      <c r="AC40">
        <f>HYPERLINK("https://klasma.github.io/Logging_2021/tillsyn/A 51579-2021 tillsynsbegäran.docx", "A 51579-2021")</f>
        <v/>
      </c>
      <c r="AD40">
        <f>HYPERLINK("https://klasma.github.io/Logging_2021/tillsynsmail/A 51579-2021 tillsynsbegäran mail.docx", "A 51579-2021")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46251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46251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46251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46251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Skarp dropptaggsvamp</t>
        </is>
      </c>
      <c r="W44">
        <f>HYPERLINK("https://klasma.github.io/Logging_2021/artfynd/A 54453-2024 artfynd.xlsx", "A 54453-2024")</f>
        <v/>
      </c>
      <c r="X44">
        <f>HYPERLINK("https://klasma.github.io/Logging_2021/kartor/A 54453-2024 karta.png", "A 54453-2024")</f>
        <v/>
      </c>
      <c r="Y44">
        <f>HYPERLINK("https://klasma.github.io/Logging_2021/kartor_geotiff/A 54453-2024 georefererad karta.tif", "A 54453-2024")</f>
        <v/>
      </c>
      <c r="AA44">
        <f>HYPERLINK("https://klasma.github.io/Logging_2021/klagomål/A 54453-2024 FSC-klagomål.docx", "A 54453-2024")</f>
        <v/>
      </c>
      <c r="AB44">
        <f>HYPERLINK("https://klasma.github.io/Logging_2021/klagomålsmail/A 54453-2024 FSC-klagomål mail.docx", "A 54453-2024")</f>
        <v/>
      </c>
      <c r="AC44">
        <f>HYPERLINK("https://klasma.github.io/Logging_2021/tillsyn/A 54453-2024 tillsynsbegäran.docx", "A 54453-2024")</f>
        <v/>
      </c>
      <c r="AD44">
        <f>HYPERLINK("https://klasma.github.io/Logging_2021/tillsynsmail/A 54453-2024 tillsynsbegäran mail.docx", "A 54453-2024")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46251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52675-2025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45956</v>
      </c>
      <c r="E46" s="1" t="n">
        <v>46251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Motaggsvamp</t>
        </is>
      </c>
      <c r="W46">
        <f>HYPERLINK("https://klasma.github.io/Logging_2021/artfynd/A 52675-2025 artfynd.xlsx", "A 52675-2025")</f>
        <v/>
      </c>
      <c r="X46">
        <f>HYPERLINK("https://klasma.github.io/Logging_2021/kartor/A 52675-2025 karta.png", "A 52675-2025")</f>
        <v/>
      </c>
      <c r="Y46">
        <f>HYPERLINK("https://klasma.github.io/Logging_2021/kartor_geotiff/A 52675-2025 georefererad karta.tif", "A 52675-2025")</f>
        <v/>
      </c>
      <c r="AA46">
        <f>HYPERLINK("https://klasma.github.io/Logging_2021/klagomål/A 52675-2025 FSC-klagomål.docx", "A 52675-2025")</f>
        <v/>
      </c>
      <c r="AB46">
        <f>HYPERLINK("https://klasma.github.io/Logging_2021/klagomålsmail/A 52675-2025 FSC-klagomål mail.docx", "A 52675-2025")</f>
        <v/>
      </c>
      <c r="AC46">
        <f>HYPERLINK("https://klasma.github.io/Logging_2021/tillsyn/A 52675-2025 tillsynsbegäran.docx", "A 52675-2025")</f>
        <v/>
      </c>
      <c r="AD46">
        <f>HYPERLINK("https://klasma.github.io/Logging_2021/tillsynsmail/A 52675-2025 tillsynsbegäran mail.docx", "A 52675-2025")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46251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46251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Reliktbock</t>
        </is>
      </c>
      <c r="W48">
        <f>HYPERLINK("https://klasma.github.io/Logging_2021/artfynd/A 33250-2024 artfynd.xlsx", "A 33250-2024")</f>
        <v/>
      </c>
      <c r="X48">
        <f>HYPERLINK("https://klasma.github.io/Logging_2021/kartor/A 33250-2024 karta.png", "A 33250-2024")</f>
        <v/>
      </c>
      <c r="Y48">
        <f>HYPERLINK("https://klasma.github.io/Logging_2021/kartor_geotiff/A 33250-2024 georefererad karta.tif", "A 33250-2024")</f>
        <v/>
      </c>
      <c r="AA48">
        <f>HYPERLINK("https://klasma.github.io/Logging_2021/klagomål/A 33250-2024 FSC-klagomål.docx", "A 33250-2024")</f>
        <v/>
      </c>
      <c r="AB48">
        <f>HYPERLINK("https://klasma.github.io/Logging_2021/klagomålsmail/A 33250-2024 FSC-klagomål mail.docx", "A 33250-2024")</f>
        <v/>
      </c>
      <c r="AC48">
        <f>HYPERLINK("https://klasma.github.io/Logging_2021/tillsyn/A 33250-2024 tillsynsbegäran.docx", "A 33250-2024")</f>
        <v/>
      </c>
      <c r="AD48">
        <f>HYPERLINK("https://klasma.github.io/Logging_2021/tillsynsmail/A 33250-2024 tillsynsbegäran mail.docx", "A 33250-2024")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46251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46251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32917-2025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46251</v>
      </c>
      <c r="F51" t="inlineStr">
        <is>
          <t>DALARNAS LÄN</t>
        </is>
      </c>
      <c r="G51" t="inlineStr">
        <is>
          <t>VANSBRO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2</v>
      </c>
      <c r="V51" s="2" t="inlineStr">
        <is>
          <t>Garnlav</t>
        </is>
      </c>
      <c r="W51">
        <f>HYPERLINK("https://klasma.github.io/Logging_2021/artfynd/A 32917-2025 artfynd.xlsx", "A 32917-2025")</f>
        <v/>
      </c>
      <c r="X51">
        <f>HYPERLINK("https://klasma.github.io/Logging_2021/kartor/A 32917-2025 karta.png", "A 32917-2025")</f>
        <v/>
      </c>
      <c r="Y51">
        <f>HYPERLINK("https://klasma.github.io/Logging_2021/kartor_geotiff/A 32917-2025 georefererad karta.tif", "A 32917-2025")</f>
        <v/>
      </c>
      <c r="AA51">
        <f>HYPERLINK("https://klasma.github.io/Logging_2021/klagomål/A 32917-2025 FSC-klagomål.docx", "A 32917-2025")</f>
        <v/>
      </c>
      <c r="AB51">
        <f>HYPERLINK("https://klasma.github.io/Logging_2021/klagomålsmail/A 32917-2025 FSC-klagomål mail.docx", "A 32917-2025")</f>
        <v/>
      </c>
      <c r="AC51">
        <f>HYPERLINK("https://klasma.github.io/Logging_2021/tillsyn/A 32917-2025 tillsynsbegäran.docx", "A 32917-2025")</f>
        <v/>
      </c>
      <c r="AD51">
        <f>HYPERLINK("https://klasma.github.io/Logging_2021/tillsynsmail/A 32917-2025 tillsynsbegäran mail.docx", "A 32917-2025")</f>
        <v/>
      </c>
    </row>
    <row r="52" ht="15" customHeight="1">
      <c r="A52" t="inlineStr">
        <is>
          <t>A 57810-2023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46251</v>
      </c>
      <c r="F52" t="inlineStr">
        <is>
          <t>DALARNAS LÄN</t>
        </is>
      </c>
      <c r="G52" t="inlineStr">
        <is>
          <t>VANSBRO</t>
        </is>
      </c>
      <c r="I52" t="n">
        <v>0.6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HYPERLINK("https://klasma.github.io/Logging_2021/artfynd/A 57810-2023 artfynd.xlsx", "A 57810-2023")</f>
        <v/>
      </c>
      <c r="X52">
        <f>HYPERLINK("https://klasma.github.io/Logging_2021/kartor/A 57810-2023 karta.png", "A 57810-2023")</f>
        <v/>
      </c>
      <c r="Y52">
        <f>HYPERLINK("https://klasma.github.io/Logging_2021/kartor_geotiff/A 57810-2023 georefererad karta.tif", "A 57810-2023")</f>
        <v/>
      </c>
      <c r="AA52">
        <f>HYPERLINK("https://klasma.github.io/Logging_2021/klagomål/A 57810-2023 FSC-klagomål.docx", "A 57810-2023")</f>
        <v/>
      </c>
      <c r="AB52">
        <f>HYPERLINK("https://klasma.github.io/Logging_2021/klagomålsmail/A 57810-2023 FSC-klagomål mail.docx", "A 57810-2023")</f>
        <v/>
      </c>
      <c r="AC52">
        <f>HYPERLINK("https://klasma.github.io/Logging_2021/tillsyn/A 57810-2023 tillsynsbegäran.docx", "A 57810-2023")</f>
        <v/>
      </c>
      <c r="AD52">
        <f>HYPERLINK("https://klasma.github.io/Logging_2021/tillsynsmail/A 57810-2023 tillsynsbegäran mail.docx", "A 57810-2023")</f>
        <v/>
      </c>
      <c r="AE52">
        <f>HYPERLINK("https://klasma.github.io/Logging_2021/fåglar/A 57810-2023 prioriterade fågelarter.docx", "A 57810-2023")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46251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46251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46251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46251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46251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46251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46251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46251</v>
      </c>
      <c r="F60" t="inlineStr">
        <is>
          <t>DALARNAS LÄN</t>
        </is>
      </c>
      <c r="G60" t="inlineStr">
        <is>
          <t>VANSBRO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46251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46251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46251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46251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46251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46251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46251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46251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46251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46251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46251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46251</v>
      </c>
      <c r="F72" t="inlineStr">
        <is>
          <t>DALARNAS LÄN</t>
        </is>
      </c>
      <c r="G72" t="inlineStr">
        <is>
          <t>VANSBRO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46251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46251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46251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46251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46251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46251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46251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10012-2024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46251</v>
      </c>
      <c r="F80" t="inlineStr">
        <is>
          <t>DALARNAS LÄN</t>
        </is>
      </c>
      <c r="G80" t="inlineStr">
        <is>
          <t>VANSBRO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44748</v>
      </c>
      <c r="E81" s="1" t="n">
        <v>46251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46251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45463</v>
      </c>
      <c r="E83" s="1" t="n">
        <v>46251</v>
      </c>
      <c r="F83" t="inlineStr">
        <is>
          <t>DALARNAS LÄN</t>
        </is>
      </c>
      <c r="G83" t="inlineStr">
        <is>
          <t>VANSBRO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45749</v>
      </c>
      <c r="E84" s="1" t="n">
        <v>46251</v>
      </c>
      <c r="F84" t="inlineStr">
        <is>
          <t>DALARNAS LÄN</t>
        </is>
      </c>
      <c r="G84" t="inlineStr">
        <is>
          <t>VANSBRO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46251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56098-2021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44477</v>
      </c>
      <c r="E86" s="1" t="n">
        <v>46251</v>
      </c>
      <c r="F86" t="inlineStr">
        <is>
          <t>DALARNAS LÄN</t>
        </is>
      </c>
      <c r="G86" t="inlineStr">
        <is>
          <t>VANSBRO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45169</v>
      </c>
      <c r="E87" s="1" t="n">
        <v>46251</v>
      </c>
      <c r="F87" t="inlineStr">
        <is>
          <t>DALARNAS LÄN</t>
        </is>
      </c>
      <c r="G87" t="inlineStr">
        <is>
          <t>VANSBRO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46801-2021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46251</v>
      </c>
      <c r="F88" t="inlineStr">
        <is>
          <t>DALARNAS LÄN</t>
        </is>
      </c>
      <c r="G88" t="inlineStr">
        <is>
          <t>VANSBRO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46251</v>
      </c>
      <c r="F89" t="inlineStr">
        <is>
          <t>DALARNAS LÄN</t>
        </is>
      </c>
      <c r="G89" t="inlineStr">
        <is>
          <t>VANSBRO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46251</v>
      </c>
      <c r="F90" t="inlineStr">
        <is>
          <t>DALARNAS LÄN</t>
        </is>
      </c>
      <c r="G90" t="inlineStr">
        <is>
          <t>VANSBRO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46251</v>
      </c>
      <c r="F91" t="inlineStr">
        <is>
          <t>DALARNAS LÄN</t>
        </is>
      </c>
      <c r="G91" t="inlineStr">
        <is>
          <t>VANSBRO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46251</v>
      </c>
      <c r="F92" t="inlineStr">
        <is>
          <t>DALARNAS LÄN</t>
        </is>
      </c>
      <c r="G92" t="inlineStr">
        <is>
          <t>VANSBRO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35943-2024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45533</v>
      </c>
      <c r="E93" s="1" t="n">
        <v>46251</v>
      </c>
      <c r="F93" t="inlineStr">
        <is>
          <t>DALARNAS LÄN</t>
        </is>
      </c>
      <c r="G93" t="inlineStr">
        <is>
          <t>VANSBRO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45512</v>
      </c>
      <c r="E94" s="1" t="n">
        <v>46251</v>
      </c>
      <c r="F94" t="inlineStr">
        <is>
          <t>DALARNAS LÄN</t>
        </is>
      </c>
      <c r="G94" t="inlineStr">
        <is>
          <t>VANSBRO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45532</v>
      </c>
      <c r="E95" s="1" t="n">
        <v>46251</v>
      </c>
      <c r="F95" t="inlineStr">
        <is>
          <t>DALARNAS LÄN</t>
        </is>
      </c>
      <c r="G95" t="inlineStr">
        <is>
          <t>VANSBRO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46251</v>
      </c>
      <c r="F96" t="inlineStr">
        <is>
          <t>DALARNAS LÄN</t>
        </is>
      </c>
      <c r="G96" t="inlineStr">
        <is>
          <t>VANSBRO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44880</v>
      </c>
      <c r="E97" s="1" t="n">
        <v>46251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46251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46251</v>
      </c>
      <c r="F99" t="inlineStr">
        <is>
          <t>DALARNAS LÄN</t>
        </is>
      </c>
      <c r="G99" t="inlineStr">
        <is>
          <t>VANSBRO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49565-2022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44862</v>
      </c>
      <c r="E100" s="1" t="n">
        <v>46251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72635-2021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46251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45588</v>
      </c>
      <c r="E102" s="1" t="n">
        <v>46251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38253-2022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46251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38670-2025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45884</v>
      </c>
      <c r="E104" s="1" t="n">
        <v>46251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46251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öst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46251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öst AB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46251</v>
      </c>
      <c r="F107" t="inlineStr">
        <is>
          <t>DALARNAS LÄN</t>
        </is>
      </c>
      <c r="G107" t="inlineStr">
        <is>
          <t>VANSBRO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45457</v>
      </c>
      <c r="E108" s="1" t="n">
        <v>46251</v>
      </c>
      <c r="F108" t="inlineStr">
        <is>
          <t>DALARNAS LÄN</t>
        </is>
      </c>
      <c r="G108" t="inlineStr">
        <is>
          <t>VANSBRO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46251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46251</v>
      </c>
      <c r="F110" t="inlineStr">
        <is>
          <t>DALARNAS LÄN</t>
        </is>
      </c>
      <c r="G110" t="inlineStr">
        <is>
          <t>VANSBRO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46251</v>
      </c>
      <c r="F111" t="inlineStr">
        <is>
          <t>DALARNAS LÄN</t>
        </is>
      </c>
      <c r="G111" t="inlineStr">
        <is>
          <t>VANSBRO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46251</v>
      </c>
      <c r="F112" t="inlineStr">
        <is>
          <t>DALARNAS LÄN</t>
        </is>
      </c>
      <c r="G112" t="inlineStr">
        <is>
          <t>VANSBRO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46251</v>
      </c>
      <c r="F113" t="inlineStr">
        <is>
          <t>DALARNAS LÄN</t>
        </is>
      </c>
      <c r="G113" t="inlineStr">
        <is>
          <t>VANSBRO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46251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46251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46251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46251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46251</v>
      </c>
      <c r="F118" t="inlineStr">
        <is>
          <t>DALARNAS LÄN</t>
        </is>
      </c>
      <c r="G118" t="inlineStr">
        <is>
          <t>VANSBRO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46251</v>
      </c>
      <c r="F119" t="inlineStr">
        <is>
          <t>DALARNAS LÄN</t>
        </is>
      </c>
      <c r="G119" t="inlineStr">
        <is>
          <t>VANSBRO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45516</v>
      </c>
      <c r="E120" s="1" t="n">
        <v>46251</v>
      </c>
      <c r="F120" t="inlineStr">
        <is>
          <t>DALARNAS LÄN</t>
        </is>
      </c>
      <c r="G120" t="inlineStr">
        <is>
          <t>VANSBRO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46251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46251</v>
      </c>
      <c r="F122" t="inlineStr">
        <is>
          <t>DALARNAS LÄN</t>
        </is>
      </c>
      <c r="G122" t="inlineStr">
        <is>
          <t>VANSBRO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60848-2024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46251</v>
      </c>
      <c r="F123" t="inlineStr">
        <is>
          <t>DALARNAS LÄN</t>
        </is>
      </c>
      <c r="G123" t="inlineStr">
        <is>
          <t>VANSBRO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46251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46251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46251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46082</v>
      </c>
      <c r="E127" s="1" t="n">
        <v>46251</v>
      </c>
      <c r="F127" t="inlineStr">
        <is>
          <t>DALARNAS LÄN</t>
        </is>
      </c>
      <c r="G127" t="inlineStr">
        <is>
          <t>VANSBRO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63816-2021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46251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17.6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45491</v>
      </c>
      <c r="E129" s="1" t="n">
        <v>46251</v>
      </c>
      <c r="F129" t="inlineStr">
        <is>
          <t>DALARNAS LÄN</t>
        </is>
      </c>
      <c r="G129" t="inlineStr">
        <is>
          <t>VANSBRO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46084</v>
      </c>
      <c r="E130" s="1" t="n">
        <v>46251</v>
      </c>
      <c r="F130" t="inlineStr">
        <is>
          <t>DALARNAS LÄN</t>
        </is>
      </c>
      <c r="G130" t="inlineStr">
        <is>
          <t>VANSBRO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46251</v>
      </c>
      <c r="F131" t="inlineStr">
        <is>
          <t>DALARNAS LÄN</t>
        </is>
      </c>
      <c r="G131" t="inlineStr">
        <is>
          <t>VANSBRO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45322</v>
      </c>
      <c r="E132" s="1" t="n">
        <v>46251</v>
      </c>
      <c r="F132" t="inlineStr">
        <is>
          <t>DALARNAS LÄN</t>
        </is>
      </c>
      <c r="G132" t="inlineStr">
        <is>
          <t>VANSBRO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46251</v>
      </c>
      <c r="F133" t="inlineStr">
        <is>
          <t>DALARNAS LÄN</t>
        </is>
      </c>
      <c r="G133" t="inlineStr">
        <is>
          <t>VANSBRO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46251</v>
      </c>
      <c r="F134" t="inlineStr">
        <is>
          <t>DALARNAS LÄN</t>
        </is>
      </c>
      <c r="G134" t="inlineStr">
        <is>
          <t>VANSBRO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46251</v>
      </c>
      <c r="F135" t="inlineStr">
        <is>
          <t>DALARNAS LÄN</t>
        </is>
      </c>
      <c r="G135" t="inlineStr">
        <is>
          <t>VANSBRO</t>
        </is>
      </c>
      <c r="H135" t="inlineStr">
        <is>
          <t>Övriga statliga verk och myndigheter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46251</v>
      </c>
      <c r="F136" t="inlineStr">
        <is>
          <t>DALARNAS LÄN</t>
        </is>
      </c>
      <c r="G136" t="inlineStr">
        <is>
          <t>VANSBRO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46251</v>
      </c>
      <c r="F137" t="inlineStr">
        <is>
          <t>DALARNAS LÄN</t>
        </is>
      </c>
      <c r="G137" t="inlineStr">
        <is>
          <t>VANSBRO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46251</v>
      </c>
      <c r="F138" t="inlineStr">
        <is>
          <t>DALARNAS LÄN</t>
        </is>
      </c>
      <c r="G138" t="inlineStr">
        <is>
          <t>VANSBRO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44930</v>
      </c>
      <c r="E139" s="1" t="n">
        <v>46251</v>
      </c>
      <c r="F139" t="inlineStr">
        <is>
          <t>DALARNAS LÄN</t>
        </is>
      </c>
      <c r="G139" t="inlineStr">
        <is>
          <t>VANSBRO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46251</v>
      </c>
      <c r="F140" t="inlineStr">
        <is>
          <t>DALARNAS LÄN</t>
        </is>
      </c>
      <c r="G140" t="inlineStr">
        <is>
          <t>VANSBRO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48840-2025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45937</v>
      </c>
      <c r="E141" s="1" t="n">
        <v>46251</v>
      </c>
      <c r="F141" t="inlineStr">
        <is>
          <t>DALARNAS LÄN</t>
        </is>
      </c>
      <c r="G141" t="inlineStr">
        <is>
          <t>VANSBRO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55078-2022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44886</v>
      </c>
      <c r="E142" s="1" t="n">
        <v>46251</v>
      </c>
      <c r="F142" t="inlineStr">
        <is>
          <t>DALARNAS LÄN</t>
        </is>
      </c>
      <c r="G142" t="inlineStr">
        <is>
          <t>VANSBRO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46251</v>
      </c>
      <c r="F143" t="inlineStr">
        <is>
          <t>DALARNAS LÄN</t>
        </is>
      </c>
      <c r="G143" t="inlineStr">
        <is>
          <t>VANSBRO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46251</v>
      </c>
      <c r="F144" t="inlineStr">
        <is>
          <t>DALARNAS LÄN</t>
        </is>
      </c>
      <c r="G144" t="inlineStr">
        <is>
          <t>VANSBRO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46251</v>
      </c>
      <c r="F145" t="inlineStr">
        <is>
          <t>DALARNAS LÄN</t>
        </is>
      </c>
      <c r="G145" t="inlineStr">
        <is>
          <t>VANSBRO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46251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46251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46251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46251</v>
      </c>
      <c r="F149" t="inlineStr">
        <is>
          <t>DALARNAS LÄN</t>
        </is>
      </c>
      <c r="G149" t="inlineStr">
        <is>
          <t>VANSBRO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46251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46251</v>
      </c>
      <c r="F151" t="inlineStr">
        <is>
          <t>DALARNAS LÄN</t>
        </is>
      </c>
      <c r="G151" t="inlineStr">
        <is>
          <t>VANSBRO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46251</v>
      </c>
      <c r="F152" t="inlineStr">
        <is>
          <t>DALARNAS LÄN</t>
        </is>
      </c>
      <c r="G152" t="inlineStr">
        <is>
          <t>VANSBRO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46251</v>
      </c>
      <c r="F153" t="inlineStr">
        <is>
          <t>DALARNAS LÄN</t>
        </is>
      </c>
      <c r="G153" t="inlineStr">
        <is>
          <t>VANSBRO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46251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51855-2025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46251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10.2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14112-2026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46251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52442-2025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46251</v>
      </c>
      <c r="F157" t="inlineStr">
        <is>
          <t>DALARNAS LÄN</t>
        </is>
      </c>
      <c r="G157" t="inlineStr">
        <is>
          <t>VANSBRO</t>
        </is>
      </c>
      <c r="I157" t="n">
        <v>12.6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46251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46251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45689</v>
      </c>
      <c r="E160" s="1" t="n">
        <v>46251</v>
      </c>
      <c r="F160" t="inlineStr">
        <is>
          <t>DALARNAS LÄN</t>
        </is>
      </c>
      <c r="G160" t="inlineStr">
        <is>
          <t>VANSBRO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45956</v>
      </c>
      <c r="E161" s="1" t="n">
        <v>46251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45956</v>
      </c>
      <c r="E162" s="1" t="n">
        <v>46251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46251</v>
      </c>
      <c r="F163" t="inlineStr">
        <is>
          <t>DALARNAS LÄN</t>
        </is>
      </c>
      <c r="G163" t="inlineStr">
        <is>
          <t>VANSBRO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46251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45604</v>
      </c>
      <c r="E165" s="1" t="n">
        <v>46251</v>
      </c>
      <c r="F165" t="inlineStr">
        <is>
          <t>DALARNAS LÄN</t>
        </is>
      </c>
      <c r="G165" t="inlineStr">
        <is>
          <t>VANSBRO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46251</v>
      </c>
      <c r="F166" t="inlineStr">
        <is>
          <t>DALARNAS LÄN</t>
        </is>
      </c>
      <c r="G166" t="inlineStr">
        <is>
          <t>VANSBRO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46251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46251</v>
      </c>
      <c r="F168" t="inlineStr">
        <is>
          <t>DALARNAS LÄN</t>
        </is>
      </c>
      <c r="G168" t="inlineStr">
        <is>
          <t>VANSBRO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11408-2025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45726</v>
      </c>
      <c r="E169" s="1" t="n">
        <v>46251</v>
      </c>
      <c r="F169" t="inlineStr">
        <is>
          <t>DALARNAS LÄN</t>
        </is>
      </c>
      <c r="G169" t="inlineStr">
        <is>
          <t>VANSBRO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46251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45772</v>
      </c>
      <c r="E171" s="1" t="n">
        <v>46251</v>
      </c>
      <c r="F171" t="inlineStr">
        <is>
          <t>DALARNAS LÄN</t>
        </is>
      </c>
      <c r="G171" t="inlineStr">
        <is>
          <t>VANSBRO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46251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46251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46251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46251</v>
      </c>
      <c r="F175" t="inlineStr">
        <is>
          <t>DALARNAS LÄN</t>
        </is>
      </c>
      <c r="G175" t="inlineStr">
        <is>
          <t>VANSBRO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46251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45520</v>
      </c>
      <c r="E177" s="1" t="n">
        <v>46251</v>
      </c>
      <c r="F177" t="inlineStr">
        <is>
          <t>DALARNAS LÄN</t>
        </is>
      </c>
      <c r="G177" t="inlineStr">
        <is>
          <t>VANSBRO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46251</v>
      </c>
      <c r="F178" t="inlineStr">
        <is>
          <t>DALARNAS LÄN</t>
        </is>
      </c>
      <c r="G178" t="inlineStr">
        <is>
          <t>VANSBRO</t>
        </is>
      </c>
      <c r="H178" t="inlineStr">
        <is>
          <t>Övriga statliga verk och myndigheter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46108</v>
      </c>
      <c r="E179" s="1" t="n">
        <v>46251</v>
      </c>
      <c r="F179" t="inlineStr">
        <is>
          <t>DALARNAS LÄN</t>
        </is>
      </c>
      <c r="G179" t="inlineStr">
        <is>
          <t>VANSBRO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45498</v>
      </c>
      <c r="E180" s="1" t="n">
        <v>46251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61515-2022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44916</v>
      </c>
      <c r="E181" s="1" t="n">
        <v>46251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46251</v>
      </c>
      <c r="F182" t="inlineStr">
        <is>
          <t>DALARNAS LÄN</t>
        </is>
      </c>
      <c r="G182" t="inlineStr">
        <is>
          <t>VANSBRO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46251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46251</v>
      </c>
      <c r="F184" t="inlineStr">
        <is>
          <t>DALARNAS LÄN</t>
        </is>
      </c>
      <c r="G184" t="inlineStr">
        <is>
          <t>VANSBRO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46251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46251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46251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46114</v>
      </c>
      <c r="E188" s="1" t="n">
        <v>46251</v>
      </c>
      <c r="F188" t="inlineStr">
        <is>
          <t>DALARNAS LÄN</t>
        </is>
      </c>
      <c r="G188" t="inlineStr">
        <is>
          <t>VANSBRO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46251</v>
      </c>
      <c r="F189" t="inlineStr">
        <is>
          <t>DALARNAS LÄN</t>
        </is>
      </c>
      <c r="G189" t="inlineStr">
        <is>
          <t>VANSBRO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20931-2022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44701</v>
      </c>
      <c r="E190" s="1" t="n">
        <v>46251</v>
      </c>
      <c r="F190" t="inlineStr">
        <is>
          <t>DALARNAS LÄN</t>
        </is>
      </c>
      <c r="G190" t="inlineStr">
        <is>
          <t>VANSBRO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45184</v>
      </c>
      <c r="E191" s="1" t="n">
        <v>46251</v>
      </c>
      <c r="F191" t="inlineStr">
        <is>
          <t>DALARNAS LÄN</t>
        </is>
      </c>
      <c r="G191" t="inlineStr">
        <is>
          <t>VANSBRO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46251</v>
      </c>
      <c r="F192" t="inlineStr">
        <is>
          <t>DALARNAS LÄN</t>
        </is>
      </c>
      <c r="G192" t="inlineStr">
        <is>
          <t>VANSBRO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45008</v>
      </c>
      <c r="E193" s="1" t="n">
        <v>46251</v>
      </c>
      <c r="F193" t="inlineStr">
        <is>
          <t>DALARNAS LÄN</t>
        </is>
      </c>
      <c r="G193" t="inlineStr">
        <is>
          <t>VANSBRO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46251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46251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44960</v>
      </c>
      <c r="E196" s="1" t="n">
        <v>46251</v>
      </c>
      <c r="F196" t="inlineStr">
        <is>
          <t>DALARNAS LÄN</t>
        </is>
      </c>
      <c r="G196" t="inlineStr">
        <is>
          <t>VANSBRO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46251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46251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46251</v>
      </c>
      <c r="F199" t="inlineStr">
        <is>
          <t>DALARNAS LÄN</t>
        </is>
      </c>
      <c r="G199" t="inlineStr">
        <is>
          <t>VANSBRO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46121</v>
      </c>
      <c r="E200" s="1" t="n">
        <v>46251</v>
      </c>
      <c r="F200" t="inlineStr">
        <is>
          <t>DALARNAS LÄN</t>
        </is>
      </c>
      <c r="G200" t="inlineStr">
        <is>
          <t>VANSBRO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46251</v>
      </c>
      <c r="F201" t="inlineStr">
        <is>
          <t>DALARNAS LÄN</t>
        </is>
      </c>
      <c r="G201" t="inlineStr">
        <is>
          <t>VANSBRO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46251</v>
      </c>
      <c r="F202" t="inlineStr">
        <is>
          <t>DALARNAS LÄN</t>
        </is>
      </c>
      <c r="G202" t="inlineStr">
        <is>
          <t>VANSBRO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46120</v>
      </c>
      <c r="E203" s="1" t="n">
        <v>46251</v>
      </c>
      <c r="F203" t="inlineStr">
        <is>
          <t>DALARNAS LÄN</t>
        </is>
      </c>
      <c r="G203" t="inlineStr">
        <is>
          <t>VANSBRO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46251</v>
      </c>
      <c r="F204" t="inlineStr">
        <is>
          <t>DALARNAS LÄN</t>
        </is>
      </c>
      <c r="G204" t="inlineStr">
        <is>
          <t>VANSBRO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18068-2026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46125</v>
      </c>
      <c r="E205" s="1" t="n">
        <v>46251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45772</v>
      </c>
      <c r="E206" s="1" t="n">
        <v>46251</v>
      </c>
      <c r="F206" t="inlineStr">
        <is>
          <t>DALARNAS LÄN</t>
        </is>
      </c>
      <c r="G206" t="inlineStr">
        <is>
          <t>VANSBRO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44826</v>
      </c>
      <c r="E207" s="1" t="n">
        <v>46251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öst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46124</v>
      </c>
      <c r="E208" s="1" t="n">
        <v>46251</v>
      </c>
      <c r="F208" t="inlineStr">
        <is>
          <t>DALARNAS LÄN</t>
        </is>
      </c>
      <c r="G208" t="inlineStr">
        <is>
          <t>VANSBRO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46251</v>
      </c>
      <c r="F209" t="inlineStr">
        <is>
          <t>DALARNAS LÄN</t>
        </is>
      </c>
      <c r="G209" t="inlineStr">
        <is>
          <t>VANSBRO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45689</v>
      </c>
      <c r="E210" s="1" t="n">
        <v>46251</v>
      </c>
      <c r="F210" t="inlineStr">
        <is>
          <t>DALARNAS LÄN</t>
        </is>
      </c>
      <c r="G210" t="inlineStr">
        <is>
          <t>VANSBRO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46251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46251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46251</v>
      </c>
      <c r="F213" t="inlineStr">
        <is>
          <t>DALARNAS LÄN</t>
        </is>
      </c>
      <c r="G213" t="inlineStr">
        <is>
          <t>VANSBRO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46251</v>
      </c>
      <c r="F214" t="inlineStr">
        <is>
          <t>DALARNAS LÄN</t>
        </is>
      </c>
      <c r="G214" t="inlineStr">
        <is>
          <t>VANSBRO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44970</v>
      </c>
      <c r="E215" s="1" t="n">
        <v>46251</v>
      </c>
      <c r="F215" t="inlineStr">
        <is>
          <t>DALARNAS LÄN</t>
        </is>
      </c>
      <c r="G215" t="inlineStr">
        <is>
          <t>VANSBRO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46251</v>
      </c>
      <c r="F216" t="inlineStr">
        <is>
          <t>DALARNAS LÄN</t>
        </is>
      </c>
      <c r="G216" t="inlineStr">
        <is>
          <t>VANSBRO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46251</v>
      </c>
      <c r="F217" t="inlineStr">
        <is>
          <t>DALARNAS LÄN</t>
        </is>
      </c>
      <c r="G217" t="inlineStr">
        <is>
          <t>VANSBRO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46251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44673</v>
      </c>
      <c r="E219" s="1" t="n">
        <v>46251</v>
      </c>
      <c r="F219" t="inlineStr">
        <is>
          <t>DALARNAS LÄN</t>
        </is>
      </c>
      <c r="G219" t="inlineStr">
        <is>
          <t>VANSBRO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45601</v>
      </c>
      <c r="E220" s="1" t="n">
        <v>46251</v>
      </c>
      <c r="F220" t="inlineStr">
        <is>
          <t>DALARNAS LÄN</t>
        </is>
      </c>
      <c r="G220" t="inlineStr">
        <is>
          <t>VANSBRO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46251</v>
      </c>
      <c r="F221" t="inlineStr">
        <is>
          <t>DALARNAS LÄN</t>
        </is>
      </c>
      <c r="G221" t="inlineStr">
        <is>
          <t>VANSBRO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46251</v>
      </c>
      <c r="F222" t="inlineStr">
        <is>
          <t>DALARNAS LÄN</t>
        </is>
      </c>
      <c r="G222" t="inlineStr">
        <is>
          <t>VANSBRO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45481</v>
      </c>
      <c r="E223" s="1" t="n">
        <v>46251</v>
      </c>
      <c r="F223" t="inlineStr">
        <is>
          <t>DALARNAS LÄN</t>
        </is>
      </c>
      <c r="G223" t="inlineStr">
        <is>
          <t>VANSBRO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46251</v>
      </c>
      <c r="F224" t="inlineStr">
        <is>
          <t>DALARNAS LÄN</t>
        </is>
      </c>
      <c r="G224" t="inlineStr">
        <is>
          <t>VANSBRO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46251</v>
      </c>
      <c r="F225" t="inlineStr">
        <is>
          <t>DALARNAS LÄN</t>
        </is>
      </c>
      <c r="G225" t="inlineStr">
        <is>
          <t>VANSBRO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46251</v>
      </c>
      <c r="F226" t="inlineStr">
        <is>
          <t>DALARNAS LÄN</t>
        </is>
      </c>
      <c r="G226" t="inlineStr">
        <is>
          <t>VANSBRO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46251</v>
      </c>
      <c r="F227" t="inlineStr">
        <is>
          <t>DALARNAS LÄN</t>
        </is>
      </c>
      <c r="G227" t="inlineStr">
        <is>
          <t>VANSBRO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46128</v>
      </c>
      <c r="E228" s="1" t="n">
        <v>46251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46251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46002</v>
      </c>
      <c r="E230" s="1" t="n">
        <v>46251</v>
      </c>
      <c r="F230" t="inlineStr">
        <is>
          <t>DALARNAS LÄN</t>
        </is>
      </c>
      <c r="G230" t="inlineStr">
        <is>
          <t>VANSBRO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46251</v>
      </c>
      <c r="F231" t="inlineStr">
        <is>
          <t>DALARNAS LÄN</t>
        </is>
      </c>
      <c r="G231" t="inlineStr">
        <is>
          <t>VANSBRO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46251</v>
      </c>
      <c r="F232" t="inlineStr">
        <is>
          <t>DALARNAS LÄN</t>
        </is>
      </c>
      <c r="G232" t="inlineStr">
        <is>
          <t>VANSBRO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46251</v>
      </c>
      <c r="F233" t="inlineStr">
        <is>
          <t>DALARNAS LÄN</t>
        </is>
      </c>
      <c r="G233" t="inlineStr">
        <is>
          <t>VANSBRO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51396-2022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44869</v>
      </c>
      <c r="E234" s="1" t="n">
        <v>46251</v>
      </c>
      <c r="F234" t="inlineStr">
        <is>
          <t>DALARNAS LÄN</t>
        </is>
      </c>
      <c r="G234" t="inlineStr">
        <is>
          <t>VANSBRO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45111</v>
      </c>
      <c r="E235" s="1" t="n">
        <v>46251</v>
      </c>
      <c r="F235" t="inlineStr">
        <is>
          <t>DALARNAS LÄN</t>
        </is>
      </c>
      <c r="G235" t="inlineStr">
        <is>
          <t>VANSBRO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49509-2024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46251</v>
      </c>
      <c r="F236" t="inlineStr">
        <is>
          <t>DALARNAS LÄN</t>
        </is>
      </c>
      <c r="G236" t="inlineStr">
        <is>
          <t>VANSBRO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46251</v>
      </c>
      <c r="F237" t="inlineStr">
        <is>
          <t>DALARNAS LÄN</t>
        </is>
      </c>
      <c r="G237" t="inlineStr">
        <is>
          <t>VANSBRO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45240</v>
      </c>
      <c r="E238" s="1" t="n">
        <v>46251</v>
      </c>
      <c r="F238" t="inlineStr">
        <is>
          <t>DALARNAS LÄN</t>
        </is>
      </c>
      <c r="G238" t="inlineStr">
        <is>
          <t>VANSBRO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46251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46251</v>
      </c>
      <c r="F240" t="inlineStr">
        <is>
          <t>DALARNAS LÄN</t>
        </is>
      </c>
      <c r="G240" t="inlineStr">
        <is>
          <t>VANSBRO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46251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öst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46251</v>
      </c>
      <c r="F242" t="inlineStr">
        <is>
          <t>DALARNAS LÄN</t>
        </is>
      </c>
      <c r="G242" t="inlineStr">
        <is>
          <t>VANSBRO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34882-2022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44796</v>
      </c>
      <c r="E243" s="1" t="n">
        <v>46251</v>
      </c>
      <c r="F243" t="inlineStr">
        <is>
          <t>DALARNAS LÄN</t>
        </is>
      </c>
      <c r="G243" t="inlineStr">
        <is>
          <t>VANSBRO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45672</v>
      </c>
      <c r="E244" s="1" t="n">
        <v>46251</v>
      </c>
      <c r="F244" t="inlineStr">
        <is>
          <t>DALARNAS LÄN</t>
        </is>
      </c>
      <c r="G244" t="inlineStr">
        <is>
          <t>VANSBRO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45214</v>
      </c>
      <c r="E245" s="1" t="n">
        <v>46251</v>
      </c>
      <c r="F245" t="inlineStr">
        <is>
          <t>DALARNAS LÄN</t>
        </is>
      </c>
      <c r="G245" t="inlineStr">
        <is>
          <t>VANSBRO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45776</v>
      </c>
      <c r="E246" s="1" t="n">
        <v>46251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45806</v>
      </c>
      <c r="E247" s="1" t="n">
        <v>46251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46251</v>
      </c>
      <c r="F248" t="inlineStr">
        <is>
          <t>DALARNAS LÄN</t>
        </is>
      </c>
      <c r="G248" t="inlineStr">
        <is>
          <t>VANSBRO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46251</v>
      </c>
      <c r="F249" t="inlineStr">
        <is>
          <t>DALARNAS LÄN</t>
        </is>
      </c>
      <c r="G249" t="inlineStr">
        <is>
          <t>VANSBRO</t>
        </is>
      </c>
      <c r="I249" t="n">
        <v>8.800000000000001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45471</v>
      </c>
      <c r="E250" s="1" t="n">
        <v>46251</v>
      </c>
      <c r="F250" t="inlineStr">
        <is>
          <t>DALARNAS LÄN</t>
        </is>
      </c>
      <c r="G250" t="inlineStr">
        <is>
          <t>VANSBRO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46251</v>
      </c>
      <c r="F251" t="inlineStr">
        <is>
          <t>DALARNAS LÄN</t>
        </is>
      </c>
      <c r="G251" t="inlineStr">
        <is>
          <t>VANSBRO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45576</v>
      </c>
      <c r="E252" s="1" t="n">
        <v>46251</v>
      </c>
      <c r="F252" t="inlineStr">
        <is>
          <t>DALARNAS LÄN</t>
        </is>
      </c>
      <c r="G252" t="inlineStr">
        <is>
          <t>VANSBRO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51414-2021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46251</v>
      </c>
      <c r="F253" t="inlineStr">
        <is>
          <t>DALARNAS LÄN</t>
        </is>
      </c>
      <c r="G253" t="inlineStr">
        <is>
          <t>VANSBRO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46033</v>
      </c>
      <c r="E254" s="1" t="n">
        <v>46251</v>
      </c>
      <c r="F254" t="inlineStr">
        <is>
          <t>DALARNAS LÄN</t>
        </is>
      </c>
      <c r="G254" t="inlineStr">
        <is>
          <t>VANSBRO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46251</v>
      </c>
      <c r="F255" t="inlineStr">
        <is>
          <t>DALARNAS LÄN</t>
        </is>
      </c>
      <c r="G255" t="inlineStr">
        <is>
          <t>VANSBRO</t>
        </is>
      </c>
      <c r="H255" t="inlineStr">
        <is>
          <t>Övriga statliga verk och myndigheter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46251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46251</v>
      </c>
      <c r="F257" t="inlineStr">
        <is>
          <t>DALARNAS LÄN</t>
        </is>
      </c>
      <c r="G257" t="inlineStr">
        <is>
          <t>VANSBRO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46251</v>
      </c>
      <c r="F258" t="inlineStr">
        <is>
          <t>DALARNAS LÄN</t>
        </is>
      </c>
      <c r="G258" t="inlineStr">
        <is>
          <t>VANSBRO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4680-2023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44957</v>
      </c>
      <c r="E259" s="1" t="n">
        <v>46251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46251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46251</v>
      </c>
      <c r="F261" t="inlineStr">
        <is>
          <t>DALARNAS LÄN</t>
        </is>
      </c>
      <c r="G261" t="inlineStr">
        <is>
          <t>VANSBRO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46251</v>
      </c>
      <c r="F262" t="inlineStr">
        <is>
          <t>DALARNAS LÄN</t>
        </is>
      </c>
      <c r="G262" t="inlineStr">
        <is>
          <t>VANSBRO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45811</v>
      </c>
      <c r="E263" s="1" t="n">
        <v>46251</v>
      </c>
      <c r="F263" t="inlineStr">
        <is>
          <t>DALARNAS LÄN</t>
        </is>
      </c>
      <c r="G263" t="inlineStr">
        <is>
          <t>VANSBRO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45689</v>
      </c>
      <c r="E264" s="1" t="n">
        <v>46251</v>
      </c>
      <c r="F264" t="inlineStr">
        <is>
          <t>DALARNAS LÄN</t>
        </is>
      </c>
      <c r="G264" t="inlineStr">
        <is>
          <t>VANSBRO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44980</v>
      </c>
      <c r="E265" s="1" t="n">
        <v>46251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46037</v>
      </c>
      <c r="E266" s="1" t="n">
        <v>46251</v>
      </c>
      <c r="F266" t="inlineStr">
        <is>
          <t>DALARNAS LÄN</t>
        </is>
      </c>
      <c r="G266" t="inlineStr">
        <is>
          <t>VANSBRO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46251</v>
      </c>
      <c r="F267" t="inlineStr">
        <is>
          <t>DALARNAS LÄN</t>
        </is>
      </c>
      <c r="G267" t="inlineStr">
        <is>
          <t>VANSBRO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46251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46251</v>
      </c>
      <c r="F269" t="inlineStr">
        <is>
          <t>DALARNAS LÄN</t>
        </is>
      </c>
      <c r="G269" t="inlineStr">
        <is>
          <t>VANSBRO</t>
        </is>
      </c>
      <c r="H269" t="inlineStr">
        <is>
          <t>Övriga statliga verk och myndigheter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44931</v>
      </c>
      <c r="E270" s="1" t="n">
        <v>46251</v>
      </c>
      <c r="F270" t="inlineStr">
        <is>
          <t>DALARNAS LÄN</t>
        </is>
      </c>
      <c r="G270" t="inlineStr">
        <is>
          <t>VANSBRO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46251</v>
      </c>
      <c r="F271" t="inlineStr">
        <is>
          <t>DALARNAS LÄN</t>
        </is>
      </c>
      <c r="G271" t="inlineStr">
        <is>
          <t>VANSBRO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46251</v>
      </c>
      <c r="F272" t="inlineStr">
        <is>
          <t>DALARNAS LÄN</t>
        </is>
      </c>
      <c r="G272" t="inlineStr">
        <is>
          <t>VANSBRO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45530</v>
      </c>
      <c r="E273" s="1" t="n">
        <v>46251</v>
      </c>
      <c r="F273" t="inlineStr">
        <is>
          <t>DALARNAS LÄN</t>
        </is>
      </c>
      <c r="G273" t="inlineStr">
        <is>
          <t>VANSBRO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46251</v>
      </c>
      <c r="F274" t="inlineStr">
        <is>
          <t>DALARNAS LÄN</t>
        </is>
      </c>
      <c r="G274" t="inlineStr">
        <is>
          <t>VANSBRO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46251</v>
      </c>
      <c r="F275" t="inlineStr">
        <is>
          <t>DALARNAS LÄN</t>
        </is>
      </c>
      <c r="G275" t="inlineStr">
        <is>
          <t>VANSBRO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46251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45440</v>
      </c>
      <c r="E277" s="1" t="n">
        <v>46251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48111-2024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45589</v>
      </c>
      <c r="E278" s="1" t="n">
        <v>46251</v>
      </c>
      <c r="F278" t="inlineStr">
        <is>
          <t>DALARNAS LÄN</t>
        </is>
      </c>
      <c r="G278" t="inlineStr">
        <is>
          <t>VANSBRO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46050</v>
      </c>
      <c r="E279" s="1" t="n">
        <v>46251</v>
      </c>
      <c r="F279" t="inlineStr">
        <is>
          <t>DALARNAS LÄN</t>
        </is>
      </c>
      <c r="G279" t="inlineStr">
        <is>
          <t>VANSBRO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46251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46251</v>
      </c>
      <c r="F281" t="inlineStr">
        <is>
          <t>DALARNAS LÄN</t>
        </is>
      </c>
      <c r="G281" t="inlineStr">
        <is>
          <t>VANSBRO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18304-2025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46251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46251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46251</v>
      </c>
      <c r="F284" t="inlineStr">
        <is>
          <t>DALARNAS LÄN</t>
        </is>
      </c>
      <c r="G284" t="inlineStr">
        <is>
          <t>VANSBRO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46251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45735</v>
      </c>
      <c r="E286" s="1" t="n">
        <v>46251</v>
      </c>
      <c r="F286" t="inlineStr">
        <is>
          <t>DALARNAS LÄN</t>
        </is>
      </c>
      <c r="G286" t="inlineStr">
        <is>
          <t>VANSBRO</t>
        </is>
      </c>
      <c r="H286" t="inlineStr">
        <is>
          <t>Kommuner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46251</v>
      </c>
      <c r="F287" t="inlineStr">
        <is>
          <t>DALARNAS LÄN</t>
        </is>
      </c>
      <c r="G287" t="inlineStr">
        <is>
          <t>VANSBRO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46251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45714</v>
      </c>
      <c r="E289" s="1" t="n">
        <v>46251</v>
      </c>
      <c r="F289" t="inlineStr">
        <is>
          <t>DALARNAS LÄN</t>
        </is>
      </c>
      <c r="G289" t="inlineStr">
        <is>
          <t>VANSBRO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45689</v>
      </c>
      <c r="E290" s="1" t="n">
        <v>46251</v>
      </c>
      <c r="F290" t="inlineStr">
        <is>
          <t>DALARNAS LÄN</t>
        </is>
      </c>
      <c r="G290" t="inlineStr">
        <is>
          <t>VANSBRO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45689</v>
      </c>
      <c r="E291" s="1" t="n">
        <v>46251</v>
      </c>
      <c r="F291" t="inlineStr">
        <is>
          <t>DALARNAS LÄN</t>
        </is>
      </c>
      <c r="G291" t="inlineStr">
        <is>
          <t>VANSBRO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46251</v>
      </c>
      <c r="F292" t="inlineStr">
        <is>
          <t>DALARNAS LÄN</t>
        </is>
      </c>
      <c r="G292" t="inlineStr">
        <is>
          <t>VANSBRO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46251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46057</v>
      </c>
      <c r="E294" s="1" t="n">
        <v>46251</v>
      </c>
      <c r="F294" t="inlineStr">
        <is>
          <t>DALARNAS LÄN</t>
        </is>
      </c>
      <c r="G294" t="inlineStr">
        <is>
          <t>VANSBRO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46251</v>
      </c>
      <c r="F295" t="inlineStr">
        <is>
          <t>DALARNAS LÄN</t>
        </is>
      </c>
      <c r="G295" t="inlineStr">
        <is>
          <t>VANSBRO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46251</v>
      </c>
      <c r="F296" t="inlineStr">
        <is>
          <t>DALARNAS LÄN</t>
        </is>
      </c>
      <c r="G296" t="inlineStr">
        <is>
          <t>VANSBRO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46251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46251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46251</v>
      </c>
      <c r="F299" t="inlineStr">
        <is>
          <t>DALARNAS LÄN</t>
        </is>
      </c>
      <c r="G299" t="inlineStr">
        <is>
          <t>VANSBRO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46251</v>
      </c>
      <c r="F300" t="inlineStr">
        <is>
          <t>DALARNAS LÄN</t>
        </is>
      </c>
      <c r="G300" t="inlineStr">
        <is>
          <t>VANSBRO</t>
        </is>
      </c>
      <c r="I300" t="n">
        <v>15.1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46251</v>
      </c>
      <c r="F301" t="inlineStr">
        <is>
          <t>DALARNAS LÄN</t>
        </is>
      </c>
      <c r="G301" t="inlineStr">
        <is>
          <t>VANSBRO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45666</v>
      </c>
      <c r="E302" s="1" t="n">
        <v>46251</v>
      </c>
      <c r="F302" t="inlineStr">
        <is>
          <t>DALARNAS LÄN</t>
        </is>
      </c>
      <c r="G302" t="inlineStr">
        <is>
          <t>VANSBRO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46251</v>
      </c>
      <c r="F303" t="inlineStr">
        <is>
          <t>DALARNAS LÄN</t>
        </is>
      </c>
      <c r="G303" t="inlineStr">
        <is>
          <t>VANSBRO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46251</v>
      </c>
      <c r="F304" t="inlineStr">
        <is>
          <t>DALARNAS LÄN</t>
        </is>
      </c>
      <c r="G304" t="inlineStr">
        <is>
          <t>VANSBRO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25916-2022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44734</v>
      </c>
      <c r="E305" s="1" t="n">
        <v>46251</v>
      </c>
      <c r="F305" t="inlineStr">
        <is>
          <t>DALARNAS LÄN</t>
        </is>
      </c>
      <c r="G305" t="inlineStr">
        <is>
          <t>VANSBRO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45240</v>
      </c>
      <c r="E306" s="1" t="n">
        <v>46251</v>
      </c>
      <c r="F306" t="inlineStr">
        <is>
          <t>DALARNAS LÄN</t>
        </is>
      </c>
      <c r="G306" t="inlineStr">
        <is>
          <t>VANSBRO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8694-2023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44972</v>
      </c>
      <c r="E307" s="1" t="n">
        <v>46251</v>
      </c>
      <c r="F307" t="inlineStr">
        <is>
          <t>DALARNAS LÄN</t>
        </is>
      </c>
      <c r="G307" t="inlineStr">
        <is>
          <t>VANSBRO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44791</v>
      </c>
      <c r="E308" s="1" t="n">
        <v>46251</v>
      </c>
      <c r="F308" t="inlineStr">
        <is>
          <t>DALARNAS LÄN</t>
        </is>
      </c>
      <c r="G308" t="inlineStr">
        <is>
          <t>VANSBRO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46251</v>
      </c>
      <c r="F309" t="inlineStr">
        <is>
          <t>DALARNAS LÄN</t>
        </is>
      </c>
      <c r="G309" t="inlineStr">
        <is>
          <t>VANSBRO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45296</v>
      </c>
      <c r="E310" s="1" t="n">
        <v>46251</v>
      </c>
      <c r="F310" t="inlineStr">
        <is>
          <t>DALARNAS LÄN</t>
        </is>
      </c>
      <c r="G310" t="inlineStr">
        <is>
          <t>VANSBRO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46021</v>
      </c>
      <c r="E311" s="1" t="n">
        <v>46251</v>
      </c>
      <c r="F311" t="inlineStr">
        <is>
          <t>DALARNAS LÄN</t>
        </is>
      </c>
      <c r="G311" t="inlineStr">
        <is>
          <t>VANSBRO</t>
        </is>
      </c>
      <c r="I311" t="n">
        <v>19.1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45673</v>
      </c>
      <c r="E312" s="1" t="n">
        <v>46251</v>
      </c>
      <c r="F312" t="inlineStr">
        <is>
          <t>DALARNAS LÄN</t>
        </is>
      </c>
      <c r="G312" t="inlineStr">
        <is>
          <t>VANSBRO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46251</v>
      </c>
      <c r="F313" t="inlineStr">
        <is>
          <t>DALARNAS LÄN</t>
        </is>
      </c>
      <c r="G313" t="inlineStr">
        <is>
          <t>VANSBRO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46251</v>
      </c>
      <c r="F314" t="inlineStr">
        <is>
          <t>DALARNAS LÄN</t>
        </is>
      </c>
      <c r="G314" t="inlineStr">
        <is>
          <t>VANSBRO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46251</v>
      </c>
      <c r="F315" t="inlineStr">
        <is>
          <t>DALARNAS LÄN</t>
        </is>
      </c>
      <c r="G315" t="inlineStr">
        <is>
          <t>VANSBRO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46165-2021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44442</v>
      </c>
      <c r="E316" s="1" t="n">
        <v>46251</v>
      </c>
      <c r="F316" t="inlineStr">
        <is>
          <t>DALARNAS LÄN</t>
        </is>
      </c>
      <c r="G316" t="inlineStr">
        <is>
          <t>VANSBRO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8447-2022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44612</v>
      </c>
      <c r="E317" s="1" t="n">
        <v>46251</v>
      </c>
      <c r="F317" t="inlineStr">
        <is>
          <t>DALARNAS LÄN</t>
        </is>
      </c>
      <c r="G317" t="inlineStr">
        <is>
          <t>VANSBRO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45363</v>
      </c>
      <c r="E318" s="1" t="n">
        <v>46251</v>
      </c>
      <c r="F318" t="inlineStr">
        <is>
          <t>DALARNAS LÄN</t>
        </is>
      </c>
      <c r="G318" t="inlineStr">
        <is>
          <t>VANSBRO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44798</v>
      </c>
      <c r="E319" s="1" t="n">
        <v>46251</v>
      </c>
      <c r="F319" t="inlineStr">
        <is>
          <t>DALARNAS LÄN</t>
        </is>
      </c>
      <c r="G319" t="inlineStr">
        <is>
          <t>VANSBRO</t>
        </is>
      </c>
      <c r="H319" t="inlineStr">
        <is>
          <t>Kommuner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46251</v>
      </c>
      <c r="F320" t="inlineStr">
        <is>
          <t>DALARNAS LÄN</t>
        </is>
      </c>
      <c r="G320" t="inlineStr">
        <is>
          <t>VANSBRO</t>
        </is>
      </c>
      <c r="I320" t="n">
        <v>15.8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46251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10886-2025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45722</v>
      </c>
      <c r="E322" s="1" t="n">
        <v>46251</v>
      </c>
      <c r="F322" t="inlineStr">
        <is>
          <t>DALARNAS LÄN</t>
        </is>
      </c>
      <c r="G322" t="inlineStr">
        <is>
          <t>VANSBRO</t>
        </is>
      </c>
      <c r="I322" t="n">
        <v>15.5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46251</v>
      </c>
      <c r="F323" t="inlineStr">
        <is>
          <t>DALARNAS LÄN</t>
        </is>
      </c>
      <c r="G323" t="inlineStr">
        <is>
          <t>VANSBRO</t>
        </is>
      </c>
      <c r="H323" t="inlineStr">
        <is>
          <t>Övriga statliga verk och myndigheter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46082</v>
      </c>
      <c r="E324" s="1" t="n">
        <v>46251</v>
      </c>
      <c r="F324" t="inlineStr">
        <is>
          <t>DALARNAS LÄN</t>
        </is>
      </c>
      <c r="G324" t="inlineStr">
        <is>
          <t>VANSBRO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45519</v>
      </c>
      <c r="E325" s="1" t="n">
        <v>46251</v>
      </c>
      <c r="F325" t="inlineStr">
        <is>
          <t>DALARNAS LÄN</t>
        </is>
      </c>
      <c r="G325" t="inlineStr">
        <is>
          <t>VANSBRO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46251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46251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22.1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23432-2024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45453</v>
      </c>
      <c r="E328" s="1" t="n">
        <v>46251</v>
      </c>
      <c r="F328" t="inlineStr">
        <is>
          <t>DALARNAS LÄN</t>
        </is>
      </c>
      <c r="G328" t="inlineStr">
        <is>
          <t>VANSBRO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46251</v>
      </c>
      <c r="F329" t="inlineStr">
        <is>
          <t>DALARNAS LÄN</t>
        </is>
      </c>
      <c r="G329" t="inlineStr">
        <is>
          <t>VANSBRO</t>
        </is>
      </c>
      <c r="H329" t="inlineStr">
        <is>
          <t>Övriga statliga verk och myndigheter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46251</v>
      </c>
      <c r="F330" t="inlineStr">
        <is>
          <t>DALARNAS LÄN</t>
        </is>
      </c>
      <c r="G330" t="inlineStr">
        <is>
          <t>VANSBRO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46149</v>
      </c>
      <c r="E331" s="1" t="n">
        <v>46251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46251</v>
      </c>
      <c r="F332" t="inlineStr">
        <is>
          <t>DALARNAS LÄN</t>
        </is>
      </c>
      <c r="G332" t="inlineStr">
        <is>
          <t>VANSBRO</t>
        </is>
      </c>
      <c r="I332" t="n">
        <v>13.8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46251</v>
      </c>
      <c r="F333" t="inlineStr">
        <is>
          <t>DALARNAS LÄN</t>
        </is>
      </c>
      <c r="G333" t="inlineStr">
        <is>
          <t>VANSBRO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45350</v>
      </c>
      <c r="E334" s="1" t="n">
        <v>46251</v>
      </c>
      <c r="F334" t="inlineStr">
        <is>
          <t>DALARNAS LÄN</t>
        </is>
      </c>
      <c r="G334" t="inlineStr">
        <is>
          <t>VANSBRO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46251</v>
      </c>
      <c r="F335" t="inlineStr">
        <is>
          <t>DALARNAS LÄN</t>
        </is>
      </c>
      <c r="G335" t="inlineStr">
        <is>
          <t>VANSBRO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46154</v>
      </c>
      <c r="E336" s="1" t="n">
        <v>46251</v>
      </c>
      <c r="F336" t="inlineStr">
        <is>
          <t>DALARNAS LÄN</t>
        </is>
      </c>
      <c r="G336" t="inlineStr">
        <is>
          <t>VANSBRO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46251</v>
      </c>
      <c r="F337" t="inlineStr">
        <is>
          <t>DALARNAS LÄN</t>
        </is>
      </c>
      <c r="G337" t="inlineStr">
        <is>
          <t>VANSBRO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46251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2086-2024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45309</v>
      </c>
      <c r="E339" s="1" t="n">
        <v>46251</v>
      </c>
      <c r="F339" t="inlineStr">
        <is>
          <t>DALARNAS LÄN</t>
        </is>
      </c>
      <c r="G339" t="inlineStr">
        <is>
          <t>VANSBRO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46251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46251</v>
      </c>
      <c r="F341" t="inlineStr">
        <is>
          <t>DALARNAS LÄN</t>
        </is>
      </c>
      <c r="G341" t="inlineStr">
        <is>
          <t>VANSBRO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46251</v>
      </c>
      <c r="F342" t="inlineStr">
        <is>
          <t>DALARNAS LÄN</t>
        </is>
      </c>
      <c r="G342" t="inlineStr">
        <is>
          <t>VANSBRO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46251</v>
      </c>
      <c r="F343" t="inlineStr">
        <is>
          <t>DALARNAS LÄN</t>
        </is>
      </c>
      <c r="G343" t="inlineStr">
        <is>
          <t>VANSBRO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46251</v>
      </c>
      <c r="F344" t="inlineStr">
        <is>
          <t>DALARNAS LÄN</t>
        </is>
      </c>
      <c r="G344" t="inlineStr">
        <is>
          <t>VANSBRO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60031-2022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44909</v>
      </c>
      <c r="E345" s="1" t="n">
        <v>46251</v>
      </c>
      <c r="F345" t="inlineStr">
        <is>
          <t>DALARNAS LÄN</t>
        </is>
      </c>
      <c r="G345" t="inlineStr">
        <is>
          <t>VANSBRO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57947-2023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46251</v>
      </c>
      <c r="F346" t="inlineStr">
        <is>
          <t>DALARNAS LÄN</t>
        </is>
      </c>
      <c r="G346" t="inlineStr">
        <is>
          <t>VANSBRO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46251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46251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45520</v>
      </c>
      <c r="E349" s="1" t="n">
        <v>46251</v>
      </c>
      <c r="F349" t="inlineStr">
        <is>
          <t>DALARNAS LÄN</t>
        </is>
      </c>
      <c r="G349" t="inlineStr">
        <is>
          <t>VANSBRO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35299-2024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45530</v>
      </c>
      <c r="E350" s="1" t="n">
        <v>46251</v>
      </c>
      <c r="F350" t="inlineStr">
        <is>
          <t>DALARNAS LÄN</t>
        </is>
      </c>
      <c r="G350" t="inlineStr">
        <is>
          <t>VANSBRO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45331</v>
      </c>
      <c r="E351" s="1" t="n">
        <v>46251</v>
      </c>
      <c r="F351" t="inlineStr">
        <is>
          <t>DALARNAS LÄN</t>
        </is>
      </c>
      <c r="G351" t="inlineStr">
        <is>
          <t>VANSBRO</t>
        </is>
      </c>
      <c r="I351" t="n">
        <v>11.4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46164</v>
      </c>
      <c r="E352" s="1" t="n">
        <v>46251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13062-2023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45002</v>
      </c>
      <c r="E353" s="1" t="n">
        <v>46251</v>
      </c>
      <c r="F353" t="inlineStr">
        <is>
          <t>DALARNAS LÄN</t>
        </is>
      </c>
      <c r="G353" t="inlineStr">
        <is>
          <t>VANSBRO</t>
        </is>
      </c>
      <c r="H353" t="inlineStr">
        <is>
          <t>Övriga statliga verk och myndigheter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46251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46251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42207-2021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44426</v>
      </c>
      <c r="E356" s="1" t="n">
        <v>46251</v>
      </c>
      <c r="F356" t="inlineStr">
        <is>
          <t>DALARNAS LÄN</t>
        </is>
      </c>
      <c r="G356" t="inlineStr">
        <is>
          <t>VANSBRO</t>
        </is>
      </c>
      <c r="I356" t="n">
        <v>25.5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46251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29288-2024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45483</v>
      </c>
      <c r="E358" s="1" t="n">
        <v>46251</v>
      </c>
      <c r="F358" t="inlineStr">
        <is>
          <t>DALARNAS LÄN</t>
        </is>
      </c>
      <c r="G358" t="inlineStr">
        <is>
          <t>VANSBRO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45783</v>
      </c>
      <c r="E359" s="1" t="n">
        <v>46251</v>
      </c>
      <c r="F359" t="inlineStr">
        <is>
          <t>DALARNAS LÄN</t>
        </is>
      </c>
      <c r="G359" t="inlineStr">
        <is>
          <t>VANSBRO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45674</v>
      </c>
      <c r="E360" s="1" t="n">
        <v>46251</v>
      </c>
      <c r="F360" t="inlineStr">
        <is>
          <t>DALARNAS LÄN</t>
        </is>
      </c>
      <c r="G360" t="inlineStr">
        <is>
          <t>VANSBRO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45783</v>
      </c>
      <c r="E361" s="1" t="n">
        <v>46251</v>
      </c>
      <c r="F361" t="inlineStr">
        <is>
          <t>DALARNAS LÄN</t>
        </is>
      </c>
      <c r="G361" t="inlineStr">
        <is>
          <t>VANSBRO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23085-2022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44719</v>
      </c>
      <c r="E362" s="1" t="n">
        <v>46251</v>
      </c>
      <c r="F362" t="inlineStr">
        <is>
          <t>DALARNAS LÄN</t>
        </is>
      </c>
      <c r="G362" t="inlineStr">
        <is>
          <t>VANSBRO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45471</v>
      </c>
      <c r="E363" s="1" t="n">
        <v>46251</v>
      </c>
      <c r="F363" t="inlineStr">
        <is>
          <t>DALARNAS LÄN</t>
        </is>
      </c>
      <c r="G363" t="inlineStr">
        <is>
          <t>VANSBRO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46210</v>
      </c>
      <c r="E364" s="1" t="n">
        <v>46251</v>
      </c>
      <c r="F364" t="inlineStr">
        <is>
          <t>DALARNAS LÄN</t>
        </is>
      </c>
      <c r="G364" t="inlineStr">
        <is>
          <t>VANSBRO</t>
        </is>
      </c>
      <c r="H364" t="inlineStr">
        <is>
          <t>Övriga statliga verk och myndigheter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45492</v>
      </c>
      <c r="E365" s="1" t="n">
        <v>46251</v>
      </c>
      <c r="F365" t="inlineStr">
        <is>
          <t>DALARNAS LÄN</t>
        </is>
      </c>
      <c r="G365" t="inlineStr">
        <is>
          <t>VANSBRO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53828-2021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44469</v>
      </c>
      <c r="E366" s="1" t="n">
        <v>46251</v>
      </c>
      <c r="F366" t="inlineStr">
        <is>
          <t>DALARNAS LÄN</t>
        </is>
      </c>
      <c r="G366" t="inlineStr">
        <is>
          <t>VANSBRO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46251</v>
      </c>
      <c r="F367" t="inlineStr">
        <is>
          <t>DALARNAS LÄN</t>
        </is>
      </c>
      <c r="G367" t="inlineStr">
        <is>
          <t>VANSBRO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46212</v>
      </c>
      <c r="E368" s="1" t="n">
        <v>46251</v>
      </c>
      <c r="F368" t="inlineStr">
        <is>
          <t>DALARNAS LÄN</t>
        </is>
      </c>
      <c r="G368" t="inlineStr">
        <is>
          <t>VANSBRO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45443</v>
      </c>
      <c r="E369" s="1" t="n">
        <v>46251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29411-2024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45483</v>
      </c>
      <c r="E370" s="1" t="n">
        <v>46251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45793</v>
      </c>
      <c r="E371" s="1" t="n">
        <v>46251</v>
      </c>
      <c r="F371" t="inlineStr">
        <is>
          <t>DALARNAS LÄN</t>
        </is>
      </c>
      <c r="G371" t="inlineStr">
        <is>
          <t>VANSBRO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25045-2026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46251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45688</v>
      </c>
      <c r="E373" s="1" t="n">
        <v>46251</v>
      </c>
      <c r="F373" t="inlineStr">
        <is>
          <t>DALARNAS LÄN</t>
        </is>
      </c>
      <c r="G373" t="inlineStr">
        <is>
          <t>VANSBRO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46251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45798</v>
      </c>
      <c r="E375" s="1" t="n">
        <v>46251</v>
      </c>
      <c r="F375" t="inlineStr">
        <is>
          <t>DALARNAS LÄN</t>
        </is>
      </c>
      <c r="G375" t="inlineStr">
        <is>
          <t>VANSBRO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46251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46251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45331</v>
      </c>
      <c r="E378" s="1" t="n">
        <v>46251</v>
      </c>
      <c r="F378" t="inlineStr">
        <is>
          <t>DALARNAS LÄN</t>
        </is>
      </c>
      <c r="G378" t="inlineStr">
        <is>
          <t>VANSBRO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46251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45807</v>
      </c>
      <c r="E380" s="1" t="n">
        <v>46251</v>
      </c>
      <c r="F380" t="inlineStr">
        <is>
          <t>DALARNAS LÄN</t>
        </is>
      </c>
      <c r="G380" t="inlineStr">
        <is>
          <t>VANSBRO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45807</v>
      </c>
      <c r="E381" s="1" t="n">
        <v>46251</v>
      </c>
      <c r="F381" t="inlineStr">
        <is>
          <t>DALARNAS LÄN</t>
        </is>
      </c>
      <c r="G381" t="inlineStr">
        <is>
          <t>VANSBRO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50258-2024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46251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45.8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46251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46251</v>
      </c>
      <c r="F384" t="inlineStr">
        <is>
          <t>DALARNAS LÄN</t>
        </is>
      </c>
      <c r="G384" t="inlineStr">
        <is>
          <t>VANSBRO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45811</v>
      </c>
      <c r="E385" s="1" t="n">
        <v>46251</v>
      </c>
      <c r="F385" t="inlineStr">
        <is>
          <t>DALARNAS LÄN</t>
        </is>
      </c>
      <c r="G385" t="inlineStr">
        <is>
          <t>VANSBRO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45695</v>
      </c>
      <c r="E386" s="1" t="n">
        <v>46251</v>
      </c>
      <c r="F386" t="inlineStr">
        <is>
          <t>DALARNAS LÄN</t>
        </is>
      </c>
      <c r="G386" t="inlineStr">
        <is>
          <t>VANSBRO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26542-2026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46251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45078</v>
      </c>
      <c r="E388" s="1" t="n">
        <v>46251</v>
      </c>
      <c r="F388" t="inlineStr">
        <is>
          <t>DALARNAS LÄN</t>
        </is>
      </c>
      <c r="G388" t="inlineStr">
        <is>
          <t>VANSBRO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11485-2024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45372</v>
      </c>
      <c r="E389" s="1" t="n">
        <v>46251</v>
      </c>
      <c r="F389" t="inlineStr">
        <is>
          <t>DALARNAS LÄN</t>
        </is>
      </c>
      <c r="G389" t="inlineStr">
        <is>
          <t>VANSBRO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46251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36855-2022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46251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46184</v>
      </c>
      <c r="E392" s="1" t="n">
        <v>46251</v>
      </c>
      <c r="F392" t="inlineStr">
        <is>
          <t>DALARNAS LÄN</t>
        </is>
      </c>
      <c r="G392" t="inlineStr">
        <is>
          <t>VANSBRO</t>
        </is>
      </c>
      <c r="H392" t="inlineStr">
        <is>
          <t>Övriga statliga verk och myndigheter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45608-2023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45194</v>
      </c>
      <c r="E393" s="1" t="n">
        <v>46251</v>
      </c>
      <c r="F393" t="inlineStr">
        <is>
          <t>DALARNAS LÄN</t>
        </is>
      </c>
      <c r="G393" t="inlineStr">
        <is>
          <t>VANSBRO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46251</v>
      </c>
      <c r="F394" t="inlineStr">
        <is>
          <t>DALARNAS LÄN</t>
        </is>
      </c>
      <c r="G394" t="inlineStr">
        <is>
          <t>VANSBRO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46251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13639-2022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44648</v>
      </c>
      <c r="E396" s="1" t="n">
        <v>46251</v>
      </c>
      <c r="F396" t="inlineStr">
        <is>
          <t>DALARNAS LÄN</t>
        </is>
      </c>
      <c r="G396" t="inlineStr">
        <is>
          <t>VANSBRO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31867-2026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46231</v>
      </c>
      <c r="E397" s="1" t="n">
        <v>46251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46251</v>
      </c>
      <c r="F398" t="inlineStr">
        <is>
          <t>DALARNAS LÄN</t>
        </is>
      </c>
      <c r="G398" t="inlineStr">
        <is>
          <t>VANSBRO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46251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921-2025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45665</v>
      </c>
      <c r="E400" s="1" t="n">
        <v>46251</v>
      </c>
      <c r="F400" t="inlineStr">
        <is>
          <t>DALARNAS LÄN</t>
        </is>
      </c>
      <c r="G400" t="inlineStr">
        <is>
          <t>VANSBRO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45762</v>
      </c>
      <c r="E401" s="1" t="n">
        <v>46251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27195-2026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46251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46251</v>
      </c>
      <c r="F403" t="inlineStr">
        <is>
          <t>DALARNAS LÄN</t>
        </is>
      </c>
      <c r="G403" t="inlineStr">
        <is>
          <t>VANSBRO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45832</v>
      </c>
      <c r="E404" s="1" t="n">
        <v>46251</v>
      </c>
      <c r="F404" t="inlineStr">
        <is>
          <t>DALARNAS LÄN</t>
        </is>
      </c>
      <c r="G404" t="inlineStr">
        <is>
          <t>VANSBRO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46251</v>
      </c>
      <c r="F405" t="inlineStr">
        <is>
          <t>DALARNAS LÄN</t>
        </is>
      </c>
      <c r="G405" t="inlineStr">
        <is>
          <t>VANSBRO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35699-2023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45147</v>
      </c>
      <c r="E406" s="1" t="n">
        <v>46251</v>
      </c>
      <c r="F406" t="inlineStr">
        <is>
          <t>DALARNAS LÄN</t>
        </is>
      </c>
      <c r="G406" t="inlineStr">
        <is>
          <t>VANSBRO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45833</v>
      </c>
      <c r="E407" s="1" t="n">
        <v>46251</v>
      </c>
      <c r="F407" t="inlineStr">
        <is>
          <t>DALARNAS LÄN</t>
        </is>
      </c>
      <c r="G407" t="inlineStr">
        <is>
          <t>VANSBRO</t>
        </is>
      </c>
      <c r="I407" t="n">
        <v>27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45833</v>
      </c>
      <c r="E408" s="1" t="n">
        <v>46251</v>
      </c>
      <c r="F408" t="inlineStr">
        <is>
          <t>DALARNAS LÄN</t>
        </is>
      </c>
      <c r="G408" t="inlineStr">
        <is>
          <t>VANSBRO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46191</v>
      </c>
      <c r="E409" s="1" t="n">
        <v>46251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46251</v>
      </c>
      <c r="F410" t="inlineStr">
        <is>
          <t>DALARNAS LÄN</t>
        </is>
      </c>
      <c r="G410" t="inlineStr">
        <is>
          <t>VANSBRO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46251</v>
      </c>
      <c r="F411" t="inlineStr">
        <is>
          <t>DALARNAS LÄN</t>
        </is>
      </c>
      <c r="G411" t="inlineStr">
        <is>
          <t>VANSBRO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46251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46251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27930-2026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46251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46251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46251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45840</v>
      </c>
      <c r="E417" s="1" t="n">
        <v>46251</v>
      </c>
      <c r="F417" t="inlineStr">
        <is>
          <t>DALARNAS LÄN</t>
        </is>
      </c>
      <c r="G417" t="inlineStr">
        <is>
          <t>VANSBRO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46251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öst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33056-2025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45840</v>
      </c>
      <c r="E419" s="1" t="n">
        <v>46251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öst AB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24827-2022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44728</v>
      </c>
      <c r="E420" s="1" t="n">
        <v>46251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24839-2022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44728</v>
      </c>
      <c r="E421" s="1" t="n">
        <v>46251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46238</v>
      </c>
      <c r="E422" s="1" t="n">
        <v>46251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29.6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46251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45183</v>
      </c>
      <c r="E424" s="1" t="n">
        <v>46251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45846</v>
      </c>
      <c r="E425" s="1" t="n">
        <v>46251</v>
      </c>
      <c r="F425" t="inlineStr">
        <is>
          <t>DALARNAS LÄN</t>
        </is>
      </c>
      <c r="G425" t="inlineStr">
        <is>
          <t>VANSBRO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46251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46197</v>
      </c>
      <c r="E427" s="1" t="n">
        <v>46251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46251</v>
      </c>
      <c r="F428" t="inlineStr">
        <is>
          <t>DALARNAS LÄN</t>
        </is>
      </c>
      <c r="G428" t="inlineStr">
        <is>
          <t>VANSBRO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45860</v>
      </c>
      <c r="E429" s="1" t="n">
        <v>46251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17366-2025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45756</v>
      </c>
      <c r="E430" s="1" t="n">
        <v>46251</v>
      </c>
      <c r="F430" t="inlineStr">
        <is>
          <t>DALARNAS LÄN</t>
        </is>
      </c>
      <c r="G430" t="inlineStr">
        <is>
          <t>VANSBRO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45754</v>
      </c>
      <c r="E431" s="1" t="n">
        <v>46251</v>
      </c>
      <c r="F431" t="inlineStr">
        <is>
          <t>DALARNAS LÄN</t>
        </is>
      </c>
      <c r="G431" t="inlineStr">
        <is>
          <t>VANSBRO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45868</v>
      </c>
      <c r="E432" s="1" t="n">
        <v>46251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29035-2026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46251</v>
      </c>
      <c r="F433" t="inlineStr">
        <is>
          <t>DALARNAS LÄN</t>
        </is>
      </c>
      <c r="G433" t="inlineStr">
        <is>
          <t>VANSBRO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46251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37285-2025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45876</v>
      </c>
      <c r="E435" s="1" t="n">
        <v>46251</v>
      </c>
      <c r="F435" t="inlineStr">
        <is>
          <t>DALARNAS LÄN</t>
        </is>
      </c>
      <c r="G435" t="inlineStr">
        <is>
          <t>VANSBRO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29439-2026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46203</v>
      </c>
      <c r="E436" s="1" t="n">
        <v>46251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37287-2025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45876</v>
      </c>
      <c r="E437" s="1" t="n">
        <v>46251</v>
      </c>
      <c r="F437" t="inlineStr">
        <is>
          <t>DALARNAS LÄN</t>
        </is>
      </c>
      <c r="G437" t="inlineStr">
        <is>
          <t>VANSBRO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29174-2026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46202</v>
      </c>
      <c r="E438" s="1" t="n">
        <v>46251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46251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46251</v>
      </c>
      <c r="F440" t="inlineStr">
        <is>
          <t>DALARNAS LÄN</t>
        </is>
      </c>
      <c r="G440" t="inlineStr">
        <is>
          <t>VANSBRO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46251</v>
      </c>
      <c r="F441" t="inlineStr">
        <is>
          <t>DALARNAS LÄN</t>
        </is>
      </c>
      <c r="G441" t="inlineStr">
        <is>
          <t>VANSBRO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46251</v>
      </c>
      <c r="F442" t="inlineStr">
        <is>
          <t>DALARNAS LÄN</t>
        </is>
      </c>
      <c r="G442" t="inlineStr">
        <is>
          <t>VANSBRO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46251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46251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46251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46251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46251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46251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46251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2026-08-17T01:48:02Z</dcterms:created>
  <dcterms:modified xmlns:dcterms="http://purl.org/dc/terms/" xmlns:xsi="http://www.w3.org/2001/XMLSchema-instance" xsi:type="dcterms:W3CDTF">2026-08-17T01:48:03Z</dcterms:modified>
</cp:coreProperties>
</file>