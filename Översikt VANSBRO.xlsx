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46302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46302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46302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46302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46302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46302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46302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46302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46302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46302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73</v>
      </c>
      <c r="U11" t="n">
        <v>73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46302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46302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46302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33962-2025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46302</v>
      </c>
      <c r="F15" t="inlineStr">
        <is>
          <t>DALARNAS LÄN</t>
        </is>
      </c>
      <c r="G15" t="inlineStr">
        <is>
          <t>VANSBRO</t>
        </is>
      </c>
      <c r="I15" t="n">
        <v>7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22</v>
      </c>
      <c r="U15" t="n">
        <v>22</v>
      </c>
      <c r="V15" s="2" t="inlineStr">
        <is>
          <t>Garnlav
Knärot
Lunglav
Tretåig hackspett
Vedticka
Spillkråka</t>
        </is>
      </c>
      <c r="W15">
        <f>HYPERLINK("https://klasma.github.io/Logging_2021/artfynd/A 33962-2025 artfynd.xlsx", "A 33962-2025")</f>
        <v/>
      </c>
      <c r="X15">
        <f>HYPERLINK("https://klasma.github.io/Logging_2021/kartor/A 33962-2025 karta.png", "A 33962-2025")</f>
        <v/>
      </c>
      <c r="Y15">
        <f>HYPERLINK("https://klasma.github.io/Logging_2021/kartor_geotiff/A 33962-2025 georefererad karta.tif", "A 33962-2025")</f>
        <v/>
      </c>
      <c r="Z15">
        <f>HYPERLINK("https://klasma.github.io/Logging_2021/knärot/A 33962-2025 karta knärot.png", "A 33962-2025")</f>
        <v/>
      </c>
      <c r="AA15">
        <f>HYPERLINK("https://klasma.github.io/Logging_2021/klagomål/A 33962-2025 FSC-klagomål.docx", "A 33962-2025")</f>
        <v/>
      </c>
      <c r="AB15">
        <f>HYPERLINK("https://klasma.github.io/Logging_2021/klagomålsmail/A 33962-2025 FSC-klagomål mail.docx", "A 33962-2025")</f>
        <v/>
      </c>
      <c r="AC15">
        <f>HYPERLINK("https://klasma.github.io/Logging_2021/tillsyn/A 33962-2025 tillsynsbegäran.docx", "A 33962-2025")</f>
        <v/>
      </c>
      <c r="AD15">
        <f>HYPERLINK("https://klasma.github.io/Logging_2021/tillsynsmail/A 33962-2025 tillsynsbegäran mail.docx", "A 33962-2025")</f>
        <v/>
      </c>
      <c r="AE15">
        <f>HYPERLINK("https://klasma.github.io/Logging_2021/fåglar/A 33962-2025 prioriterade fågelarter.docx", "A 33962-2025")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46302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46302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33005-2025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46302</v>
      </c>
      <c r="F18" t="inlineStr">
        <is>
          <t>DALARNAS LÄN</t>
        </is>
      </c>
      <c r="G18" t="inlineStr">
        <is>
          <t>VANSBRO</t>
        </is>
      </c>
      <c r="I18" t="n">
        <v>5.5</v>
      </c>
      <c r="J18" t="n">
        <v>2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17</v>
      </c>
      <c r="U18" t="n">
        <v>17</v>
      </c>
      <c r="V18" s="2" t="inlineStr">
        <is>
          <t>Knärot
Kolflarnlav
Mörk kolflarnlav
Tretåig hackspett
Mindre märgborre</t>
        </is>
      </c>
      <c r="W18">
        <f>HYPERLINK("https://klasma.github.io/Logging_2021/artfynd/A 33005-2025 artfynd.xlsx", "A 33005-2025")</f>
        <v/>
      </c>
      <c r="X18">
        <f>HYPERLINK("https://klasma.github.io/Logging_2021/kartor/A 33005-2025 karta.png", "A 33005-2025")</f>
        <v/>
      </c>
      <c r="Y18">
        <f>HYPERLINK("https://klasma.github.io/Logging_2021/kartor_geotiff/A 33005-2025 georefererad karta.tif", "A 33005-2025")</f>
        <v/>
      </c>
      <c r="Z18">
        <f>HYPERLINK("https://klasma.github.io/Logging_2021/knärot/A 33005-2025 karta knärot.png", "A 33005-2025")</f>
        <v/>
      </c>
      <c r="AA18">
        <f>HYPERLINK("https://klasma.github.io/Logging_2021/klagomål/A 33005-2025 FSC-klagomål.docx", "A 33005-2025")</f>
        <v/>
      </c>
      <c r="AB18">
        <f>HYPERLINK("https://klasma.github.io/Logging_2021/klagomålsmail/A 33005-2025 FSC-klagomål mail.docx", "A 33005-2025")</f>
        <v/>
      </c>
      <c r="AC18">
        <f>HYPERLINK("https://klasma.github.io/Logging_2021/tillsyn/A 33005-2025 tillsynsbegäran.docx", "A 33005-2025")</f>
        <v/>
      </c>
      <c r="AD18">
        <f>HYPERLINK("https://klasma.github.io/Logging_2021/tillsynsmail/A 33005-2025 tillsynsbegäran mail.docx", "A 33005-2025")</f>
        <v/>
      </c>
      <c r="AE18">
        <f>HYPERLINK("https://klasma.github.io/Logging_2021/fåglar/A 33005-2025 prioriterade fågelarter.docx", "A 33005-2025")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46302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46302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3854-2024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45322</v>
      </c>
      <c r="E21" s="1" t="n">
        <v>46302</v>
      </c>
      <c r="F21" t="inlineStr">
        <is>
          <t>DALARNAS LÄN</t>
        </is>
      </c>
      <c r="G21" t="inlineStr">
        <is>
          <t>VANSBRO</t>
        </is>
      </c>
      <c r="H21" t="inlineStr">
        <is>
          <t>Kyrkan</t>
        </is>
      </c>
      <c r="I21" t="n">
        <v>4.6</v>
      </c>
      <c r="J21" t="n">
        <v>2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3</v>
      </c>
      <c r="V21" s="2" t="inlineStr">
        <is>
          <t>Garnlav
Tretåig hackspett
Björksplintborre
Utter</t>
        </is>
      </c>
      <c r="W21">
        <f>HYPERLINK("https://klasma.github.io/Logging_2021/artfynd/A 3854-2024 artfynd.xlsx", "A 3854-2024")</f>
        <v/>
      </c>
      <c r="X21">
        <f>HYPERLINK("https://klasma.github.io/Logging_2021/kartor/A 3854-2024 karta.png", "A 3854-2024")</f>
        <v/>
      </c>
      <c r="Y21">
        <f>HYPERLINK("https://klasma.github.io/Logging_2021/kartor_geotiff/A 3854-2024 georefererad karta.tif", "A 3854-2024")</f>
        <v/>
      </c>
      <c r="AA21">
        <f>HYPERLINK("https://klasma.github.io/Logging_2021/klagomål/A 3854-2024 FSC-klagomål.docx", "A 3854-2024")</f>
        <v/>
      </c>
      <c r="AB21">
        <f>HYPERLINK("https://klasma.github.io/Logging_2021/klagomålsmail/A 3854-2024 FSC-klagomål mail.docx", "A 3854-2024")</f>
        <v/>
      </c>
      <c r="AC21">
        <f>HYPERLINK("https://klasma.github.io/Logging_2021/tillsyn/A 3854-2024 tillsynsbegäran.docx", "A 3854-2024")</f>
        <v/>
      </c>
      <c r="AD21">
        <f>HYPERLINK("https://klasma.github.io/Logging_2021/tillsynsmail/A 3854-2024 tillsynsbegäran mail.docx", "A 3854-2024")</f>
        <v/>
      </c>
      <c r="AE21">
        <f>HYPERLINK("https://klasma.github.io/Logging_2021/fåglar/A 3854-2024 prioriterade fågelarter.docx", "A 3854-2024")</f>
        <v/>
      </c>
    </row>
    <row r="22" ht="15" customHeight="1">
      <c r="A22" t="inlineStr">
        <is>
          <t>A 11477-2026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46083</v>
      </c>
      <c r="E22" s="1" t="n">
        <v>46302</v>
      </c>
      <c r="F22" t="inlineStr">
        <is>
          <t>DALARNAS LÄN</t>
        </is>
      </c>
      <c r="G22" t="inlineStr">
        <is>
          <t>VANSBRO</t>
        </is>
      </c>
      <c r="I22" t="n">
        <v>14.5</v>
      </c>
      <c r="J22" t="n">
        <v>0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Dvärgbägarlav
Nordtagging
Vedskivlav</t>
        </is>
      </c>
      <c r="W22">
        <f>HYPERLINK("https://klasma.github.io/Logging_2021/artfynd/A 11477-2026 artfynd.xlsx", "A 11477-2026")</f>
        <v/>
      </c>
      <c r="X22">
        <f>HYPERLINK("https://klasma.github.io/Logging_2021/kartor/A 11477-2026 karta.png", "A 11477-2026")</f>
        <v/>
      </c>
      <c r="Y22">
        <f>HYPERLINK("https://klasma.github.io/Logging_2021/kartor_geotiff/A 11477-2026 georefererad karta.tif", "A 11477-2026")</f>
        <v/>
      </c>
      <c r="AA22">
        <f>HYPERLINK("https://klasma.github.io/Logging_2021/klagomål/A 11477-2026 FSC-klagomål.docx", "A 11477-2026")</f>
        <v/>
      </c>
      <c r="AB22">
        <f>HYPERLINK("https://klasma.github.io/Logging_2021/klagomålsmail/A 11477-2026 FSC-klagomål mail.docx", "A 11477-2026")</f>
        <v/>
      </c>
      <c r="AC22">
        <f>HYPERLINK("https://klasma.github.io/Logging_2021/tillsyn/A 11477-2026 tillsynsbegäran.docx", "A 11477-2026")</f>
        <v/>
      </c>
      <c r="AD22">
        <f>HYPERLINK("https://klasma.github.io/Logging_2021/tillsynsmail/A 11477-2026 tillsynsbegäran mail.docx", "A 11477-2026")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46302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46302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46302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46302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16725-2024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45409</v>
      </c>
      <c r="E27" s="1" t="n">
        <v>46302</v>
      </c>
      <c r="F27" t="inlineStr">
        <is>
          <t>DALARNAS LÄN</t>
        </is>
      </c>
      <c r="G27" t="inlineStr">
        <is>
          <t>VANSBRO</t>
        </is>
      </c>
      <c r="I27" t="n">
        <v>3.1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Skuggblåslav
Bollvitmossa</t>
        </is>
      </c>
      <c r="W27">
        <f>HYPERLINK("https://klasma.github.io/Logging_2021/artfynd/A 16725-2024 artfynd.xlsx", "A 16725-2024")</f>
        <v/>
      </c>
      <c r="X27">
        <f>HYPERLINK("https://klasma.github.io/Logging_2021/kartor/A 16725-2024 karta.png", "A 16725-2024")</f>
        <v/>
      </c>
      <c r="Y27">
        <f>HYPERLINK("https://klasma.github.io/Logging_2021/kartor_geotiff/A 16725-2024 georefererad karta.tif", "A 16725-2024")</f>
        <v/>
      </c>
      <c r="AA27">
        <f>HYPERLINK("https://klasma.github.io/Logging_2021/klagomål/A 16725-2024 FSC-klagomål.docx", "A 16725-2024")</f>
        <v/>
      </c>
      <c r="AB27">
        <f>HYPERLINK("https://klasma.github.io/Logging_2021/klagomålsmail/A 16725-2024 FSC-klagomål mail.docx", "A 16725-2024")</f>
        <v/>
      </c>
      <c r="AC27">
        <f>HYPERLINK("https://klasma.github.io/Logging_2021/tillsyn/A 16725-2024 tillsynsbegäran.docx", "A 16725-2024")</f>
        <v/>
      </c>
      <c r="AD27">
        <f>HYPERLINK("https://klasma.github.io/Logging_2021/tillsynsmail/A 16725-2024 tillsynsbegäran mail.docx", "A 16725-2024")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46302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46302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46302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41377-2026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46301</v>
      </c>
      <c r="E31" s="1" t="n">
        <v>46302</v>
      </c>
      <c r="F31" t="inlineStr">
        <is>
          <t>DALARNAS LÄN</t>
        </is>
      </c>
      <c r="G31" t="inlineStr">
        <is>
          <t>VANSBRO</t>
        </is>
      </c>
      <c r="I31" t="n">
        <v>0.6</v>
      </c>
      <c r="J31" t="n">
        <v>1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3</v>
      </c>
      <c r="T31" t="n">
        <v>4</v>
      </c>
      <c r="U31" t="n">
        <v>0</v>
      </c>
      <c r="V31" s="2" t="inlineStr">
        <is>
          <t>Garnlav
Knärot
Ullticka</t>
        </is>
      </c>
      <c r="W31">
        <f>HYPERLINK("https://klasma.github.io/Logging_2021/artfynd/A 41377-2026 artfynd.xlsx", "A 41377-2026")</f>
        <v/>
      </c>
      <c r="X31">
        <f>HYPERLINK("https://klasma.github.io/Logging_2021/kartor/A 41377-2026 karta.png", "A 41377-2026")</f>
        <v/>
      </c>
      <c r="Y31">
        <f>HYPERLINK("https://klasma.github.io/Logging_2021/kartor_geotiff/A 41377-2026 georefererad karta.tif", "A 41377-2026")</f>
        <v/>
      </c>
      <c r="Z31">
        <f>HYPERLINK("https://klasma.github.io/Logging_2021/knärot/A 41377-2026 karta knärot.png", "A 41377-2026")</f>
        <v/>
      </c>
      <c r="AA31">
        <f>HYPERLINK("https://klasma.github.io/Logging_2021/klagomål/A 41377-2026 FSC-klagomål.docx", "A 41377-2026")</f>
        <v/>
      </c>
      <c r="AB31">
        <f>HYPERLINK("https://klasma.github.io/Logging_2021/klagomålsmail/A 41377-2026 FSC-klagomål mail.docx", "A 41377-2026")</f>
        <v/>
      </c>
      <c r="AC31">
        <f>HYPERLINK("https://klasma.github.io/Logging_2021/tillsyn/A 41377-2026 tillsynsbegäran.docx", "A 41377-2026")</f>
        <v/>
      </c>
      <c r="AD31">
        <f>HYPERLINK("https://klasma.github.io/Logging_2021/tillsynsmail/A 41377-2026 tillsynsbegäran mail.docx", "A 41377-2026")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46302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1691-2026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46302</v>
      </c>
      <c r="F33" t="inlineStr">
        <is>
          <t>DALARNAS LÄN</t>
        </is>
      </c>
      <c r="G33" t="inlineStr">
        <is>
          <t>VANSBRO</t>
        </is>
      </c>
      <c r="I33" t="n">
        <v>6.3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Dropptaggsvamp
Motaggsvamp</t>
        </is>
      </c>
      <c r="W33">
        <f>HYPERLINK("https://klasma.github.io/Logging_2021/artfynd/A 1691-2026 artfynd.xlsx", "A 1691-2026")</f>
        <v/>
      </c>
      <c r="X33">
        <f>HYPERLINK("https://klasma.github.io/Logging_2021/kartor/A 1691-2026 karta.png", "A 1691-2026")</f>
        <v/>
      </c>
      <c r="Y33">
        <f>HYPERLINK("https://klasma.github.io/Logging_2021/kartor_geotiff/A 1691-2026 georefererad karta.tif", "A 1691-2026")</f>
        <v/>
      </c>
      <c r="AA33">
        <f>HYPERLINK("https://klasma.github.io/Logging_2021/klagomål/A 1691-2026 FSC-klagomål.docx", "A 1691-2026")</f>
        <v/>
      </c>
      <c r="AB33">
        <f>HYPERLINK("https://klasma.github.io/Logging_2021/klagomålsmail/A 1691-2026 FSC-klagomål mail.docx", "A 1691-2026")</f>
        <v/>
      </c>
      <c r="AC33">
        <f>HYPERLINK("https://klasma.github.io/Logging_2021/tillsyn/A 1691-2026 tillsynsbegäran.docx", "A 1691-2026")</f>
        <v/>
      </c>
      <c r="AD33">
        <f>HYPERLINK("https://klasma.github.io/Logging_2021/tillsynsmail/A 1691-2026 tillsynsbegäran mail.docx", "A 1691-2026")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46302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19656-2026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46302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18.2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Ängsblåvinge
Berggräsfjäril</t>
        </is>
      </c>
      <c r="W35">
        <f>HYPERLINK("https://klasma.github.io/Logging_2021/artfynd/A 19656-2026 artfynd.xlsx", "A 19656-2026")</f>
        <v/>
      </c>
      <c r="X35">
        <f>HYPERLINK("https://klasma.github.io/Logging_2021/kartor/A 19656-2026 karta.png", "A 19656-2026")</f>
        <v/>
      </c>
      <c r="Y35">
        <f>HYPERLINK("https://klasma.github.io/Logging_2021/kartor_geotiff/A 19656-2026 georefererad karta.tif", "A 19656-2026")</f>
        <v/>
      </c>
      <c r="AA35">
        <f>HYPERLINK("https://klasma.github.io/Logging_2021/klagomål/A 19656-2026 FSC-klagomål.docx", "A 19656-2026")</f>
        <v/>
      </c>
      <c r="AB35">
        <f>HYPERLINK("https://klasma.github.io/Logging_2021/klagomålsmail/A 19656-2026 FSC-klagomål mail.docx", "A 19656-2026")</f>
        <v/>
      </c>
      <c r="AC35">
        <f>HYPERLINK("https://klasma.github.io/Logging_2021/tillsyn/A 19656-2026 tillsynsbegäran.docx", "A 19656-2026")</f>
        <v/>
      </c>
      <c r="AD35">
        <f>HYPERLINK("https://klasma.github.io/Logging_2021/tillsynsmail/A 19656-2026 tillsynsbegäran mail.docx", "A 19656-2026")</f>
        <v/>
      </c>
    </row>
    <row r="36" ht="15" customHeight="1">
      <c r="A36" t="inlineStr">
        <is>
          <t>A 58009-2023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46302</v>
      </c>
      <c r="F36" t="inlineStr">
        <is>
          <t>DALARNAS LÄN</t>
        </is>
      </c>
      <c r="G36" t="inlineStr">
        <is>
          <t>VANSBRO</t>
        </is>
      </c>
      <c r="I36" t="n">
        <v>0.5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Sädesärla
Orre</t>
        </is>
      </c>
      <c r="W36">
        <f>HYPERLINK("https://klasma.github.io/Logging_2021/artfynd/A 58009-2023 artfynd.xlsx", "A 58009-2023")</f>
        <v/>
      </c>
      <c r="X36">
        <f>HYPERLINK("https://klasma.github.io/Logging_2021/kartor/A 58009-2023 karta.png", "A 58009-2023")</f>
        <v/>
      </c>
      <c r="Y36">
        <f>HYPERLINK("https://klasma.github.io/Logging_2021/kartor_geotiff/A 58009-2023 georefererad karta.tif", "A 58009-2023")</f>
        <v/>
      </c>
      <c r="AA36">
        <f>HYPERLINK("https://klasma.github.io/Logging_2021/klagomål/A 58009-2023 FSC-klagomål.docx", "A 58009-2023")</f>
        <v/>
      </c>
      <c r="AB36">
        <f>HYPERLINK("https://klasma.github.io/Logging_2021/klagomålsmail/A 58009-2023 FSC-klagomål mail.docx", "A 58009-2023")</f>
        <v/>
      </c>
      <c r="AC36">
        <f>HYPERLINK("https://klasma.github.io/Logging_2021/tillsyn/A 58009-2023 tillsynsbegäran.docx", "A 58009-2023")</f>
        <v/>
      </c>
      <c r="AD36">
        <f>HYPERLINK("https://klasma.github.io/Logging_2021/tillsynsmail/A 58009-2023 tillsynsbegäran mail.docx", "A 58009-2023")</f>
        <v/>
      </c>
      <c r="AE36">
        <f>HYPERLINK("https://klasma.github.io/Logging_2021/fåglar/A 58009-2023 prioriterade fågelarter.docx", "A 58009-2023")</f>
        <v/>
      </c>
    </row>
    <row r="37" ht="15" customHeight="1">
      <c r="A37" t="inlineStr">
        <is>
          <t>A 33793-2026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46302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0.9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Nästlav</t>
        </is>
      </c>
      <c r="W37">
        <f>HYPERLINK("https://klasma.github.io/Logging_2021/artfynd/A 33793-2026 artfynd.xlsx", "A 33793-2026")</f>
        <v/>
      </c>
      <c r="X37">
        <f>HYPERLINK("https://klasma.github.io/Logging_2021/kartor/A 33793-2026 karta.png", "A 33793-2026")</f>
        <v/>
      </c>
      <c r="Y37">
        <f>HYPERLINK("https://klasma.github.io/Logging_2021/kartor_geotiff/A 33793-2026 georefererad karta.tif", "A 33793-2026")</f>
        <v/>
      </c>
      <c r="AA37">
        <f>HYPERLINK("https://klasma.github.io/Logging_2021/klagomål/A 33793-2026 FSC-klagomål.docx", "A 33793-2026")</f>
        <v/>
      </c>
      <c r="AB37">
        <f>HYPERLINK("https://klasma.github.io/Logging_2021/klagomålsmail/A 33793-2026 FSC-klagomål mail.docx", "A 33793-2026")</f>
        <v/>
      </c>
      <c r="AC37">
        <f>HYPERLINK("https://klasma.github.io/Logging_2021/tillsyn/A 33793-2026 tillsynsbegäran.docx", "A 33793-2026")</f>
        <v/>
      </c>
      <c r="AD37">
        <f>HYPERLINK("https://klasma.github.io/Logging_2021/tillsynsmail/A 33793-2026 tillsynsbegäran mail.docx", "A 33793-2026")</f>
        <v/>
      </c>
    </row>
    <row r="38" ht="15" customHeight="1">
      <c r="A38" t="inlineStr">
        <is>
          <t>A 14475-2024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45394</v>
      </c>
      <c r="E38" s="1" t="n">
        <v>46302</v>
      </c>
      <c r="F38" t="inlineStr">
        <is>
          <t>DALARNAS LÄN</t>
        </is>
      </c>
      <c r="G38" t="inlineStr">
        <is>
          <t>VANSBRO</t>
        </is>
      </c>
      <c r="I38" t="n">
        <v>20.4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3</v>
      </c>
      <c r="U38" t="n">
        <v>3</v>
      </c>
      <c r="V38" s="2" t="inlineStr">
        <is>
          <t>Garnlav
Dropptaggsvamp</t>
        </is>
      </c>
      <c r="W38">
        <f>HYPERLINK("https://klasma.github.io/Logging_2021/artfynd/A 14475-2024 artfynd.xlsx", "A 14475-2024")</f>
        <v/>
      </c>
      <c r="X38">
        <f>HYPERLINK("https://klasma.github.io/Logging_2021/kartor/A 14475-2024 karta.png", "A 14475-2024")</f>
        <v/>
      </c>
      <c r="Y38">
        <f>HYPERLINK("https://klasma.github.io/Logging_2021/kartor_geotiff/A 14475-2024 georefererad karta.tif", "A 14475-2024")</f>
        <v/>
      </c>
      <c r="AA38">
        <f>HYPERLINK("https://klasma.github.io/Logging_2021/klagomål/A 14475-2024 FSC-klagomål.docx", "A 14475-2024")</f>
        <v/>
      </c>
      <c r="AB38">
        <f>HYPERLINK("https://klasma.github.io/Logging_2021/klagomålsmail/A 14475-2024 FSC-klagomål mail.docx", "A 14475-2024")</f>
        <v/>
      </c>
      <c r="AC38">
        <f>HYPERLINK("https://klasma.github.io/Logging_2021/tillsyn/A 14475-2024 tillsynsbegäran.docx", "A 14475-2024")</f>
        <v/>
      </c>
      <c r="AD38">
        <f>HYPERLINK("https://klasma.github.io/Logging_2021/tillsynsmail/A 14475-2024 tillsynsbegäran mail.docx", "A 14475-2024")</f>
        <v/>
      </c>
    </row>
    <row r="39" ht="15" customHeight="1">
      <c r="A39" t="inlineStr">
        <is>
          <t>A 3918-2026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46302</v>
      </c>
      <c r="F39" t="inlineStr">
        <is>
          <t>DALARNAS LÄN</t>
        </is>
      </c>
      <c r="G39" t="inlineStr">
        <is>
          <t>VANSBRO</t>
        </is>
      </c>
      <c r="I39" t="n">
        <v>6.2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Duvhök</t>
        </is>
      </c>
      <c r="W39">
        <f>HYPERLINK("https://klasma.github.io/Logging_2021/artfynd/A 3918-2026 artfynd.xlsx", "A 3918-2026")</f>
        <v/>
      </c>
      <c r="X39">
        <f>HYPERLINK("https://klasma.github.io/Logging_2021/kartor/A 3918-2026 karta.png", "A 3918-2026")</f>
        <v/>
      </c>
      <c r="Y39">
        <f>HYPERLINK("https://klasma.github.io/Logging_2021/kartor_geotiff/A 3918-2026 georefererad karta.tif", "A 3918-2026")</f>
        <v/>
      </c>
      <c r="AA39">
        <f>HYPERLINK("https://klasma.github.io/Logging_2021/klagomål/A 3918-2026 FSC-klagomål.docx", "A 3918-2026")</f>
        <v/>
      </c>
      <c r="AB39">
        <f>HYPERLINK("https://klasma.github.io/Logging_2021/klagomålsmail/A 3918-2026 FSC-klagomål mail.docx", "A 3918-2026")</f>
        <v/>
      </c>
      <c r="AC39">
        <f>HYPERLINK("https://klasma.github.io/Logging_2021/tillsyn/A 3918-2026 tillsynsbegäran.docx", "A 3918-2026")</f>
        <v/>
      </c>
      <c r="AD39">
        <f>HYPERLINK("https://klasma.github.io/Logging_2021/tillsynsmail/A 3918-2026 tillsynsbegäran mail.docx", "A 3918-2026")</f>
        <v/>
      </c>
      <c r="AE39">
        <f>HYPERLINK("https://klasma.github.io/Logging_2021/fåglar/A 3918-2026 prioriterade fågelarter.docx", "A 3918-2026")</f>
        <v/>
      </c>
    </row>
    <row r="40" ht="15" customHeight="1">
      <c r="A40" t="inlineStr">
        <is>
          <t>A 27052-2025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46302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HYPERLINK("https://klasma.github.io/Logging_2021/artfynd/A 27052-2025 artfynd.xlsx", "A 27052-2025")</f>
        <v/>
      </c>
      <c r="X40">
        <f>HYPERLINK("https://klasma.github.io/Logging_2021/kartor/A 27052-2025 karta.png", "A 27052-2025")</f>
        <v/>
      </c>
      <c r="Y40">
        <f>HYPERLINK("https://klasma.github.io/Logging_2021/kartor_geotiff/A 27052-2025 georefererad karta.tif", "A 27052-2025")</f>
        <v/>
      </c>
      <c r="AA40">
        <f>HYPERLINK("https://klasma.github.io/Logging_2021/klagomål/A 27052-2025 FSC-klagomål.docx", "A 27052-2025")</f>
        <v/>
      </c>
      <c r="AB40">
        <f>HYPERLINK("https://klasma.github.io/Logging_2021/klagomålsmail/A 27052-2025 FSC-klagomål mail.docx", "A 27052-2025")</f>
        <v/>
      </c>
      <c r="AC40">
        <f>HYPERLINK("https://klasma.github.io/Logging_2021/tillsyn/A 27052-2025 tillsynsbegäran.docx", "A 27052-2025")</f>
        <v/>
      </c>
      <c r="AD40">
        <f>HYPERLINK("https://klasma.github.io/Logging_2021/tillsynsmail/A 27052-2025 tillsynsbegäran mail.docx", "A 27052-2025")</f>
        <v/>
      </c>
      <c r="AE40">
        <f>HYPERLINK("https://klasma.github.io/Logging_2021/fåglar/A 27052-2025 prioriterade fågelarter.docx", "A 27052-2025")</f>
        <v/>
      </c>
    </row>
    <row r="41" ht="15" customHeight="1">
      <c r="A41" t="inlineStr">
        <is>
          <t>A 5659-2026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46051</v>
      </c>
      <c r="E41" s="1" t="n">
        <v>46302</v>
      </c>
      <c r="F41" t="inlineStr">
        <is>
          <t>DALARNAS LÄN</t>
        </is>
      </c>
      <c r="G41" t="inlineStr">
        <is>
          <t>VANSBRO</t>
        </is>
      </c>
      <c r="I41" t="n">
        <v>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rörsvepemossa</t>
        </is>
      </c>
      <c r="W41">
        <f>HYPERLINK("https://klasma.github.io/Logging_2021/artfynd/A 5659-2026 artfynd.xlsx", "A 5659-2026")</f>
        <v/>
      </c>
      <c r="X41">
        <f>HYPERLINK("https://klasma.github.io/Logging_2021/kartor/A 5659-2026 karta.png", "A 5659-2026")</f>
        <v/>
      </c>
      <c r="Y41">
        <f>HYPERLINK("https://klasma.github.io/Logging_2021/kartor_geotiff/A 5659-2026 georefererad karta.tif", "A 5659-2026")</f>
        <v/>
      </c>
      <c r="Z41">
        <f>HYPERLINK("https://klasma.github.io/Logging_2021/knärot/A 5659-2026 karta knärot.png", "A 5659-2026")</f>
        <v/>
      </c>
      <c r="AA41">
        <f>HYPERLINK("https://klasma.github.io/Logging_2021/klagomål/A 5659-2026 FSC-klagomål.docx", "A 5659-2026")</f>
        <v/>
      </c>
      <c r="AB41">
        <f>HYPERLINK("https://klasma.github.io/Logging_2021/klagomålsmail/A 5659-2026 FSC-klagomål mail.docx", "A 5659-2026")</f>
        <v/>
      </c>
      <c r="AC41">
        <f>HYPERLINK("https://klasma.github.io/Logging_2021/tillsyn/A 5659-2026 tillsynsbegäran.docx", "A 5659-2026")</f>
        <v/>
      </c>
      <c r="AD41">
        <f>HYPERLINK("https://klasma.github.io/Logging_2021/tillsynsmail/A 5659-2026 tillsynsbegäran mail.docx", "A 5659-2026")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46302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32917-2025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45839</v>
      </c>
      <c r="E43" s="1" t="n">
        <v>46302</v>
      </c>
      <c r="F43" t="inlineStr">
        <is>
          <t>DALARNAS LÄN</t>
        </is>
      </c>
      <c r="G43" t="inlineStr">
        <is>
          <t>VANSBRO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Garnlav</t>
        </is>
      </c>
      <c r="W43">
        <f>HYPERLINK("https://klasma.github.io/Logging_2021/artfynd/A 32917-2025 artfynd.xlsx", "A 32917-2025")</f>
        <v/>
      </c>
      <c r="X43">
        <f>HYPERLINK("https://klasma.github.io/Logging_2021/kartor/A 32917-2025 karta.png", "A 32917-2025")</f>
        <v/>
      </c>
      <c r="Y43">
        <f>HYPERLINK("https://klasma.github.io/Logging_2021/kartor_geotiff/A 32917-2025 georefererad karta.tif", "A 32917-2025")</f>
        <v/>
      </c>
      <c r="AA43">
        <f>HYPERLINK("https://klasma.github.io/Logging_2021/klagomål/A 32917-2025 FSC-klagomål.docx", "A 32917-2025")</f>
        <v/>
      </c>
      <c r="AB43">
        <f>HYPERLINK("https://klasma.github.io/Logging_2021/klagomålsmail/A 32917-2025 FSC-klagomål mail.docx", "A 32917-2025")</f>
        <v/>
      </c>
      <c r="AC43">
        <f>HYPERLINK("https://klasma.github.io/Logging_2021/tillsyn/A 32917-2025 tillsynsbegäran.docx", "A 32917-2025")</f>
        <v/>
      </c>
      <c r="AD43">
        <f>HYPERLINK("https://klasma.github.io/Logging_2021/tillsynsmail/A 32917-2025 tillsynsbegäran mail.docx", "A 32917-2025")</f>
        <v/>
      </c>
    </row>
    <row r="44" ht="15" customHeight="1">
      <c r="A44" t="inlineStr">
        <is>
          <t>A 52675-2025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45956</v>
      </c>
      <c r="E44" s="1" t="n">
        <v>46302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väst AB</t>
        </is>
      </c>
      <c r="I44" t="n">
        <v>4.5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Motaggsvamp</t>
        </is>
      </c>
      <c r="W44">
        <f>HYPERLINK("https://klasma.github.io/Logging_2021/artfynd/A 52675-2025 artfynd.xlsx", "A 52675-2025")</f>
        <v/>
      </c>
      <c r="X44">
        <f>HYPERLINK("https://klasma.github.io/Logging_2021/kartor/A 52675-2025 karta.png", "A 52675-2025")</f>
        <v/>
      </c>
      <c r="Y44">
        <f>HYPERLINK("https://klasma.github.io/Logging_2021/kartor_geotiff/A 52675-2025 georefererad karta.tif", "A 52675-2025")</f>
        <v/>
      </c>
      <c r="AA44">
        <f>HYPERLINK("https://klasma.github.io/Logging_2021/klagomål/A 52675-2025 FSC-klagomål.docx", "A 52675-2025")</f>
        <v/>
      </c>
      <c r="AB44">
        <f>HYPERLINK("https://klasma.github.io/Logging_2021/klagomålsmail/A 52675-2025 FSC-klagomål mail.docx", "A 52675-2025")</f>
        <v/>
      </c>
      <c r="AC44">
        <f>HYPERLINK("https://klasma.github.io/Logging_2021/tillsyn/A 52675-2025 tillsynsbegäran.docx", "A 52675-2025")</f>
        <v/>
      </c>
      <c r="AD44">
        <f>HYPERLINK("https://klasma.github.io/Logging_2021/tillsynsmail/A 52675-2025 tillsynsbegäran mail.docx", "A 52675-2025")</f>
        <v/>
      </c>
    </row>
    <row r="45" ht="15" customHeight="1">
      <c r="A45" t="inlineStr">
        <is>
          <t>A 20076-2026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46136</v>
      </c>
      <c r="E45" s="1" t="n">
        <v>46302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öst AB</t>
        </is>
      </c>
      <c r="I45" t="n">
        <v>13.2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Kransrams</t>
        </is>
      </c>
      <c r="W45">
        <f>HYPERLINK("https://klasma.github.io/Logging_2021/artfynd/A 20076-2026 artfynd.xlsx", "A 20076-2026")</f>
        <v/>
      </c>
      <c r="X45">
        <f>HYPERLINK("https://klasma.github.io/Logging_2021/kartor/A 20076-2026 karta.png", "A 20076-2026")</f>
        <v/>
      </c>
      <c r="Y45">
        <f>HYPERLINK("https://klasma.github.io/Logging_2021/kartor_geotiff/A 20076-2026 georefererad karta.tif", "A 20076-2026")</f>
        <v/>
      </c>
      <c r="AA45">
        <f>HYPERLINK("https://klasma.github.io/Logging_2021/klagomål/A 20076-2026 FSC-klagomål.docx", "A 20076-2026")</f>
        <v/>
      </c>
      <c r="AB45">
        <f>HYPERLINK("https://klasma.github.io/Logging_2021/klagomålsmail/A 20076-2026 FSC-klagomål mail.docx", "A 20076-2026")</f>
        <v/>
      </c>
      <c r="AC45">
        <f>HYPERLINK("https://klasma.github.io/Logging_2021/tillsyn/A 20076-2026 tillsynsbegäran.docx", "A 20076-2026")</f>
        <v/>
      </c>
      <c r="AD45">
        <f>HYPERLINK("https://klasma.github.io/Logging_2021/tillsynsmail/A 20076-2026 tillsynsbegäran mail.docx", "A 20076-2026")</f>
        <v/>
      </c>
    </row>
    <row r="46" ht="15" customHeight="1">
      <c r="A46" t="inlineStr">
        <is>
          <t>A 26756-2026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46184</v>
      </c>
      <c r="E46" s="1" t="n">
        <v>46302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väst AB</t>
        </is>
      </c>
      <c r="I46" t="n">
        <v>11.4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HYPERLINK("https://klasma.github.io/Logging_2021/artfynd/A 26756-2026 artfynd.xlsx", "A 26756-2026")</f>
        <v/>
      </c>
      <c r="X46">
        <f>HYPERLINK("https://klasma.github.io/Logging_2021/kartor/A 26756-2026 karta.png", "A 26756-2026")</f>
        <v/>
      </c>
      <c r="Y46">
        <f>HYPERLINK("https://klasma.github.io/Logging_2021/kartor_geotiff/A 26756-2026 georefererad karta.tif", "A 26756-2026")</f>
        <v/>
      </c>
      <c r="AA46">
        <f>HYPERLINK("https://klasma.github.io/Logging_2021/klagomål/A 26756-2026 FSC-klagomål.docx", "A 26756-2026")</f>
        <v/>
      </c>
      <c r="AB46">
        <f>HYPERLINK("https://klasma.github.io/Logging_2021/klagomålsmail/A 26756-2026 FSC-klagomål mail.docx", "A 26756-2026")</f>
        <v/>
      </c>
      <c r="AC46">
        <f>HYPERLINK("https://klasma.github.io/Logging_2021/tillsyn/A 26756-2026 tillsynsbegäran.docx", "A 26756-2026")</f>
        <v/>
      </c>
      <c r="AD46">
        <f>HYPERLINK("https://klasma.github.io/Logging_2021/tillsynsmail/A 26756-2026 tillsynsbegäran mail.docx", "A 26756-2026")</f>
        <v/>
      </c>
      <c r="AE46">
        <f>HYPERLINK("https://klasma.github.io/Logging_2021/fåglar/A 26756-2026 prioriterade fågelarter.docx", "A 26756-2026")</f>
        <v/>
      </c>
    </row>
    <row r="47" ht="15" customHeight="1">
      <c r="A47" t="inlineStr">
        <is>
          <t>A 35533-2026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46262</v>
      </c>
      <c r="E47" s="1" t="n">
        <v>46302</v>
      </c>
      <c r="F47" t="inlineStr">
        <is>
          <t>DALARNAS LÄN</t>
        </is>
      </c>
      <c r="G47" t="inlineStr">
        <is>
          <t>VANSBRO</t>
        </is>
      </c>
      <c r="I47" t="n">
        <v>1.3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HYPERLINK("https://klasma.github.io/Logging_2021/artfynd/A 35533-2026 artfynd.xlsx", "A 35533-2026")</f>
        <v/>
      </c>
      <c r="X47">
        <f>HYPERLINK("https://klasma.github.io/Logging_2021/kartor/A 35533-2026 karta.png", "A 35533-2026")</f>
        <v/>
      </c>
      <c r="Y47">
        <f>HYPERLINK("https://klasma.github.io/Logging_2021/kartor_geotiff/A 35533-2026 georefererad karta.tif", "A 35533-2026")</f>
        <v/>
      </c>
      <c r="Z47">
        <f>HYPERLINK("https://klasma.github.io/Logging_2021/knärot/A 35533-2026 karta knärot.png", "A 35533-2026")</f>
        <v/>
      </c>
      <c r="AA47">
        <f>HYPERLINK("https://klasma.github.io/Logging_2021/klagomål/A 35533-2026 FSC-klagomål.docx", "A 35533-2026")</f>
        <v/>
      </c>
      <c r="AB47">
        <f>HYPERLINK("https://klasma.github.io/Logging_2021/klagomålsmail/A 35533-2026 FSC-klagomål mail.docx", "A 35533-2026")</f>
        <v/>
      </c>
      <c r="AC47">
        <f>HYPERLINK("https://klasma.github.io/Logging_2021/tillsyn/A 35533-2026 tillsynsbegäran.docx", "A 35533-2026")</f>
        <v/>
      </c>
      <c r="AD47">
        <f>HYPERLINK("https://klasma.github.io/Logging_2021/tillsynsmail/A 35533-2026 tillsynsbegäran mail.docx", "A 35533-2026")</f>
        <v/>
      </c>
    </row>
    <row r="48" ht="15" customHeight="1">
      <c r="A48" t="inlineStr">
        <is>
          <t>A 37219-2024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45539</v>
      </c>
      <c r="E48" s="1" t="n">
        <v>46302</v>
      </c>
      <c r="F48" t="inlineStr">
        <is>
          <t>DALARNAS LÄN</t>
        </is>
      </c>
      <c r="G48" t="inlineStr">
        <is>
          <t>VANSBRO</t>
        </is>
      </c>
      <c r="I48" t="n">
        <v>5.3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Tjäder</t>
        </is>
      </c>
      <c r="W48">
        <f>HYPERLINK("https://klasma.github.io/Logging_2021/artfynd/A 37219-2024 artfynd.xlsx", "A 37219-2024")</f>
        <v/>
      </c>
      <c r="X48">
        <f>HYPERLINK("https://klasma.github.io/Logging_2021/kartor/A 37219-2024 karta.png", "A 37219-2024")</f>
        <v/>
      </c>
      <c r="Y48">
        <f>HYPERLINK("https://klasma.github.io/Logging_2021/kartor_geotiff/A 37219-2024 georefererad karta.tif", "A 37219-2024")</f>
        <v/>
      </c>
      <c r="AA48">
        <f>HYPERLINK("https://klasma.github.io/Logging_2021/klagomål/A 37219-2024 FSC-klagomål.docx", "A 37219-2024")</f>
        <v/>
      </c>
      <c r="AB48">
        <f>HYPERLINK("https://klasma.github.io/Logging_2021/klagomålsmail/A 37219-2024 FSC-klagomål mail.docx", "A 37219-2024")</f>
        <v/>
      </c>
      <c r="AC48">
        <f>HYPERLINK("https://klasma.github.io/Logging_2021/tillsyn/A 37219-2024 tillsynsbegäran.docx", "A 37219-2024")</f>
        <v/>
      </c>
      <c r="AD48">
        <f>HYPERLINK("https://klasma.github.io/Logging_2021/tillsynsmail/A 37219-2024 tillsynsbegäran mail.docx", "A 37219-2024")</f>
        <v/>
      </c>
      <c r="AE48">
        <f>HYPERLINK("https://klasma.github.io/Logging_2021/fåglar/A 37219-2024 prioriterade fågelarter.docx", "A 37219-2024")</f>
        <v/>
      </c>
    </row>
    <row r="49" ht="15" customHeight="1">
      <c r="A49" t="inlineStr">
        <is>
          <t>A 54453-2024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46302</v>
      </c>
      <c r="F49" t="inlineStr">
        <is>
          <t>DALARNAS LÄN</t>
        </is>
      </c>
      <c r="G49" t="inlineStr">
        <is>
          <t>VANSBRO</t>
        </is>
      </c>
      <c r="I49" t="n">
        <v>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Skarp dropptaggsvamp</t>
        </is>
      </c>
      <c r="W49">
        <f>HYPERLINK("https://klasma.github.io/Logging_2021/artfynd/A 54453-2024 artfynd.xlsx", "A 54453-2024")</f>
        <v/>
      </c>
      <c r="X49">
        <f>HYPERLINK("https://klasma.github.io/Logging_2021/kartor/A 54453-2024 karta.png", "A 54453-2024")</f>
        <v/>
      </c>
      <c r="Y49">
        <f>HYPERLINK("https://klasma.github.io/Logging_2021/kartor_geotiff/A 54453-2024 georefererad karta.tif", "A 54453-2024")</f>
        <v/>
      </c>
      <c r="AA49">
        <f>HYPERLINK("https://klasma.github.io/Logging_2021/klagomål/A 54453-2024 FSC-klagomål.docx", "A 54453-2024")</f>
        <v/>
      </c>
      <c r="AB49">
        <f>HYPERLINK("https://klasma.github.io/Logging_2021/klagomålsmail/A 54453-2024 FSC-klagomål mail.docx", "A 54453-2024")</f>
        <v/>
      </c>
      <c r="AC49">
        <f>HYPERLINK("https://klasma.github.io/Logging_2021/tillsyn/A 54453-2024 tillsynsbegäran.docx", "A 54453-2024")</f>
        <v/>
      </c>
      <c r="AD49">
        <f>HYPERLINK("https://klasma.github.io/Logging_2021/tillsynsmail/A 54453-2024 tillsynsbegäran mail.docx", "A 54453-2024")</f>
        <v/>
      </c>
    </row>
    <row r="50" ht="15" customHeight="1">
      <c r="A50" t="inlineStr">
        <is>
          <t>A 57810-2023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46302</v>
      </c>
      <c r="F50" t="inlineStr">
        <is>
          <t>DALARNAS LÄN</t>
        </is>
      </c>
      <c r="G50" t="inlineStr">
        <is>
          <t>VANSBRO</t>
        </is>
      </c>
      <c r="I50" t="n">
        <v>0.6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Järnsparv</t>
        </is>
      </c>
      <c r="W50">
        <f>HYPERLINK("https://klasma.github.io/Logging_2021/artfynd/A 57810-2023 artfynd.xlsx", "A 57810-2023")</f>
        <v/>
      </c>
      <c r="X50">
        <f>HYPERLINK("https://klasma.github.io/Logging_2021/kartor/A 57810-2023 karta.png", "A 57810-2023")</f>
        <v/>
      </c>
      <c r="Y50">
        <f>HYPERLINK("https://klasma.github.io/Logging_2021/kartor_geotiff/A 57810-2023 georefererad karta.tif", "A 57810-2023")</f>
        <v/>
      </c>
      <c r="AA50">
        <f>HYPERLINK("https://klasma.github.io/Logging_2021/klagomål/A 57810-2023 FSC-klagomål.docx", "A 57810-2023")</f>
        <v/>
      </c>
      <c r="AB50">
        <f>HYPERLINK("https://klasma.github.io/Logging_2021/klagomålsmail/A 57810-2023 FSC-klagomål mail.docx", "A 57810-2023")</f>
        <v/>
      </c>
      <c r="AC50">
        <f>HYPERLINK("https://klasma.github.io/Logging_2021/tillsyn/A 57810-2023 tillsynsbegäran.docx", "A 57810-2023")</f>
        <v/>
      </c>
      <c r="AD50">
        <f>HYPERLINK("https://klasma.github.io/Logging_2021/tillsynsmail/A 57810-2023 tillsynsbegäran mail.docx", "A 57810-2023")</f>
        <v/>
      </c>
      <c r="AE50">
        <f>HYPERLINK("https://klasma.github.io/Logging_2021/fåglar/A 57810-2023 prioriterade fågelarter.docx", "A 57810-2023")</f>
        <v/>
      </c>
    </row>
    <row r="51" ht="15" customHeight="1">
      <c r="A51" t="inlineStr">
        <is>
          <t>A 33250-2024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45518</v>
      </c>
      <c r="E51" s="1" t="n">
        <v>46302</v>
      </c>
      <c r="F51" t="inlineStr">
        <is>
          <t>DALARNAS LÄN</t>
        </is>
      </c>
      <c r="G51" t="inlineStr">
        <is>
          <t>VANSBRO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Reliktbock</t>
        </is>
      </c>
      <c r="W51">
        <f>HYPERLINK("https://klasma.github.io/Logging_2021/artfynd/A 33250-2024 artfynd.xlsx", "A 33250-2024")</f>
        <v/>
      </c>
      <c r="X51">
        <f>HYPERLINK("https://klasma.github.io/Logging_2021/kartor/A 33250-2024 karta.png", "A 33250-2024")</f>
        <v/>
      </c>
      <c r="Y51">
        <f>HYPERLINK("https://klasma.github.io/Logging_2021/kartor_geotiff/A 33250-2024 georefererad karta.tif", "A 33250-2024")</f>
        <v/>
      </c>
      <c r="AA51">
        <f>HYPERLINK("https://klasma.github.io/Logging_2021/klagomål/A 33250-2024 FSC-klagomål.docx", "A 33250-2024")</f>
        <v/>
      </c>
      <c r="AB51">
        <f>HYPERLINK("https://klasma.github.io/Logging_2021/klagomålsmail/A 33250-2024 FSC-klagomål mail.docx", "A 33250-2024")</f>
        <v/>
      </c>
      <c r="AC51">
        <f>HYPERLINK("https://klasma.github.io/Logging_2021/tillsyn/A 33250-2024 tillsynsbegäran.docx", "A 33250-2024")</f>
        <v/>
      </c>
      <c r="AD51">
        <f>HYPERLINK("https://klasma.github.io/Logging_2021/tillsynsmail/A 33250-2024 tillsynsbegäran mail.docx", "A 33250-2024")</f>
        <v/>
      </c>
    </row>
    <row r="52" ht="15" customHeight="1">
      <c r="A52" t="inlineStr">
        <is>
          <t>S 146-2023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44942</v>
      </c>
      <c r="E52" s="1" t="n">
        <v>46302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HYPERLINK("https://klasma.github.io/Logging_2021/artfynd/S 146-2023 artfynd.xlsx", "S 146-2023")</f>
        <v/>
      </c>
      <c r="X52">
        <f>HYPERLINK("https://klasma.github.io/Logging_2021/kartor/S 146-2023 karta.png", "S 146-2023")</f>
        <v/>
      </c>
      <c r="Y52">
        <f>HYPERLINK("https://klasma.github.io/Logging_2021/kartor_geotiff/S 146-2023 georefererad karta.tif", "S 146-2023")</f>
        <v/>
      </c>
      <c r="AA52">
        <f>HYPERLINK("https://klasma.github.io/Logging_2021/klagomål/S 146-2023 FSC-klagomål.docx", "S 146-2023")</f>
        <v/>
      </c>
      <c r="AB52">
        <f>HYPERLINK("https://klasma.github.io/Logging_2021/klagomålsmail/S 146-2023 FSC-klagomål mail.docx", "S 146-2023")</f>
        <v/>
      </c>
      <c r="AC52">
        <f>HYPERLINK("https://klasma.github.io/Logging_2021/tillsyn/S 146-2023 tillsynsbegäran.docx", "S 146-2023")</f>
        <v/>
      </c>
      <c r="AD52">
        <f>HYPERLINK("https://klasma.github.io/Logging_2021/tillsynsmail/S 146-2023 tillsynsbegäran mail.docx", "S 146-2023")</f>
        <v/>
      </c>
    </row>
    <row r="53" ht="15" customHeight="1">
      <c r="A53" t="inlineStr">
        <is>
          <t>S 940-2024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45377</v>
      </c>
      <c r="E53" s="1" t="n">
        <v>46302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158.9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HYPERLINK("https://klasma.github.io/Logging_2021/artfynd/S 940-2024 artfynd.xlsx", "S 940-2024")</f>
        <v/>
      </c>
      <c r="X53">
        <f>HYPERLINK("https://klasma.github.io/Logging_2021/kartor/S 940-2024 karta.png", "S 940-2024")</f>
        <v/>
      </c>
      <c r="Y53">
        <f>HYPERLINK("https://klasma.github.io/Logging_2021/kartor_geotiff/S 940-2024 georefererad karta.tif", "S 940-2024")</f>
        <v/>
      </c>
      <c r="AA53">
        <f>HYPERLINK("https://klasma.github.io/Logging_2021/klagomål/S 940-2024 FSC-klagomål.docx", "S 940-2024")</f>
        <v/>
      </c>
      <c r="AB53">
        <f>HYPERLINK("https://klasma.github.io/Logging_2021/klagomålsmail/S 940-2024 FSC-klagomål mail.docx", "S 940-2024")</f>
        <v/>
      </c>
      <c r="AC53">
        <f>HYPERLINK("https://klasma.github.io/Logging_2021/tillsyn/S 940-2024 tillsynsbegäran.docx", "S 940-2024")</f>
        <v/>
      </c>
      <c r="AD53">
        <f>HYPERLINK("https://klasma.github.io/Logging_2021/tillsynsmail/S 940-2024 tillsynsbegäran mail.docx", "S 940-2024")</f>
        <v/>
      </c>
    </row>
    <row r="54" ht="15" customHeight="1">
      <c r="A54" t="inlineStr">
        <is>
          <t>A 54023-2022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46302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29497-2022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46302</v>
      </c>
      <c r="F55" t="inlineStr">
        <is>
          <t>DALARNAS LÄN</t>
        </is>
      </c>
      <c r="G55" t="inlineStr">
        <is>
          <t>VANSBRO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66705-2021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44519</v>
      </c>
      <c r="E56" s="1" t="n">
        <v>46302</v>
      </c>
      <c r="F56" t="inlineStr">
        <is>
          <t>DALARNAS LÄN</t>
        </is>
      </c>
      <c r="G56" t="inlineStr">
        <is>
          <t>VANSBRO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46302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väst AB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44708</v>
      </c>
      <c r="E58" s="1" t="n">
        <v>46302</v>
      </c>
      <c r="F58" t="inlineStr">
        <is>
          <t>DALARNAS LÄN</t>
        </is>
      </c>
      <c r="G58" t="inlineStr">
        <is>
          <t>VANSBRO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46302</v>
      </c>
      <c r="F59" t="inlineStr">
        <is>
          <t>DALARNAS LÄN</t>
        </is>
      </c>
      <c r="G59" t="inlineStr">
        <is>
          <t>VANSBRO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17804-2022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44673</v>
      </c>
      <c r="E60" s="1" t="n">
        <v>46302</v>
      </c>
      <c r="F60" t="inlineStr">
        <is>
          <t>DALARNAS LÄN</t>
        </is>
      </c>
      <c r="G60" t="inlineStr">
        <is>
          <t>VANSBRO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26690-2022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46302</v>
      </c>
      <c r="F61" t="inlineStr">
        <is>
          <t>DALARNAS LÄN</t>
        </is>
      </c>
      <c r="G61" t="inlineStr">
        <is>
          <t>VANSBRO</t>
        </is>
      </c>
      <c r="H61" t="inlineStr">
        <is>
          <t>Kyrkan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44742</v>
      </c>
      <c r="E62" s="1" t="n">
        <v>46302</v>
      </c>
      <c r="F62" t="inlineStr">
        <is>
          <t>DALARNAS LÄN</t>
        </is>
      </c>
      <c r="G62" t="inlineStr">
        <is>
          <t>VANSBRO</t>
        </is>
      </c>
      <c r="H62" t="inlineStr">
        <is>
          <t>Bergvik skog öst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46302</v>
      </c>
      <c r="F63" t="inlineStr">
        <is>
          <t>DALARNAS LÄN</t>
        </is>
      </c>
      <c r="G63" t="inlineStr">
        <is>
          <t>VANSBRO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53850-2022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46302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46302</v>
      </c>
      <c r="F65" t="inlineStr">
        <is>
          <t>DALARNAS LÄN</t>
        </is>
      </c>
      <c r="G65" t="inlineStr">
        <is>
          <t>VANSBRO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44672</v>
      </c>
      <c r="E66" s="1" t="n">
        <v>46302</v>
      </c>
      <c r="F66" t="inlineStr">
        <is>
          <t>DALARNAS LÄN</t>
        </is>
      </c>
      <c r="G66" t="inlineStr">
        <is>
          <t>VANSBRO</t>
        </is>
      </c>
      <c r="H66" t="inlineStr">
        <is>
          <t>Kyrkan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46302</v>
      </c>
      <c r="F67" t="inlineStr">
        <is>
          <t>DALARNAS LÄN</t>
        </is>
      </c>
      <c r="G67" t="inlineStr">
        <is>
          <t>VANSBRO</t>
        </is>
      </c>
      <c r="H67" t="inlineStr">
        <is>
          <t>Kommuner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46302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44774</v>
      </c>
      <c r="E69" s="1" t="n">
        <v>46302</v>
      </c>
      <c r="F69" t="inlineStr">
        <is>
          <t>DALARNAS LÄN</t>
        </is>
      </c>
      <c r="G69" t="inlineStr">
        <is>
          <t>VANSBRO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8890-2022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44614</v>
      </c>
      <c r="E70" s="1" t="n">
        <v>46302</v>
      </c>
      <c r="F70" t="inlineStr">
        <is>
          <t>DALARNAS LÄN</t>
        </is>
      </c>
      <c r="G70" t="inlineStr">
        <is>
          <t>VANSBRO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46302</v>
      </c>
      <c r="F71" t="inlineStr">
        <is>
          <t>DALARNAS LÄN</t>
        </is>
      </c>
      <c r="G71" t="inlineStr">
        <is>
          <t>VANSBRO</t>
        </is>
      </c>
      <c r="H71" t="inlineStr">
        <is>
          <t>Övriga statliga verk och myndigheter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46302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44732</v>
      </c>
      <c r="E73" s="1" t="n">
        <v>46302</v>
      </c>
      <c r="F73" t="inlineStr">
        <is>
          <t>DALARNAS LÄN</t>
        </is>
      </c>
      <c r="G73" t="inlineStr">
        <is>
          <t>VANSBRO</t>
        </is>
      </c>
      <c r="H73" t="inlineStr">
        <is>
          <t>Kyrkan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44827</v>
      </c>
      <c r="E74" s="1" t="n">
        <v>46302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väst AB</t>
        </is>
      </c>
      <c r="I74" t="n">
        <v>6.9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28657-2022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46302</v>
      </c>
      <c r="F75" t="inlineStr">
        <is>
          <t>DALARNAS LÄN</t>
        </is>
      </c>
      <c r="G75" t="inlineStr">
        <is>
          <t>VANSBRO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55774-2021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44476</v>
      </c>
      <c r="E76" s="1" t="n">
        <v>46302</v>
      </c>
      <c r="F76" t="inlineStr">
        <is>
          <t>DALARNAS LÄN</t>
        </is>
      </c>
      <c r="G76" t="inlineStr">
        <is>
          <t>VANSBRO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56098-2021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44477</v>
      </c>
      <c r="E77" s="1" t="n">
        <v>46302</v>
      </c>
      <c r="F77" t="inlineStr">
        <is>
          <t>DALARNAS LÄN</t>
        </is>
      </c>
      <c r="G77" t="inlineStr">
        <is>
          <t>VANSBRO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44643</v>
      </c>
      <c r="E78" s="1" t="n">
        <v>46302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46302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öst AB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46302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46302</v>
      </c>
      <c r="F81" t="inlineStr">
        <is>
          <t>DALARNAS LÄN</t>
        </is>
      </c>
      <c r="G81" t="inlineStr">
        <is>
          <t>VANSBRO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38253-2022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46302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35288-2024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46302</v>
      </c>
      <c r="F83" t="inlineStr">
        <is>
          <t>DALARNAS LÄN</t>
        </is>
      </c>
      <c r="G83" t="inlineStr">
        <is>
          <t>VANSBRO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45498</v>
      </c>
      <c r="E84" s="1" t="n">
        <v>46302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4680-2023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44957</v>
      </c>
      <c r="E85" s="1" t="n">
        <v>46302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21973-2024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45443</v>
      </c>
      <c r="E86" s="1" t="n">
        <v>46302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55078-2022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46302</v>
      </c>
      <c r="F87" t="inlineStr">
        <is>
          <t>DALARNAS LÄN</t>
        </is>
      </c>
      <c r="G87" t="inlineStr">
        <is>
          <t>VANSBRO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34738-2023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45141</v>
      </c>
      <c r="E88" s="1" t="n">
        <v>46302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45617</v>
      </c>
      <c r="E89" s="1" t="n">
        <v>46302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45078</v>
      </c>
      <c r="E90" s="1" t="n">
        <v>46302</v>
      </c>
      <c r="F90" t="inlineStr">
        <is>
          <t>DALARNAS LÄN</t>
        </is>
      </c>
      <c r="G90" t="inlineStr">
        <is>
          <t>VANSBRO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11408-2025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45726</v>
      </c>
      <c r="E91" s="1" t="n">
        <v>46302</v>
      </c>
      <c r="F91" t="inlineStr">
        <is>
          <t>DALARNAS LÄN</t>
        </is>
      </c>
      <c r="G91" t="inlineStr">
        <is>
          <t>VANSBRO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45608-2023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45194</v>
      </c>
      <c r="E92" s="1" t="n">
        <v>46302</v>
      </c>
      <c r="F92" t="inlineStr">
        <is>
          <t>DALARNAS LÄN</t>
        </is>
      </c>
      <c r="G92" t="inlineStr">
        <is>
          <t>VANSBRO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41371-2022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44826</v>
      </c>
      <c r="E93" s="1" t="n">
        <v>46302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öst AB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46302</v>
      </c>
      <c r="F94" t="inlineStr">
        <is>
          <t>DALARNAS LÄN</t>
        </is>
      </c>
      <c r="G94" t="inlineStr">
        <is>
          <t>VANSBRO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38034-2024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45544</v>
      </c>
      <c r="E95" s="1" t="n">
        <v>46302</v>
      </c>
      <c r="F95" t="inlineStr">
        <is>
          <t>DALARNAS LÄN</t>
        </is>
      </c>
      <c r="G95" t="inlineStr">
        <is>
          <t>VANSBRO</t>
        </is>
      </c>
      <c r="H95" t="inlineStr">
        <is>
          <t>Övriga statliga verk och myndigheter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43254-2023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46302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öst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34882-2022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44796</v>
      </c>
      <c r="E97" s="1" t="n">
        <v>46302</v>
      </c>
      <c r="F97" t="inlineStr">
        <is>
          <t>DALARNAS LÄN</t>
        </is>
      </c>
      <c r="G97" t="inlineStr">
        <is>
          <t>VANSBRO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46302</v>
      </c>
      <c r="F98" t="inlineStr">
        <is>
          <t>DALARNAS LÄN</t>
        </is>
      </c>
      <c r="G98" t="inlineStr">
        <is>
          <t>VANSBRO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59142-2024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45637</v>
      </c>
      <c r="E99" s="1" t="n">
        <v>46302</v>
      </c>
      <c r="F99" t="inlineStr">
        <is>
          <t>DALARNAS LÄN</t>
        </is>
      </c>
      <c r="G99" t="inlineStr">
        <is>
          <t>VANSBRO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13639-2022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46302</v>
      </c>
      <c r="F100" t="inlineStr">
        <is>
          <t>DALARNAS LÄN</t>
        </is>
      </c>
      <c r="G100" t="inlineStr">
        <is>
          <t>VANSBRO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45689</v>
      </c>
      <c r="E101" s="1" t="n">
        <v>46302</v>
      </c>
      <c r="F101" t="inlineStr">
        <is>
          <t>DALARNAS LÄN</t>
        </is>
      </c>
      <c r="G101" t="inlineStr">
        <is>
          <t>VANSBRO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45512</v>
      </c>
      <c r="E102" s="1" t="n">
        <v>46302</v>
      </c>
      <c r="F102" t="inlineStr">
        <is>
          <t>DALARNAS LÄN</t>
        </is>
      </c>
      <c r="G102" t="inlineStr">
        <is>
          <t>VANSBRO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16827-2025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46302</v>
      </c>
      <c r="F103" t="inlineStr">
        <is>
          <t>DALARNAS LÄN</t>
        </is>
      </c>
      <c r="G103" t="inlineStr">
        <is>
          <t>VANSBRO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45377</v>
      </c>
      <c r="E104" s="1" t="n">
        <v>46302</v>
      </c>
      <c r="F104" t="inlineStr">
        <is>
          <t>DALARNAS LÄN</t>
        </is>
      </c>
      <c r="G104" t="inlineStr">
        <is>
          <t>VANSBRO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45689</v>
      </c>
      <c r="E105" s="1" t="n">
        <v>46302</v>
      </c>
      <c r="F105" t="inlineStr">
        <is>
          <t>DALARNAS LÄN</t>
        </is>
      </c>
      <c r="G105" t="inlineStr">
        <is>
          <t>VANSBRO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45189</v>
      </c>
      <c r="E106" s="1" t="n">
        <v>46302</v>
      </c>
      <c r="F106" t="inlineStr">
        <is>
          <t>DALARNAS LÄN</t>
        </is>
      </c>
      <c r="G106" t="inlineStr">
        <is>
          <t>VANSBRO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35299-2024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45530</v>
      </c>
      <c r="E107" s="1" t="n">
        <v>46302</v>
      </c>
      <c r="F107" t="inlineStr">
        <is>
          <t>DALARNAS LÄN</t>
        </is>
      </c>
      <c r="G107" t="inlineStr">
        <is>
          <t>VANSBRO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46302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öst AB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62622-2022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44925</v>
      </c>
      <c r="E109" s="1" t="n">
        <v>46302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46033</v>
      </c>
      <c r="E110" s="1" t="n">
        <v>46302</v>
      </c>
      <c r="F110" t="inlineStr">
        <is>
          <t>DALARNAS LÄN</t>
        </is>
      </c>
      <c r="G110" t="inlineStr">
        <is>
          <t>VANSBRO</t>
        </is>
      </c>
      <c r="I110" t="n">
        <v>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46034</v>
      </c>
      <c r="E111" s="1" t="n">
        <v>46302</v>
      </c>
      <c r="F111" t="inlineStr">
        <is>
          <t>DALARNAS LÄN</t>
        </is>
      </c>
      <c r="G111" t="inlineStr">
        <is>
          <t>VANSBRO</t>
        </is>
      </c>
      <c r="I111" t="n">
        <v>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2196-2026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46302</v>
      </c>
      <c r="F112" t="inlineStr">
        <is>
          <t>DALARNAS LÄN</t>
        </is>
      </c>
      <c r="G112" t="inlineStr">
        <is>
          <t>VANSBRO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38670-2025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45884</v>
      </c>
      <c r="E113" s="1" t="n">
        <v>46302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väst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49565-2022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44862</v>
      </c>
      <c r="E114" s="1" t="n">
        <v>46302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45807</v>
      </c>
      <c r="E115" s="1" t="n">
        <v>46302</v>
      </c>
      <c r="F115" t="inlineStr">
        <is>
          <t>DALARNAS LÄN</t>
        </is>
      </c>
      <c r="G115" t="inlineStr">
        <is>
          <t>VANSBRO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45807</v>
      </c>
      <c r="E116" s="1" t="n">
        <v>46302</v>
      </c>
      <c r="F116" t="inlineStr">
        <is>
          <t>DALARNAS LÄN</t>
        </is>
      </c>
      <c r="G116" t="inlineStr">
        <is>
          <t>VANSBRO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46037</v>
      </c>
      <c r="E117" s="1" t="n">
        <v>46302</v>
      </c>
      <c r="F117" t="inlineStr">
        <is>
          <t>DALARNAS LÄN</t>
        </is>
      </c>
      <c r="G117" t="inlineStr">
        <is>
          <t>VANSBRO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46302</v>
      </c>
      <c r="F118" t="inlineStr">
        <is>
          <t>DALARNAS LÄN</t>
        </is>
      </c>
      <c r="G118" t="inlineStr">
        <is>
          <t>VANSBRO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30342-2023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45111</v>
      </c>
      <c r="E119" s="1" t="n">
        <v>46302</v>
      </c>
      <c r="F119" t="inlineStr">
        <is>
          <t>DALARNAS LÄN</t>
        </is>
      </c>
      <c r="G119" t="inlineStr">
        <is>
          <t>VANSBRO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46302</v>
      </c>
      <c r="F120" t="inlineStr">
        <is>
          <t>DALARNAS LÄN</t>
        </is>
      </c>
      <c r="G120" t="inlineStr">
        <is>
          <t>VANSBRO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26995-2025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45811</v>
      </c>
      <c r="E121" s="1" t="n">
        <v>46302</v>
      </c>
      <c r="F121" t="inlineStr">
        <is>
          <t>DALARNAS LÄN</t>
        </is>
      </c>
      <c r="G121" t="inlineStr">
        <is>
          <t>VANSBRO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46302</v>
      </c>
      <c r="F122" t="inlineStr">
        <is>
          <t>DALARNAS LÄN</t>
        </is>
      </c>
      <c r="G122" t="inlineStr">
        <is>
          <t>VANSBRO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39177-2025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45888</v>
      </c>
      <c r="E123" s="1" t="n">
        <v>46302</v>
      </c>
      <c r="F123" t="inlineStr">
        <is>
          <t>DALARNAS LÄN</t>
        </is>
      </c>
      <c r="G123" t="inlineStr">
        <is>
          <t>VANSBRO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39179-2025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45888</v>
      </c>
      <c r="E124" s="1" t="n">
        <v>46302</v>
      </c>
      <c r="F124" t="inlineStr">
        <is>
          <t>DALARNAS LÄN</t>
        </is>
      </c>
      <c r="G124" t="inlineStr">
        <is>
          <t>VANSBRO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4027-2026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46044</v>
      </c>
      <c r="E125" s="1" t="n">
        <v>46302</v>
      </c>
      <c r="F125" t="inlineStr">
        <is>
          <t>DALARNAS LÄN</t>
        </is>
      </c>
      <c r="G125" t="inlineStr">
        <is>
          <t>VANSBRO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46049</v>
      </c>
      <c r="E126" s="1" t="n">
        <v>46302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46048</v>
      </c>
      <c r="E127" s="1" t="n">
        <v>46302</v>
      </c>
      <c r="F127" t="inlineStr">
        <is>
          <t>DALARNAS LÄN</t>
        </is>
      </c>
      <c r="G127" t="inlineStr">
        <is>
          <t>VANSBRO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45890</v>
      </c>
      <c r="E128" s="1" t="n">
        <v>46302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4970-2026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46049</v>
      </c>
      <c r="E129" s="1" t="n">
        <v>46302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39490-2025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45890</v>
      </c>
      <c r="E130" s="1" t="n">
        <v>46302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45356-2024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45576</v>
      </c>
      <c r="E131" s="1" t="n">
        <v>46302</v>
      </c>
      <c r="F131" t="inlineStr">
        <is>
          <t>DALARNAS LÄN</t>
        </is>
      </c>
      <c r="G131" t="inlineStr">
        <is>
          <t>VANSBRO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45695</v>
      </c>
      <c r="E132" s="1" t="n">
        <v>46302</v>
      </c>
      <c r="F132" t="inlineStr">
        <is>
          <t>DALARNAS LÄN</t>
        </is>
      </c>
      <c r="G132" t="inlineStr">
        <is>
          <t>VANSBRO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46302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46050</v>
      </c>
      <c r="E134" s="1" t="n">
        <v>46302</v>
      </c>
      <c r="F134" t="inlineStr">
        <is>
          <t>DALARNAS LÄN</t>
        </is>
      </c>
      <c r="G134" t="inlineStr">
        <is>
          <t>VANSBRO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6076-2026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46052</v>
      </c>
      <c r="E135" s="1" t="n">
        <v>46302</v>
      </c>
      <c r="F135" t="inlineStr">
        <is>
          <t>DALARNAS LÄN</t>
        </is>
      </c>
      <c r="G135" t="inlineStr">
        <is>
          <t>VANSBRO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40884-2025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45897</v>
      </c>
      <c r="E136" s="1" t="n">
        <v>46302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öst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46057</v>
      </c>
      <c r="E137" s="1" t="n">
        <v>46302</v>
      </c>
      <c r="F137" t="inlineStr">
        <is>
          <t>DALARNAS LÄN</t>
        </is>
      </c>
      <c r="G137" t="inlineStr">
        <is>
          <t>VANSBRO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7259-2026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46058</v>
      </c>
      <c r="E138" s="1" t="n">
        <v>46302</v>
      </c>
      <c r="F138" t="inlineStr">
        <is>
          <t>DALARNAS LÄN</t>
        </is>
      </c>
      <c r="G138" t="inlineStr">
        <is>
          <t>VANSBRO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46466-2024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46302</v>
      </c>
      <c r="F139" t="inlineStr">
        <is>
          <t>DALARNAS LÄN</t>
        </is>
      </c>
      <c r="G139" t="inlineStr">
        <is>
          <t>VANSBRO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7236-2026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46058</v>
      </c>
      <c r="E140" s="1" t="n">
        <v>46302</v>
      </c>
      <c r="F140" t="inlineStr">
        <is>
          <t>DALARNAS LÄN</t>
        </is>
      </c>
      <c r="G140" t="inlineStr">
        <is>
          <t>VANSBRO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45819</v>
      </c>
      <c r="E141" s="1" t="n">
        <v>46302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öst AB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7779-2026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46062</v>
      </c>
      <c r="E142" s="1" t="n">
        <v>46302</v>
      </c>
      <c r="F142" t="inlineStr">
        <is>
          <t>DALARNAS LÄN</t>
        </is>
      </c>
      <c r="G142" t="inlineStr">
        <is>
          <t>VANSBRO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42209-2025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45904</v>
      </c>
      <c r="E143" s="1" t="n">
        <v>46302</v>
      </c>
      <c r="F143" t="inlineStr">
        <is>
          <t>DALARNAS LÄN</t>
        </is>
      </c>
      <c r="G143" t="inlineStr">
        <is>
          <t>VANSBRO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45222</v>
      </c>
      <c r="E144" s="1" t="n">
        <v>46302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väst AB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24827-2022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46302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öst AB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24839-2022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44728</v>
      </c>
      <c r="E146" s="1" t="n">
        <v>46302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öst AB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46041</v>
      </c>
      <c r="E147" s="1" t="n">
        <v>46302</v>
      </c>
      <c r="F147" t="inlineStr">
        <is>
          <t>DALARNAS LÄN</t>
        </is>
      </c>
      <c r="G147" t="inlineStr">
        <is>
          <t>VANSBRO</t>
        </is>
      </c>
      <c r="I147" t="n">
        <v>15.1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1140-2025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45666</v>
      </c>
      <c r="E148" s="1" t="n">
        <v>46302</v>
      </c>
      <c r="F148" t="inlineStr">
        <is>
          <t>DALARNAS LÄN</t>
        </is>
      </c>
      <c r="G148" t="inlineStr">
        <is>
          <t>VANSBRO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43139-2025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45909</v>
      </c>
      <c r="E149" s="1" t="n">
        <v>46302</v>
      </c>
      <c r="F149" t="inlineStr">
        <is>
          <t>DALARNAS LÄN</t>
        </is>
      </c>
      <c r="G149" t="inlineStr">
        <is>
          <t>VANSBRO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46021</v>
      </c>
      <c r="E150" s="1" t="n">
        <v>46302</v>
      </c>
      <c r="F150" t="inlineStr">
        <is>
          <t>DALARNAS LÄN</t>
        </is>
      </c>
      <c r="G150" t="inlineStr">
        <is>
          <t>VANSBRO</t>
        </is>
      </c>
      <c r="I150" t="n">
        <v>19.1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56269-2023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45240</v>
      </c>
      <c r="E151" s="1" t="n">
        <v>46302</v>
      </c>
      <c r="F151" t="inlineStr">
        <is>
          <t>DALARNAS LÄN</t>
        </is>
      </c>
      <c r="G151" t="inlineStr">
        <is>
          <t>VANSBRO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45639</v>
      </c>
      <c r="E152" s="1" t="n">
        <v>46302</v>
      </c>
      <c r="F152" t="inlineStr">
        <is>
          <t>DALARNAS LÄN</t>
        </is>
      </c>
      <c r="G152" t="inlineStr">
        <is>
          <t>VANSBRO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45673</v>
      </c>
      <c r="E153" s="1" t="n">
        <v>46302</v>
      </c>
      <c r="F153" t="inlineStr">
        <is>
          <t>DALARNAS LÄN</t>
        </is>
      </c>
      <c r="G153" t="inlineStr">
        <is>
          <t>VANSBRO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25916-2022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44734</v>
      </c>
      <c r="E154" s="1" t="n">
        <v>46302</v>
      </c>
      <c r="F154" t="inlineStr">
        <is>
          <t>DALARNAS LÄN</t>
        </is>
      </c>
      <c r="G154" t="inlineStr">
        <is>
          <t>VANSBRO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9417-2026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46071</v>
      </c>
      <c r="E155" s="1" t="n">
        <v>46302</v>
      </c>
      <c r="F155" t="inlineStr">
        <is>
          <t>DALARNAS LÄN</t>
        </is>
      </c>
      <c r="G155" t="inlineStr">
        <is>
          <t>VANSBRO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15088-2025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45744</v>
      </c>
      <c r="E156" s="1" t="n">
        <v>46302</v>
      </c>
      <c r="F156" t="inlineStr">
        <is>
          <t>DALARNAS LÄN</t>
        </is>
      </c>
      <c r="G156" t="inlineStr">
        <is>
          <t>VANSBRO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60036-2023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45258</v>
      </c>
      <c r="E157" s="1" t="n">
        <v>46302</v>
      </c>
      <c r="F157" t="inlineStr">
        <is>
          <t>DALARNAS LÄN</t>
        </is>
      </c>
      <c r="G157" t="inlineStr">
        <is>
          <t>VANSBRO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46302</v>
      </c>
      <c r="F158" t="inlineStr">
        <is>
          <t>DALARNAS LÄN</t>
        </is>
      </c>
      <c r="G158" t="inlineStr">
        <is>
          <t>VANSBRO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43258-2023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45183</v>
      </c>
      <c r="E159" s="1" t="n">
        <v>46302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öst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11603-2026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46084</v>
      </c>
      <c r="E160" s="1" t="n">
        <v>46302</v>
      </c>
      <c r="F160" t="inlineStr">
        <is>
          <t>DALARNAS LÄN</t>
        </is>
      </c>
      <c r="G160" t="inlineStr">
        <is>
          <t>VANSBRO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11349-2026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46082</v>
      </c>
      <c r="E161" s="1" t="n">
        <v>46302</v>
      </c>
      <c r="F161" t="inlineStr">
        <is>
          <t>DALARNAS LÄN</t>
        </is>
      </c>
      <c r="G161" t="inlineStr">
        <is>
          <t>VANSBRO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18859-2025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45764</v>
      </c>
      <c r="E162" s="1" t="n">
        <v>46302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18882-2025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45764</v>
      </c>
      <c r="E163" s="1" t="n">
        <v>46302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11350-2026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46082</v>
      </c>
      <c r="E164" s="1" t="n">
        <v>46302</v>
      </c>
      <c r="F164" t="inlineStr">
        <is>
          <t>DALARNAS LÄN</t>
        </is>
      </c>
      <c r="G164" t="inlineStr">
        <is>
          <t>VANSBRO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45665</v>
      </c>
      <c r="E165" s="1" t="n">
        <v>46302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väst AB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12475-2026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46090</v>
      </c>
      <c r="E166" s="1" t="n">
        <v>46302</v>
      </c>
      <c r="F166" t="inlineStr">
        <is>
          <t>DALARNAS LÄN</t>
        </is>
      </c>
      <c r="G166" t="inlineStr">
        <is>
          <t>VANSBRO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39974-2022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44820</v>
      </c>
      <c r="E167" s="1" t="n">
        <v>46302</v>
      </c>
      <c r="F167" t="inlineStr">
        <is>
          <t>DALARNAS LÄN</t>
        </is>
      </c>
      <c r="G167" t="inlineStr">
        <is>
          <t>VANSBRO</t>
        </is>
      </c>
      <c r="I167" t="n">
        <v>7.3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45832</v>
      </c>
      <c r="E168" s="1" t="n">
        <v>46302</v>
      </c>
      <c r="F168" t="inlineStr">
        <is>
          <t>DALARNAS LÄN</t>
        </is>
      </c>
      <c r="G168" t="inlineStr">
        <is>
          <t>VANSBRO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35537-2024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45531</v>
      </c>
      <c r="E169" s="1" t="n">
        <v>46302</v>
      </c>
      <c r="F169" t="inlineStr">
        <is>
          <t>DALARNAS LÄN</t>
        </is>
      </c>
      <c r="G169" t="inlineStr">
        <is>
          <t>VANSBRO</t>
        </is>
      </c>
      <c r="H169" t="inlineStr">
        <is>
          <t>Övriga statliga verk och myndigheter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61653-2024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46302</v>
      </c>
      <c r="F170" t="inlineStr">
        <is>
          <t>DALARNAS LÄN</t>
        </is>
      </c>
      <c r="G170" t="inlineStr">
        <is>
          <t>VANSBRO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45833</v>
      </c>
      <c r="E171" s="1" t="n">
        <v>46302</v>
      </c>
      <c r="F171" t="inlineStr">
        <is>
          <t>DALARNAS LÄN</t>
        </is>
      </c>
      <c r="G171" t="inlineStr">
        <is>
          <t>VANSBRO</t>
        </is>
      </c>
      <c r="I171" t="n">
        <v>27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48102-2025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45933</v>
      </c>
      <c r="E172" s="1" t="n">
        <v>46302</v>
      </c>
      <c r="F172" t="inlineStr">
        <is>
          <t>DALARNAS LÄN</t>
        </is>
      </c>
      <c r="G172" t="inlineStr">
        <is>
          <t>VANSBRO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31489-2025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45833</v>
      </c>
      <c r="E173" s="1" t="n">
        <v>46302</v>
      </c>
      <c r="F173" t="inlineStr">
        <is>
          <t>DALARNAS LÄN</t>
        </is>
      </c>
      <c r="G173" t="inlineStr">
        <is>
          <t>VANSBRO</t>
        </is>
      </c>
      <c r="I173" t="n">
        <v>9.1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46094</v>
      </c>
      <c r="E174" s="1" t="n">
        <v>46302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13495-2026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46094</v>
      </c>
      <c r="E175" s="1" t="n">
        <v>46302</v>
      </c>
      <c r="F175" t="inlineStr">
        <is>
          <t>DALARNAS LÄN</t>
        </is>
      </c>
      <c r="G175" t="inlineStr">
        <is>
          <t>VANSBRO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13403-2026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46302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45932</v>
      </c>
      <c r="E177" s="1" t="n">
        <v>46302</v>
      </c>
      <c r="F177" t="inlineStr">
        <is>
          <t>DALARNAS LÄN</t>
        </is>
      </c>
      <c r="G177" t="inlineStr">
        <is>
          <t>VANSBRO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13506-2026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46094</v>
      </c>
      <c r="E178" s="1" t="n">
        <v>46302</v>
      </c>
      <c r="F178" t="inlineStr">
        <is>
          <t>DALARNAS LÄN</t>
        </is>
      </c>
      <c r="G178" t="inlineStr">
        <is>
          <t>VANSBRO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47897-2025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45932</v>
      </c>
      <c r="E179" s="1" t="n">
        <v>46302</v>
      </c>
      <c r="F179" t="inlineStr">
        <is>
          <t>DALARNAS LÄN</t>
        </is>
      </c>
      <c r="G179" t="inlineStr">
        <is>
          <t>VANSBRO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45463</v>
      </c>
      <c r="E180" s="1" t="n">
        <v>46302</v>
      </c>
      <c r="F180" t="inlineStr">
        <is>
          <t>DALARNAS LÄN</t>
        </is>
      </c>
      <c r="G180" t="inlineStr">
        <is>
          <t>VANSBRO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32040-2025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46302</v>
      </c>
      <c r="F181" t="inlineStr">
        <is>
          <t>DALARNAS LÄN</t>
        </is>
      </c>
      <c r="G181" t="inlineStr">
        <is>
          <t>VANSBRO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46302</v>
      </c>
      <c r="F182" t="inlineStr">
        <is>
          <t>DALARNAS LÄN</t>
        </is>
      </c>
      <c r="G182" t="inlineStr">
        <is>
          <t>VANSBRO</t>
        </is>
      </c>
      <c r="H182" t="inlineStr">
        <is>
          <t>Övriga statliga verk och myndigheter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48840-2025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45937</v>
      </c>
      <c r="E183" s="1" t="n">
        <v>46302</v>
      </c>
      <c r="F183" t="inlineStr">
        <is>
          <t>DALARNAS LÄN</t>
        </is>
      </c>
      <c r="G183" t="inlineStr">
        <is>
          <t>VANSBRO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14112-2026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46099</v>
      </c>
      <c r="E184" s="1" t="n">
        <v>46302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45939</v>
      </c>
      <c r="E185" s="1" t="n">
        <v>46302</v>
      </c>
      <c r="F185" t="inlineStr">
        <is>
          <t>DALARNAS LÄN</t>
        </is>
      </c>
      <c r="G185" t="inlineStr">
        <is>
          <t>VANSBRO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49617-2025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45939</v>
      </c>
      <c r="E186" s="1" t="n">
        <v>46302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öst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45939</v>
      </c>
      <c r="E187" s="1" t="n">
        <v>46302</v>
      </c>
      <c r="F187" t="inlineStr">
        <is>
          <t>DALARNAS LÄN</t>
        </is>
      </c>
      <c r="G187" t="inlineStr">
        <is>
          <t>VANSBRO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45939</v>
      </c>
      <c r="E188" s="1" t="n">
        <v>46302</v>
      </c>
      <c r="F188" t="inlineStr">
        <is>
          <t>DALARNAS LÄN</t>
        </is>
      </c>
      <c r="G188" t="inlineStr">
        <is>
          <t>VANSBRO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33109-2025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46302</v>
      </c>
      <c r="F189" t="inlineStr">
        <is>
          <t>DALARNAS LÄN</t>
        </is>
      </c>
      <c r="G189" t="inlineStr">
        <is>
          <t>VANSBRO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33056-2025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45840</v>
      </c>
      <c r="E190" s="1" t="n">
        <v>46302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öst AB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46302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öst AB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12917-2026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46092</v>
      </c>
      <c r="E192" s="1" t="n">
        <v>46302</v>
      </c>
      <c r="F192" t="inlineStr">
        <is>
          <t>DALARNAS LÄN</t>
        </is>
      </c>
      <c r="G192" t="inlineStr">
        <is>
          <t>VANSBRO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45945</v>
      </c>
      <c r="E193" s="1" t="n">
        <v>46302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34440-2025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46302</v>
      </c>
      <c r="F194" t="inlineStr">
        <is>
          <t>DALARNAS LÄN</t>
        </is>
      </c>
      <c r="G194" t="inlineStr">
        <is>
          <t>VANSBRO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55942-2023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45240</v>
      </c>
      <c r="E195" s="1" t="n">
        <v>46302</v>
      </c>
      <c r="F195" t="inlineStr">
        <is>
          <t>DALARNAS LÄN</t>
        </is>
      </c>
      <c r="G195" t="inlineStr">
        <is>
          <t>VANSBRO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15676-2026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46302</v>
      </c>
      <c r="F196" t="inlineStr">
        <is>
          <t>DALARNAS LÄN</t>
        </is>
      </c>
      <c r="G196" t="inlineStr">
        <is>
          <t>VANSBRO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50687-2025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45945</v>
      </c>
      <c r="E197" s="1" t="n">
        <v>46302</v>
      </c>
      <c r="F197" t="inlineStr">
        <is>
          <t>DALARNAS LÄN</t>
        </is>
      </c>
      <c r="G197" t="inlineStr">
        <is>
          <t>VANSBRO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37970-2022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44811</v>
      </c>
      <c r="E198" s="1" t="n">
        <v>46302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16134-2026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46108</v>
      </c>
      <c r="E199" s="1" t="n">
        <v>46302</v>
      </c>
      <c r="F199" t="inlineStr">
        <is>
          <t>DALARNAS LÄN</t>
        </is>
      </c>
      <c r="G199" t="inlineStr">
        <is>
          <t>VANSBRO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45950</v>
      </c>
      <c r="E200" s="1" t="n">
        <v>46302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35284-2025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45854</v>
      </c>
      <c r="E201" s="1" t="n">
        <v>46302</v>
      </c>
      <c r="F201" t="inlineStr">
        <is>
          <t>DALARNAS LÄN</t>
        </is>
      </c>
      <c r="G201" t="inlineStr">
        <is>
          <t>VANSBRO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51855-2025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45952</v>
      </c>
      <c r="E202" s="1" t="n">
        <v>46302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10.2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17366-2025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45756</v>
      </c>
      <c r="E203" s="1" t="n">
        <v>46302</v>
      </c>
      <c r="F203" t="inlineStr">
        <is>
          <t>DALARNAS LÄN</t>
        </is>
      </c>
      <c r="G203" t="inlineStr">
        <is>
          <t>VANSBRO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16669-2026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46112</v>
      </c>
      <c r="E204" s="1" t="n">
        <v>46302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59435-2023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45254</v>
      </c>
      <c r="E205" s="1" t="n">
        <v>46302</v>
      </c>
      <c r="F205" t="inlineStr">
        <is>
          <t>DALARNAS LÄN</t>
        </is>
      </c>
      <c r="G205" t="inlineStr">
        <is>
          <t>VANSBRO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45860</v>
      </c>
      <c r="E206" s="1" t="n">
        <v>46302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öst AB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45754</v>
      </c>
      <c r="E207" s="1" t="n">
        <v>46302</v>
      </c>
      <c r="F207" t="inlineStr">
        <is>
          <t>DALARNAS LÄN</t>
        </is>
      </c>
      <c r="G207" t="inlineStr">
        <is>
          <t>VANSBRO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52676-2025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45956</v>
      </c>
      <c r="E208" s="1" t="n">
        <v>46302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väst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16952-2026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46114</v>
      </c>
      <c r="E209" s="1" t="n">
        <v>46302</v>
      </c>
      <c r="F209" t="inlineStr">
        <is>
          <t>DALARNAS LÄN</t>
        </is>
      </c>
      <c r="G209" t="inlineStr">
        <is>
          <t>VANSBRO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52673-2025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45956</v>
      </c>
      <c r="E210" s="1" t="n">
        <v>46302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45954</v>
      </c>
      <c r="E211" s="1" t="n">
        <v>46302</v>
      </c>
      <c r="F211" t="inlineStr">
        <is>
          <t>DALARNAS LÄN</t>
        </is>
      </c>
      <c r="G211" t="inlineStr">
        <is>
          <t>VANSBRO</t>
        </is>
      </c>
      <c r="I211" t="n">
        <v>12.6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36382-2025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45868</v>
      </c>
      <c r="E212" s="1" t="n">
        <v>46302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öst AB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16948-2026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46113</v>
      </c>
      <c r="E213" s="1" t="n">
        <v>46302</v>
      </c>
      <c r="F213" t="inlineStr">
        <is>
          <t>DALARNAS LÄN</t>
        </is>
      </c>
      <c r="G213" t="inlineStr">
        <is>
          <t>VANSBRO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17321-2026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46119</v>
      </c>
      <c r="E214" s="1" t="n">
        <v>46302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45959</v>
      </c>
      <c r="E215" s="1" t="n">
        <v>46302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17604-2026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46121</v>
      </c>
      <c r="E216" s="1" t="n">
        <v>46302</v>
      </c>
      <c r="F216" t="inlineStr">
        <is>
          <t>DALARNAS LÄN</t>
        </is>
      </c>
      <c r="G216" t="inlineStr">
        <is>
          <t>VANSBRO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17551-2026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46120</v>
      </c>
      <c r="E217" s="1" t="n">
        <v>46302</v>
      </c>
      <c r="F217" t="inlineStr">
        <is>
          <t>DALARNAS LÄN</t>
        </is>
      </c>
      <c r="G217" t="inlineStr">
        <is>
          <t>VANSBRO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17613-2026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46121</v>
      </c>
      <c r="E218" s="1" t="n">
        <v>46302</v>
      </c>
      <c r="F218" t="inlineStr">
        <is>
          <t>DALARNAS LÄN</t>
        </is>
      </c>
      <c r="G218" t="inlineStr">
        <is>
          <t>VANSBRO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17552-2026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46120</v>
      </c>
      <c r="E219" s="1" t="n">
        <v>46302</v>
      </c>
      <c r="F219" t="inlineStr">
        <is>
          <t>DALARNAS LÄN</t>
        </is>
      </c>
      <c r="G219" t="inlineStr">
        <is>
          <t>VANSBRO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46121</v>
      </c>
      <c r="E220" s="1" t="n">
        <v>46302</v>
      </c>
      <c r="F220" t="inlineStr">
        <is>
          <t>DALARNAS LÄN</t>
        </is>
      </c>
      <c r="G220" t="inlineStr">
        <is>
          <t>VANSBRO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53989-2025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45961</v>
      </c>
      <c r="E221" s="1" t="n">
        <v>46302</v>
      </c>
      <c r="F221" t="inlineStr">
        <is>
          <t>DALARNAS LÄN</t>
        </is>
      </c>
      <c r="G221" t="inlineStr">
        <is>
          <t>VANSBRO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17553-2026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46120</v>
      </c>
      <c r="E222" s="1" t="n">
        <v>46302</v>
      </c>
      <c r="F222" t="inlineStr">
        <is>
          <t>DALARNAS LÄN</t>
        </is>
      </c>
      <c r="G222" t="inlineStr">
        <is>
          <t>VANSBRO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17998-2026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46124</v>
      </c>
      <c r="E223" s="1" t="n">
        <v>46302</v>
      </c>
      <c r="F223" t="inlineStr">
        <is>
          <t>DALARNAS LÄN</t>
        </is>
      </c>
      <c r="G223" t="inlineStr">
        <is>
          <t>VANSBRO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18140-2026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46125</v>
      </c>
      <c r="E224" s="1" t="n">
        <v>46302</v>
      </c>
      <c r="F224" t="inlineStr">
        <is>
          <t>DALARNAS LÄN</t>
        </is>
      </c>
      <c r="G224" t="inlineStr">
        <is>
          <t>VANSBRO</t>
        </is>
      </c>
      <c r="I224" t="n">
        <v>7.2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21418-2023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45063</v>
      </c>
      <c r="E225" s="1" t="n">
        <v>46302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öst AB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37285-2025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45876</v>
      </c>
      <c r="E226" s="1" t="n">
        <v>46302</v>
      </c>
      <c r="F226" t="inlineStr">
        <is>
          <t>DALARNAS LÄN</t>
        </is>
      </c>
      <c r="G226" t="inlineStr">
        <is>
          <t>VANSBRO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45691</v>
      </c>
      <c r="E227" s="1" t="n">
        <v>46302</v>
      </c>
      <c r="F227" t="inlineStr">
        <is>
          <t>DALARNAS LÄN</t>
        </is>
      </c>
      <c r="G227" t="inlineStr">
        <is>
          <t>VANSBRO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37287-2025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45876</v>
      </c>
      <c r="E228" s="1" t="n">
        <v>46302</v>
      </c>
      <c r="F228" t="inlineStr">
        <is>
          <t>DALARNAS LÄN</t>
        </is>
      </c>
      <c r="G228" t="inlineStr">
        <is>
          <t>VANSBRO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54100-2025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45964</v>
      </c>
      <c r="E229" s="1" t="n">
        <v>46302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46302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53839-2022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44880</v>
      </c>
      <c r="E231" s="1" t="n">
        <v>46302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öst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18717-2026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46302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öst AB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18709-2026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46128</v>
      </c>
      <c r="E233" s="1" t="n">
        <v>46302</v>
      </c>
      <c r="F233" t="inlineStr">
        <is>
          <t>DALARNAS LÄN</t>
        </is>
      </c>
      <c r="G233" t="inlineStr">
        <is>
          <t>VANSBRO</t>
        </is>
      </c>
      <c r="I233" t="n">
        <v>6.4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18580-2026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46127</v>
      </c>
      <c r="E234" s="1" t="n">
        <v>46302</v>
      </c>
      <c r="F234" t="inlineStr">
        <is>
          <t>DALARNAS LÄN</t>
        </is>
      </c>
      <c r="G234" t="inlineStr">
        <is>
          <t>VANSBRO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18586-2026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46127</v>
      </c>
      <c r="E235" s="1" t="n">
        <v>46302</v>
      </c>
      <c r="F235" t="inlineStr">
        <is>
          <t>DALARNAS LÄN</t>
        </is>
      </c>
      <c r="G235" t="inlineStr">
        <is>
          <t>VANSBRO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54579-2025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46302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18588-2026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46127</v>
      </c>
      <c r="E237" s="1" t="n">
        <v>46302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väst AB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54591-2025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46302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väst AB</t>
        </is>
      </c>
      <c r="I238" t="n">
        <v>8.4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18823-2026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46128</v>
      </c>
      <c r="E239" s="1" t="n">
        <v>46302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13.1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46127</v>
      </c>
      <c r="E240" s="1" t="n">
        <v>46302</v>
      </c>
      <c r="F240" t="inlineStr">
        <is>
          <t>DALARNAS LÄN</t>
        </is>
      </c>
      <c r="G240" t="inlineStr">
        <is>
          <t>VANSBRO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54736-2025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45966</v>
      </c>
      <c r="E241" s="1" t="n">
        <v>46302</v>
      </c>
      <c r="F241" t="inlineStr">
        <is>
          <t>DALARNAS LÄN</t>
        </is>
      </c>
      <c r="G241" t="inlineStr">
        <is>
          <t>VANSBRO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35780-2024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45532</v>
      </c>
      <c r="E242" s="1" t="n">
        <v>46302</v>
      </c>
      <c r="F242" t="inlineStr">
        <is>
          <t>DALARNAS LÄN</t>
        </is>
      </c>
      <c r="G242" t="inlineStr">
        <is>
          <t>VANSBRO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42824-2023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45182</v>
      </c>
      <c r="E243" s="1" t="n">
        <v>46302</v>
      </c>
      <c r="F243" t="inlineStr">
        <is>
          <t>DALARNAS LÄN</t>
        </is>
      </c>
      <c r="G243" t="inlineStr">
        <is>
          <t>VANSBRO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19809-2026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46135</v>
      </c>
      <c r="E244" s="1" t="n">
        <v>46302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öst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56043-2025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45973</v>
      </c>
      <c r="E245" s="1" t="n">
        <v>46302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väst AB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55767-2025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45972</v>
      </c>
      <c r="E246" s="1" t="n">
        <v>46302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väst AB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21966-2024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45443</v>
      </c>
      <c r="E247" s="1" t="n">
        <v>46302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45817</v>
      </c>
      <c r="E248" s="1" t="n">
        <v>46302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väst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45689</v>
      </c>
      <c r="E249" s="1" t="n">
        <v>46302</v>
      </c>
      <c r="F249" t="inlineStr">
        <is>
          <t>DALARNAS LÄN</t>
        </is>
      </c>
      <c r="G249" t="inlineStr">
        <is>
          <t>VANSBRO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56280-2025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45974</v>
      </c>
      <c r="E250" s="1" t="n">
        <v>46302</v>
      </c>
      <c r="F250" t="inlineStr">
        <is>
          <t>DALARNAS LÄN</t>
        </is>
      </c>
      <c r="G250" t="inlineStr">
        <is>
          <t>VANSBRO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45516</v>
      </c>
      <c r="E251" s="1" t="n">
        <v>46302</v>
      </c>
      <c r="F251" t="inlineStr">
        <is>
          <t>DALARNAS LÄN</t>
        </is>
      </c>
      <c r="G251" t="inlineStr">
        <is>
          <t>VANSBRO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35365-2022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44798</v>
      </c>
      <c r="E252" s="1" t="n">
        <v>46302</v>
      </c>
      <c r="F252" t="inlineStr">
        <is>
          <t>DALARNAS LÄN</t>
        </is>
      </c>
      <c r="G252" t="inlineStr">
        <is>
          <t>VANSBRO</t>
        </is>
      </c>
      <c r="H252" t="inlineStr">
        <is>
          <t>Kommuner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20208-2026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46139</v>
      </c>
      <c r="E253" s="1" t="n">
        <v>46302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öst AB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49819-2025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45940</v>
      </c>
      <c r="E254" s="1" t="n">
        <v>46302</v>
      </c>
      <c r="F254" t="inlineStr">
        <is>
          <t>DALARNAS LÄN</t>
        </is>
      </c>
      <c r="G254" t="inlineStr">
        <is>
          <t>VANSBRO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45979</v>
      </c>
      <c r="E255" s="1" t="n">
        <v>46302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väst AB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21117-2024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45440</v>
      </c>
      <c r="E256" s="1" t="n">
        <v>46302</v>
      </c>
      <c r="F256" t="inlineStr">
        <is>
          <t>DALARNAS LÄN</t>
        </is>
      </c>
      <c r="G256" t="inlineStr">
        <is>
          <t>VANSBRO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49921-2023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45214</v>
      </c>
      <c r="E257" s="1" t="n">
        <v>46302</v>
      </c>
      <c r="F257" t="inlineStr">
        <is>
          <t>DALARNAS LÄN</t>
        </is>
      </c>
      <c r="G257" t="inlineStr">
        <is>
          <t>VANSBRO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57716-2025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45981</v>
      </c>
      <c r="E258" s="1" t="n">
        <v>46302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27000-2025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45811</v>
      </c>
      <c r="E259" s="1" t="n">
        <v>46302</v>
      </c>
      <c r="F259" t="inlineStr">
        <is>
          <t>DALARNAS LÄN</t>
        </is>
      </c>
      <c r="G259" t="inlineStr">
        <is>
          <t>VANSBRO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11598-2025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45727</v>
      </c>
      <c r="E260" s="1" t="n">
        <v>46302</v>
      </c>
      <c r="F260" t="inlineStr">
        <is>
          <t>DALARNAS LÄN</t>
        </is>
      </c>
      <c r="G260" t="inlineStr">
        <is>
          <t>VANSBRO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58733-2025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45986</v>
      </c>
      <c r="E261" s="1" t="n">
        <v>46302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väst AB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20669-2025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45776</v>
      </c>
      <c r="E262" s="1" t="n">
        <v>46302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58874-2025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45987</v>
      </c>
      <c r="E263" s="1" t="n">
        <v>46302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väst AB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45806</v>
      </c>
      <c r="E264" s="1" t="n">
        <v>46302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väst AB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5648-2026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46051</v>
      </c>
      <c r="E265" s="1" t="n">
        <v>46302</v>
      </c>
      <c r="F265" t="inlineStr">
        <is>
          <t>DALARNAS LÄN</t>
        </is>
      </c>
      <c r="G265" t="inlineStr">
        <is>
          <t>VANSBRO</t>
        </is>
      </c>
      <c r="I265" t="n">
        <v>13.9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9145-2025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45714</v>
      </c>
      <c r="E266" s="1" t="n">
        <v>46302</v>
      </c>
      <c r="F266" t="inlineStr">
        <is>
          <t>DALARNAS LÄN</t>
        </is>
      </c>
      <c r="G266" t="inlineStr">
        <is>
          <t>VANSBRO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60145-2025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45994</v>
      </c>
      <c r="E267" s="1" t="n">
        <v>46302</v>
      </c>
      <c r="F267" t="inlineStr">
        <is>
          <t>DALARNAS LÄN</t>
        </is>
      </c>
      <c r="G267" t="inlineStr">
        <is>
          <t>VANSBRO</t>
        </is>
      </c>
      <c r="I267" t="n">
        <v>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46302</v>
      </c>
      <c r="F268" t="inlineStr">
        <is>
          <t>DALARNAS LÄN</t>
        </is>
      </c>
      <c r="G268" t="inlineStr">
        <is>
          <t>VANSBRO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10013-2024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45363</v>
      </c>
      <c r="E269" s="1" t="n">
        <v>46302</v>
      </c>
      <c r="F269" t="inlineStr">
        <is>
          <t>DALARNAS LÄN</t>
        </is>
      </c>
      <c r="G269" t="inlineStr">
        <is>
          <t>VANSBRO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28011-2025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45817</v>
      </c>
      <c r="E270" s="1" t="n">
        <v>46302</v>
      </c>
      <c r="F270" t="inlineStr">
        <is>
          <t>DALARNAS LÄN</t>
        </is>
      </c>
      <c r="G270" t="inlineStr">
        <is>
          <t>VANSBRO</t>
        </is>
      </c>
      <c r="I270" t="n">
        <v>15.8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20732-2026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46141</v>
      </c>
      <c r="E271" s="1" t="n">
        <v>46302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öst AB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64071-2025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46021</v>
      </c>
      <c r="E272" s="1" t="n">
        <v>46302</v>
      </c>
      <c r="F272" t="inlineStr">
        <is>
          <t>DALARNAS LÄN</t>
        </is>
      </c>
      <c r="G272" t="inlineStr">
        <is>
          <t>VANSBRO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11007-2026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46079</v>
      </c>
      <c r="E273" s="1" t="n">
        <v>46302</v>
      </c>
      <c r="F273" t="inlineStr">
        <is>
          <t>DALARNAS LÄN</t>
        </is>
      </c>
      <c r="G273" t="inlineStr">
        <is>
          <t>VANSBRO</t>
        </is>
      </c>
      <c r="H273" t="inlineStr">
        <is>
          <t>Övriga statliga verk och myndigheter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21744-2026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46149</v>
      </c>
      <c r="E274" s="1" t="n">
        <v>46302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öst AB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7864-2024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45350</v>
      </c>
      <c r="E275" s="1" t="n">
        <v>46302</v>
      </c>
      <c r="F275" t="inlineStr">
        <is>
          <t>DALARNAS LÄN</t>
        </is>
      </c>
      <c r="G275" t="inlineStr">
        <is>
          <t>VANSBRO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22384-2026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46154</v>
      </c>
      <c r="E276" s="1" t="n">
        <v>46302</v>
      </c>
      <c r="F276" t="inlineStr">
        <is>
          <t>DALARNAS LÄN</t>
        </is>
      </c>
      <c r="G276" t="inlineStr">
        <is>
          <t>VANSBRO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46154</v>
      </c>
      <c r="E277" s="1" t="n">
        <v>46302</v>
      </c>
      <c r="F277" t="inlineStr">
        <is>
          <t>DALARNAS LÄN</t>
        </is>
      </c>
      <c r="G277" t="inlineStr">
        <is>
          <t>VANSBRO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39484-2025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45890</v>
      </c>
      <c r="E278" s="1" t="n">
        <v>46302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54159-2022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44881</v>
      </c>
      <c r="E279" s="1" t="n">
        <v>46302</v>
      </c>
      <c r="F279" t="inlineStr">
        <is>
          <t>DALARNAS LÄN</t>
        </is>
      </c>
      <c r="G279" t="inlineStr">
        <is>
          <t>VANSBRO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23059-2026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46161</v>
      </c>
      <c r="E280" s="1" t="n">
        <v>46302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öst AB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5386-2024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45331</v>
      </c>
      <c r="E281" s="1" t="n">
        <v>46302</v>
      </c>
      <c r="F281" t="inlineStr">
        <is>
          <t>DALARNAS LÄN</t>
        </is>
      </c>
      <c r="G281" t="inlineStr">
        <is>
          <t>VANSBRO</t>
        </is>
      </c>
      <c r="I281" t="n">
        <v>11.4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23752-2026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46164</v>
      </c>
      <c r="E282" s="1" t="n">
        <v>46302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öst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23780-2026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46164</v>
      </c>
      <c r="E283" s="1" t="n">
        <v>46302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öst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50258-2024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45600</v>
      </c>
      <c r="E284" s="1" t="n">
        <v>46302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öst AB</t>
        </is>
      </c>
      <c r="I284" t="n">
        <v>45.8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33837-2024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45520</v>
      </c>
      <c r="E285" s="1" t="n">
        <v>46302</v>
      </c>
      <c r="F285" t="inlineStr">
        <is>
          <t>DALARNAS LÄN</t>
        </is>
      </c>
      <c r="G285" t="inlineStr">
        <is>
          <t>VANSBRO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46302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öst AB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24277-2026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46169</v>
      </c>
      <c r="E287" s="1" t="n">
        <v>46302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45533</v>
      </c>
      <c r="E288" s="1" t="n">
        <v>46302</v>
      </c>
      <c r="F288" t="inlineStr">
        <is>
          <t>DALARNAS LÄN</t>
        </is>
      </c>
      <c r="G288" t="inlineStr">
        <is>
          <t>VANSBRO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25958-2026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46181</v>
      </c>
      <c r="E289" s="1" t="n">
        <v>46302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26542-2026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46183</v>
      </c>
      <c r="E290" s="1" t="n">
        <v>46302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45665</v>
      </c>
      <c r="E291" s="1" t="n">
        <v>46302</v>
      </c>
      <c r="F291" t="inlineStr">
        <is>
          <t>DALARNAS LÄN</t>
        </is>
      </c>
      <c r="G291" t="inlineStr">
        <is>
          <t>VANSBRO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26689-2026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46184</v>
      </c>
      <c r="E292" s="1" t="n">
        <v>46302</v>
      </c>
      <c r="F292" t="inlineStr">
        <is>
          <t>DALARNAS LÄN</t>
        </is>
      </c>
      <c r="G292" t="inlineStr">
        <is>
          <t>VANSBRO</t>
        </is>
      </c>
      <c r="H292" t="inlineStr">
        <is>
          <t>Övriga statliga verk och myndigheter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44980</v>
      </c>
      <c r="E293" s="1" t="n">
        <v>46302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väst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23432-2024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45453</v>
      </c>
      <c r="E294" s="1" t="n">
        <v>46302</v>
      </c>
      <c r="F294" t="inlineStr">
        <is>
          <t>DALARNAS LÄN</t>
        </is>
      </c>
      <c r="G294" t="inlineStr">
        <is>
          <t>VANSBRO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27334-2026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46188</v>
      </c>
      <c r="E295" s="1" t="n">
        <v>46302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väst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27195-2026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46188</v>
      </c>
      <c r="E296" s="1" t="n">
        <v>46302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väst AB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27344-2026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46188</v>
      </c>
      <c r="E297" s="1" t="n">
        <v>46302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27629-2026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46190</v>
      </c>
      <c r="E298" s="1" t="n">
        <v>46302</v>
      </c>
      <c r="F298" t="inlineStr">
        <is>
          <t>DALARNAS LÄN</t>
        </is>
      </c>
      <c r="G298" t="inlineStr">
        <is>
          <t>VANSBRO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27631-2026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46190</v>
      </c>
      <c r="E299" s="1" t="n">
        <v>46302</v>
      </c>
      <c r="F299" t="inlineStr">
        <is>
          <t>DALARNAS LÄN</t>
        </is>
      </c>
      <c r="G299" t="inlineStr">
        <is>
          <t>VANSBRO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55570-2023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45238</v>
      </c>
      <c r="E300" s="1" t="n">
        <v>46302</v>
      </c>
      <c r="F300" t="inlineStr">
        <is>
          <t>DALARNAS LÄN</t>
        </is>
      </c>
      <c r="G300" t="inlineStr">
        <is>
          <t>VANSBRO</t>
        </is>
      </c>
      <c r="H300" t="inlineStr">
        <is>
          <t>Övriga statliga verk och myndigheter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7142-2023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44970</v>
      </c>
      <c r="E301" s="1" t="n">
        <v>46302</v>
      </c>
      <c r="F301" t="inlineStr">
        <is>
          <t>DALARNAS LÄN</t>
        </is>
      </c>
      <c r="G301" t="inlineStr">
        <is>
          <t>VANSBRO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26669-2026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46184</v>
      </c>
      <c r="E302" s="1" t="n">
        <v>46302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45772</v>
      </c>
      <c r="E303" s="1" t="n">
        <v>46302</v>
      </c>
      <c r="F303" t="inlineStr">
        <is>
          <t>DALARNAS LÄN</t>
        </is>
      </c>
      <c r="G303" t="inlineStr">
        <is>
          <t>VANSBRO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27242-2026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46302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10.5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27117-2026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46302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27932-2026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46191</v>
      </c>
      <c r="E306" s="1" t="n">
        <v>46302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27937-2026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46191</v>
      </c>
      <c r="E307" s="1" t="n">
        <v>46302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öst AB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61663-2024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45646</v>
      </c>
      <c r="E308" s="1" t="n">
        <v>46302</v>
      </c>
      <c r="F308" t="inlineStr">
        <is>
          <t>DALARNAS LÄN</t>
        </is>
      </c>
      <c r="G308" t="inlineStr">
        <is>
          <t>VANSBRO</t>
        </is>
      </c>
      <c r="I308" t="n">
        <v>8.800000000000001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8694-2023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44972</v>
      </c>
      <c r="E309" s="1" t="n">
        <v>46302</v>
      </c>
      <c r="F309" t="inlineStr">
        <is>
          <t>DALARNAS LÄN</t>
        </is>
      </c>
      <c r="G309" t="inlineStr">
        <is>
          <t>VANSBRO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28069-2026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46195</v>
      </c>
      <c r="E310" s="1" t="n">
        <v>46302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väst AB</t>
        </is>
      </c>
      <c r="I310" t="n">
        <v>10.7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20185-2025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45772</v>
      </c>
      <c r="E311" s="1" t="n">
        <v>46302</v>
      </c>
      <c r="F311" t="inlineStr">
        <is>
          <t>DALARNAS LÄN</t>
        </is>
      </c>
      <c r="G311" t="inlineStr">
        <is>
          <t>VANSBRO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33829-2024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45520</v>
      </c>
      <c r="E312" s="1" t="n">
        <v>46302</v>
      </c>
      <c r="F312" t="inlineStr">
        <is>
          <t>DALARNAS LÄN</t>
        </is>
      </c>
      <c r="G312" t="inlineStr">
        <is>
          <t>VANSBRO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50533-2024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45601</v>
      </c>
      <c r="E313" s="1" t="n">
        <v>46302</v>
      </c>
      <c r="F313" t="inlineStr">
        <is>
          <t>DALARNAS LÄN</t>
        </is>
      </c>
      <c r="G313" t="inlineStr">
        <is>
          <t>VANSBRO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28466-2026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46197</v>
      </c>
      <c r="E314" s="1" t="n">
        <v>46302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öst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29035-2026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46199</v>
      </c>
      <c r="E315" s="1" t="n">
        <v>46302</v>
      </c>
      <c r="F315" t="inlineStr">
        <is>
          <t>DALARNAS LÄN</t>
        </is>
      </c>
      <c r="G315" t="inlineStr">
        <is>
          <t>VANSBRO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9298-2023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44980</v>
      </c>
      <c r="E316" s="1" t="n">
        <v>46302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8447-2022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44612</v>
      </c>
      <c r="E317" s="1" t="n">
        <v>46302</v>
      </c>
      <c r="F317" t="inlineStr">
        <is>
          <t>DALARNAS LÄN</t>
        </is>
      </c>
      <c r="G317" t="inlineStr">
        <is>
          <t>VANSBRO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29174-2026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46202</v>
      </c>
      <c r="E318" s="1" t="n">
        <v>46302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öst AB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45691</v>
      </c>
      <c r="E319" s="1" t="n">
        <v>46302</v>
      </c>
      <c r="F319" t="inlineStr">
        <is>
          <t>DALARNAS LÄN</t>
        </is>
      </c>
      <c r="G319" t="inlineStr">
        <is>
          <t>VANSBRO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29621-2026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46204</v>
      </c>
      <c r="E320" s="1" t="n">
        <v>46302</v>
      </c>
      <c r="F320" t="inlineStr">
        <is>
          <t>DALARNAS LÄN</t>
        </is>
      </c>
      <c r="G320" t="inlineStr">
        <is>
          <t>VANSBRO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29671-2026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46204</v>
      </c>
      <c r="E321" s="1" t="n">
        <v>46302</v>
      </c>
      <c r="F321" t="inlineStr">
        <is>
          <t>DALARNAS LÄN</t>
        </is>
      </c>
      <c r="G321" t="inlineStr">
        <is>
          <t>VANSBRO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29687-2026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46204</v>
      </c>
      <c r="E322" s="1" t="n">
        <v>46302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öst AB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46203</v>
      </c>
      <c r="E323" s="1" t="n">
        <v>46302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öst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29439-2026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46203</v>
      </c>
      <c r="E324" s="1" t="n">
        <v>46302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öst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29630-2026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46204</v>
      </c>
      <c r="E325" s="1" t="n">
        <v>46302</v>
      </c>
      <c r="F325" t="inlineStr">
        <is>
          <t>DALARNAS LÄN</t>
        </is>
      </c>
      <c r="G325" t="inlineStr">
        <is>
          <t>VANSBRO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3843-2024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45322</v>
      </c>
      <c r="E326" s="1" t="n">
        <v>46302</v>
      </c>
      <c r="F326" t="inlineStr">
        <is>
          <t>DALARNAS LÄN</t>
        </is>
      </c>
      <c r="G326" t="inlineStr">
        <is>
          <t>VANSBRO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49509-2024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45596</v>
      </c>
      <c r="E327" s="1" t="n">
        <v>46302</v>
      </c>
      <c r="F327" t="inlineStr">
        <is>
          <t>DALARNAS LÄN</t>
        </is>
      </c>
      <c r="G327" t="inlineStr">
        <is>
          <t>VANSBRO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2086-2024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45309</v>
      </c>
      <c r="E328" s="1" t="n">
        <v>46302</v>
      </c>
      <c r="F328" t="inlineStr">
        <is>
          <t>DALARNAS LÄN</t>
        </is>
      </c>
      <c r="G328" t="inlineStr">
        <is>
          <t>VANSBRO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40383-2023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45169</v>
      </c>
      <c r="E329" s="1" t="n">
        <v>46302</v>
      </c>
      <c r="F329" t="inlineStr">
        <is>
          <t>DALARNAS LÄN</t>
        </is>
      </c>
      <c r="G329" t="inlineStr">
        <is>
          <t>VANSBRO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45471</v>
      </c>
      <c r="E330" s="1" t="n">
        <v>46302</v>
      </c>
      <c r="F330" t="inlineStr">
        <is>
          <t>DALARNAS LÄN</t>
        </is>
      </c>
      <c r="G330" t="inlineStr">
        <is>
          <t>VANSBRO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63816-2021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44509</v>
      </c>
      <c r="E331" s="1" t="n">
        <v>46302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17.6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30509-2026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46210</v>
      </c>
      <c r="E332" s="1" t="n">
        <v>46302</v>
      </c>
      <c r="F332" t="inlineStr">
        <is>
          <t>DALARNAS LÄN</t>
        </is>
      </c>
      <c r="G332" t="inlineStr">
        <is>
          <t>VANSBRO</t>
        </is>
      </c>
      <c r="H332" t="inlineStr">
        <is>
          <t>Övriga statliga verk och myndigheter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30568-2026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46210</v>
      </c>
      <c r="E333" s="1" t="n">
        <v>46302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8793-2025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45712</v>
      </c>
      <c r="E334" s="1" t="n">
        <v>46302</v>
      </c>
      <c r="F334" t="inlineStr">
        <is>
          <t>DALARNAS LÄN</t>
        </is>
      </c>
      <c r="G334" t="inlineStr">
        <is>
          <t>VANSBRO</t>
        </is>
      </c>
      <c r="I334" t="n">
        <v>13.8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30784-2026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46212</v>
      </c>
      <c r="E335" s="1" t="n">
        <v>46302</v>
      </c>
      <c r="F335" t="inlineStr">
        <is>
          <t>DALARNAS LÄN</t>
        </is>
      </c>
      <c r="G335" t="inlineStr">
        <is>
          <t>VANSBRO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51400-2024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45604</v>
      </c>
      <c r="E336" s="1" t="n">
        <v>46302</v>
      </c>
      <c r="F336" t="inlineStr">
        <is>
          <t>DALARNAS LÄN</t>
        </is>
      </c>
      <c r="G336" t="inlineStr">
        <is>
          <t>VANSBRO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30796-2026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46212</v>
      </c>
      <c r="E337" s="1" t="n">
        <v>46302</v>
      </c>
      <c r="F337" t="inlineStr">
        <is>
          <t>DALARNAS LÄN</t>
        </is>
      </c>
      <c r="G337" t="inlineStr">
        <is>
          <t>VANSBRO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28872-2026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46199</v>
      </c>
      <c r="E338" s="1" t="n">
        <v>46302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6632-2023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44966</v>
      </c>
      <c r="E339" s="1" t="n">
        <v>46302</v>
      </c>
      <c r="F339" t="inlineStr">
        <is>
          <t>DALARNAS LÄN</t>
        </is>
      </c>
      <c r="G339" t="inlineStr">
        <is>
          <t>VANSBRO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28924-2024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45481</v>
      </c>
      <c r="E340" s="1" t="n">
        <v>46302</v>
      </c>
      <c r="F340" t="inlineStr">
        <is>
          <t>DALARNAS LÄN</t>
        </is>
      </c>
      <c r="G340" t="inlineStr">
        <is>
          <t>VANSBRO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35330-2026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46261</v>
      </c>
      <c r="E341" s="1" t="n">
        <v>46302</v>
      </c>
      <c r="F341" t="inlineStr">
        <is>
          <t>DALARNAS LÄN</t>
        </is>
      </c>
      <c r="G341" t="inlineStr">
        <is>
          <t>VANSBRO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35579-2026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46262</v>
      </c>
      <c r="E342" s="1" t="n">
        <v>46302</v>
      </c>
      <c r="F342" t="inlineStr">
        <is>
          <t>DALARNAS LÄN</t>
        </is>
      </c>
      <c r="G342" t="inlineStr">
        <is>
          <t>VANSBRO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24384-2024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45457</v>
      </c>
      <c r="E343" s="1" t="n">
        <v>46302</v>
      </c>
      <c r="F343" t="inlineStr">
        <is>
          <t>DALARNAS LÄN</t>
        </is>
      </c>
      <c r="G343" t="inlineStr">
        <is>
          <t>VANSBRO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13062-2023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45002</v>
      </c>
      <c r="E344" s="1" t="n">
        <v>46302</v>
      </c>
      <c r="F344" t="inlineStr">
        <is>
          <t>DALARNAS LÄN</t>
        </is>
      </c>
      <c r="G344" t="inlineStr">
        <is>
          <t>VANSBRO</t>
        </is>
      </c>
      <c r="H344" t="inlineStr">
        <is>
          <t>Övriga statliga verk och myndigheter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35752-2026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46265</v>
      </c>
      <c r="E345" s="1" t="n">
        <v>46302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öst AB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53498-2024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45614</v>
      </c>
      <c r="E346" s="1" t="n">
        <v>46302</v>
      </c>
      <c r="F346" t="inlineStr">
        <is>
          <t>DALARNAS LÄN</t>
        </is>
      </c>
      <c r="G346" t="inlineStr">
        <is>
          <t>VANSBRO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35973-2026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46266</v>
      </c>
      <c r="E347" s="1" t="n">
        <v>46302</v>
      </c>
      <c r="F347" t="inlineStr">
        <is>
          <t>DALARNAS LÄN</t>
        </is>
      </c>
      <c r="G347" t="inlineStr">
        <is>
          <t>VANSBRO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1588-2026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46302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43139-2023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45183</v>
      </c>
      <c r="E349" s="1" t="n">
        <v>46302</v>
      </c>
      <c r="F349" t="inlineStr">
        <is>
          <t>DALARNAS LÄN</t>
        </is>
      </c>
      <c r="G349" t="inlineStr">
        <is>
          <t>VANSBRO</t>
        </is>
      </c>
      <c r="I349" t="n">
        <v>6.4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29492-2023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45106</v>
      </c>
      <c r="E350" s="1" t="n">
        <v>46302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36375-2026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46268</v>
      </c>
      <c r="E351" s="1" t="n">
        <v>46302</v>
      </c>
      <c r="F351" t="inlineStr">
        <is>
          <t>DALARNAS LÄN</t>
        </is>
      </c>
      <c r="G351" t="inlineStr">
        <is>
          <t>VANSBRO</t>
        </is>
      </c>
      <c r="H351" t="inlineStr">
        <is>
          <t>Kyrkan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62398-2021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44503</v>
      </c>
      <c r="E352" s="1" t="n">
        <v>46302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öst AB</t>
        </is>
      </c>
      <c r="I352" t="n">
        <v>22.1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2938-2024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45315</v>
      </c>
      <c r="E353" s="1" t="n">
        <v>46302</v>
      </c>
      <c r="F353" t="inlineStr">
        <is>
          <t>DALARNAS LÄN</t>
        </is>
      </c>
      <c r="G353" t="inlineStr">
        <is>
          <t>VANSBRO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48111-2024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45589</v>
      </c>
      <c r="E354" s="1" t="n">
        <v>46302</v>
      </c>
      <c r="F354" t="inlineStr">
        <is>
          <t>DALARNAS LÄN</t>
        </is>
      </c>
      <c r="G354" t="inlineStr">
        <is>
          <t>VANSBRO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5477-2023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44960</v>
      </c>
      <c r="E355" s="1" t="n">
        <v>46302</v>
      </c>
      <c r="F355" t="inlineStr">
        <is>
          <t>DALARNAS LÄN</t>
        </is>
      </c>
      <c r="G355" t="inlineStr">
        <is>
          <t>VANSBRO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36377-2026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46268</v>
      </c>
      <c r="E356" s="1" t="n">
        <v>46302</v>
      </c>
      <c r="F356" t="inlineStr">
        <is>
          <t>DALARNAS LÄN</t>
        </is>
      </c>
      <c r="G356" t="inlineStr">
        <is>
          <t>VANSBRO</t>
        </is>
      </c>
      <c r="H356" t="inlineStr">
        <is>
          <t>Kyrkan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36379-2026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46268</v>
      </c>
      <c r="E357" s="1" t="n">
        <v>46302</v>
      </c>
      <c r="F357" t="inlineStr">
        <is>
          <t>DALARNAS LÄN</t>
        </is>
      </c>
      <c r="G357" t="inlineStr">
        <is>
          <t>VANSBRO</t>
        </is>
      </c>
      <c r="H357" t="inlineStr">
        <is>
          <t>Kyrkan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47824-2023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45204</v>
      </c>
      <c r="E358" s="1" t="n">
        <v>46302</v>
      </c>
      <c r="F358" t="inlineStr">
        <is>
          <t>DALARNAS LÄN</t>
        </is>
      </c>
      <c r="G358" t="inlineStr">
        <is>
          <t>VANSBRO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24982-2023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45085</v>
      </c>
      <c r="E359" s="1" t="n">
        <v>46302</v>
      </c>
      <c r="F359" t="inlineStr">
        <is>
          <t>DALARNAS LÄN</t>
        </is>
      </c>
      <c r="G359" t="inlineStr">
        <is>
          <t>VANSBRO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36710-2026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46272</v>
      </c>
      <c r="E360" s="1" t="n">
        <v>46302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väst AB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36713-2026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46272</v>
      </c>
      <c r="E361" s="1" t="n">
        <v>46302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36706-2026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46272</v>
      </c>
      <c r="E362" s="1" t="n">
        <v>46302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37433-2026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46275</v>
      </c>
      <c r="E363" s="1" t="n">
        <v>46302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37443-2026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46275</v>
      </c>
      <c r="E364" s="1" t="n">
        <v>46302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37467-2026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46275</v>
      </c>
      <c r="E365" s="1" t="n">
        <v>46302</v>
      </c>
      <c r="F365" t="inlineStr">
        <is>
          <t>DALARNAS LÄN</t>
        </is>
      </c>
      <c r="G365" t="inlineStr">
        <is>
          <t>VANSBRO</t>
        </is>
      </c>
      <c r="H365" t="inlineStr">
        <is>
          <t>Kommuner</t>
        </is>
      </c>
      <c r="I365" t="n">
        <v>6.9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37499-2026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46275</v>
      </c>
      <c r="E366" s="1" t="n">
        <v>46302</v>
      </c>
      <c r="F366" t="inlineStr">
        <is>
          <t>DALARNAS LÄN</t>
        </is>
      </c>
      <c r="G366" t="inlineStr">
        <is>
          <t>VANSBRO</t>
        </is>
      </c>
      <c r="H366" t="inlineStr">
        <is>
          <t>Kyrkan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37247-2026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46274</v>
      </c>
      <c r="E367" s="1" t="n">
        <v>46302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öst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31867-2026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46231</v>
      </c>
      <c r="E368" s="1" t="n">
        <v>46302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20.2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37596-2026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46276</v>
      </c>
      <c r="E369" s="1" t="n">
        <v>46302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72635-2021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44546</v>
      </c>
      <c r="E370" s="1" t="n">
        <v>46302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35699-2023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45147</v>
      </c>
      <c r="E371" s="1" t="n">
        <v>46302</v>
      </c>
      <c r="F371" t="inlineStr">
        <is>
          <t>DALARNAS LÄN</t>
        </is>
      </c>
      <c r="G371" t="inlineStr">
        <is>
          <t>VANSBRO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37593-2026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46276</v>
      </c>
      <c r="E372" s="1" t="n">
        <v>46302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43658-2023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45187</v>
      </c>
      <c r="E373" s="1" t="n">
        <v>46302</v>
      </c>
      <c r="F373" t="inlineStr">
        <is>
          <t>DALARNAS LÄN</t>
        </is>
      </c>
      <c r="G373" t="inlineStr">
        <is>
          <t>VANSBRO</t>
        </is>
      </c>
      <c r="I373" t="n">
        <v>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38253-2026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46281</v>
      </c>
      <c r="E374" s="1" t="n">
        <v>46302</v>
      </c>
      <c r="F374" t="inlineStr">
        <is>
          <t>DALARNAS LÄN</t>
        </is>
      </c>
      <c r="G374" t="inlineStr">
        <is>
          <t>VANSBRO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37964-2026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46280</v>
      </c>
      <c r="E375" s="1" t="n">
        <v>46302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37960-2026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46280</v>
      </c>
      <c r="E376" s="1" t="n">
        <v>46302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öst AB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37966-2026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46280</v>
      </c>
      <c r="E377" s="1" t="n">
        <v>46302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37987-2026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46280</v>
      </c>
      <c r="E378" s="1" t="n">
        <v>46302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öst AB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32393-2026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46238</v>
      </c>
      <c r="E379" s="1" t="n">
        <v>46302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29.6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38270-2026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46281</v>
      </c>
      <c r="E380" s="1" t="n">
        <v>46302</v>
      </c>
      <c r="F380" t="inlineStr">
        <is>
          <t>DALARNAS LÄN</t>
        </is>
      </c>
      <c r="G380" t="inlineStr">
        <is>
          <t>VANSBRO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39336-2023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45166</v>
      </c>
      <c r="E381" s="1" t="n">
        <v>46302</v>
      </c>
      <c r="F381" t="inlineStr">
        <is>
          <t>DALARNAS LÄN</t>
        </is>
      </c>
      <c r="G381" t="inlineStr">
        <is>
          <t>VANSBRO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38248-2026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46281</v>
      </c>
      <c r="E382" s="1" t="n">
        <v>46302</v>
      </c>
      <c r="F382" t="inlineStr">
        <is>
          <t>DALARNAS LÄN</t>
        </is>
      </c>
      <c r="G382" t="inlineStr">
        <is>
          <t>VANSBRO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38231-2026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46281</v>
      </c>
      <c r="E383" s="1" t="n">
        <v>46302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öst AB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60848-2024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45644</v>
      </c>
      <c r="E384" s="1" t="n">
        <v>46302</v>
      </c>
      <c r="F384" t="inlineStr">
        <is>
          <t>DALARNAS LÄN</t>
        </is>
      </c>
      <c r="G384" t="inlineStr">
        <is>
          <t>VANSBRO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38644-2026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46283</v>
      </c>
      <c r="E385" s="1" t="n">
        <v>46302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38627-2026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46283</v>
      </c>
      <c r="E386" s="1" t="n">
        <v>46302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41290-2023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45174</v>
      </c>
      <c r="E387" s="1" t="n">
        <v>46302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26658-2022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44739</v>
      </c>
      <c r="E388" s="1" t="n">
        <v>46302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10012-2024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45363</v>
      </c>
      <c r="E389" s="1" t="n">
        <v>46302</v>
      </c>
      <c r="F389" t="inlineStr">
        <is>
          <t>DALARNAS LÄN</t>
        </is>
      </c>
      <c r="G389" t="inlineStr">
        <is>
          <t>VANSBRO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38797-2026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46286</v>
      </c>
      <c r="E390" s="1" t="n">
        <v>46302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51396-2022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44869</v>
      </c>
      <c r="E391" s="1" t="n">
        <v>46302</v>
      </c>
      <c r="F391" t="inlineStr">
        <is>
          <t>DALARNAS LÄN</t>
        </is>
      </c>
      <c r="G391" t="inlineStr">
        <is>
          <t>VANSBRO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15972-2025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45749</v>
      </c>
      <c r="E392" s="1" t="n">
        <v>46302</v>
      </c>
      <c r="F392" t="inlineStr">
        <is>
          <t>DALARNAS LÄN</t>
        </is>
      </c>
      <c r="G392" t="inlineStr">
        <is>
          <t>VANSBRO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36855-2022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44805</v>
      </c>
      <c r="E393" s="1" t="n">
        <v>46302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45299</v>
      </c>
      <c r="E394" s="1" t="n">
        <v>46302</v>
      </c>
      <c r="F394" t="inlineStr">
        <is>
          <t>DALARNAS LÄN</t>
        </is>
      </c>
      <c r="G394" t="inlineStr">
        <is>
          <t>VANSBRO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4951-2025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45689</v>
      </c>
      <c r="E395" s="1" t="n">
        <v>46302</v>
      </c>
      <c r="F395" t="inlineStr">
        <is>
          <t>DALARNAS LÄN</t>
        </is>
      </c>
      <c r="G395" t="inlineStr">
        <is>
          <t>VANSBRO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4952-2025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45689</v>
      </c>
      <c r="E396" s="1" t="n">
        <v>46302</v>
      </c>
      <c r="F396" t="inlineStr">
        <is>
          <t>DALARNAS LÄN</t>
        </is>
      </c>
      <c r="G396" t="inlineStr">
        <is>
          <t>VANSBRO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57904-2024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45631</v>
      </c>
      <c r="E397" s="1" t="n">
        <v>46302</v>
      </c>
      <c r="F397" t="inlineStr">
        <is>
          <t>DALARNAS LÄN</t>
        </is>
      </c>
      <c r="G397" t="inlineStr">
        <is>
          <t>VANSBRO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56988-2023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45244</v>
      </c>
      <c r="E398" s="1" t="n">
        <v>46302</v>
      </c>
      <c r="F398" t="inlineStr">
        <is>
          <t>DALARNAS LÄN</t>
        </is>
      </c>
      <c r="G398" t="inlineStr">
        <is>
          <t>VANSBRO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59736-2022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44908</v>
      </c>
      <c r="E399" s="1" t="n">
        <v>46302</v>
      </c>
      <c r="F399" t="inlineStr">
        <is>
          <t>DALARNAS LÄN</t>
        </is>
      </c>
      <c r="G399" t="inlineStr">
        <is>
          <t>VANSBRO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39352-2026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46288</v>
      </c>
      <c r="E400" s="1" t="n">
        <v>46302</v>
      </c>
      <c r="F400" t="inlineStr">
        <is>
          <t>DALARNAS LÄN</t>
        </is>
      </c>
      <c r="G400" t="inlineStr">
        <is>
          <t>VANSBRO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39500-2026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46289</v>
      </c>
      <c r="E401" s="1" t="n">
        <v>46302</v>
      </c>
      <c r="F401" t="inlineStr">
        <is>
          <t>DALARNAS LÄN</t>
        </is>
      </c>
      <c r="G401" t="inlineStr">
        <is>
          <t>VANSBRO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52572-2023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45225</v>
      </c>
      <c r="E402" s="1" t="n">
        <v>46302</v>
      </c>
      <c r="F402" t="inlineStr">
        <is>
          <t>DALARNAS LÄN</t>
        </is>
      </c>
      <c r="G402" t="inlineStr">
        <is>
          <t>VANSBRO</t>
        </is>
      </c>
      <c r="H402" t="inlineStr">
        <is>
          <t>Övriga statliga verk och myndigheter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40290-2023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45169</v>
      </c>
      <c r="E403" s="1" t="n">
        <v>46302</v>
      </c>
      <c r="F403" t="inlineStr">
        <is>
          <t>DALARNAS LÄN</t>
        </is>
      </c>
      <c r="G403" t="inlineStr">
        <is>
          <t>VANSBRO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20931-2022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44701</v>
      </c>
      <c r="E404" s="1" t="n">
        <v>46302</v>
      </c>
      <c r="F404" t="inlineStr">
        <is>
          <t>DALARNAS LÄN</t>
        </is>
      </c>
      <c r="G404" t="inlineStr">
        <is>
          <t>VANSBRO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45296</v>
      </c>
      <c r="E405" s="1" t="n">
        <v>46302</v>
      </c>
      <c r="F405" t="inlineStr">
        <is>
          <t>DALARNAS LÄN</t>
        </is>
      </c>
      <c r="G405" t="inlineStr">
        <is>
          <t>VANSBRO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39871-2026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46290</v>
      </c>
      <c r="E406" s="1" t="n">
        <v>46302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öst AB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46293</v>
      </c>
      <c r="E407" s="1" t="n">
        <v>46302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20419-2025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45775</v>
      </c>
      <c r="E408" s="1" t="n">
        <v>46302</v>
      </c>
      <c r="F408" t="inlineStr">
        <is>
          <t>DALARNAS LÄN</t>
        </is>
      </c>
      <c r="G408" t="inlineStr">
        <is>
          <t>VANSBRO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14057-2023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45008</v>
      </c>
      <c r="E409" s="1" t="n">
        <v>46302</v>
      </c>
      <c r="F409" t="inlineStr">
        <is>
          <t>DALARNAS LÄN</t>
        </is>
      </c>
      <c r="G409" t="inlineStr">
        <is>
          <t>VANSBRO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22756-2024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45448</v>
      </c>
      <c r="E410" s="1" t="n">
        <v>46302</v>
      </c>
      <c r="F410" t="inlineStr">
        <is>
          <t>DALARNAS LÄN</t>
        </is>
      </c>
      <c r="G410" t="inlineStr">
        <is>
          <t>VANSBRO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33953-2026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46252</v>
      </c>
      <c r="E411" s="1" t="n">
        <v>46302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33944-2026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46252</v>
      </c>
      <c r="E412" s="1" t="n">
        <v>46302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44930</v>
      </c>
      <c r="E413" s="1" t="n">
        <v>46302</v>
      </c>
      <c r="F413" t="inlineStr">
        <is>
          <t>DALARNAS LÄN</t>
        </is>
      </c>
      <c r="G413" t="inlineStr">
        <is>
          <t>VANSBRO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40447-2026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46294</v>
      </c>
      <c r="E414" s="1" t="n">
        <v>46302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61717-2023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45265</v>
      </c>
      <c r="E415" s="1" t="n">
        <v>46302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40367-2026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46294</v>
      </c>
      <c r="E416" s="1" t="n">
        <v>46302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40143-2026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46293</v>
      </c>
      <c r="E417" s="1" t="n">
        <v>46302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27080-2024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45471</v>
      </c>
      <c r="E418" s="1" t="n">
        <v>46302</v>
      </c>
      <c r="F418" t="inlineStr">
        <is>
          <t>DALARNAS LÄN</t>
        </is>
      </c>
      <c r="G418" t="inlineStr">
        <is>
          <t>VANSBRO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33949-2026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46252</v>
      </c>
      <c r="E419" s="1" t="n">
        <v>46302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5.9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40424-2026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46294</v>
      </c>
      <c r="E420" s="1" t="n">
        <v>46302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10.1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40343-2026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46294</v>
      </c>
      <c r="E421" s="1" t="n">
        <v>46302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40391-2026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46294</v>
      </c>
      <c r="E422" s="1" t="n">
        <v>46302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öst AB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34214-2026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46253</v>
      </c>
      <c r="E423" s="1" t="n">
        <v>46302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17.3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40996-2026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46297</v>
      </c>
      <c r="E424" s="1" t="n">
        <v>46302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öst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34374-2026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46254</v>
      </c>
      <c r="E425" s="1" t="n">
        <v>46302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11485-2024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45372</v>
      </c>
      <c r="E426" s="1" t="n">
        <v>46302</v>
      </c>
      <c r="F426" t="inlineStr">
        <is>
          <t>DALARNAS LÄN</t>
        </is>
      </c>
      <c r="G426" t="inlineStr">
        <is>
          <t>VANSBRO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43570-2023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45184</v>
      </c>
      <c r="E427" s="1" t="n">
        <v>46302</v>
      </c>
      <c r="F427" t="inlineStr">
        <is>
          <t>DALARNAS LÄN</t>
        </is>
      </c>
      <c r="G427" t="inlineStr">
        <is>
          <t>VANSBRO</t>
        </is>
      </c>
      <c r="I427" t="n">
        <v>6.8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34207-2026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46253</v>
      </c>
      <c r="E428" s="1" t="n">
        <v>46302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12.1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34210-2026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46253</v>
      </c>
      <c r="E429" s="1" t="n">
        <v>46302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34211-2026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46253</v>
      </c>
      <c r="E430" s="1" t="n">
        <v>46302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13.3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24481-2023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45082</v>
      </c>
      <c r="E431" s="1" t="n">
        <v>46302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50741-2022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44867</v>
      </c>
      <c r="E432" s="1" t="n">
        <v>46302</v>
      </c>
      <c r="F432" t="inlineStr">
        <is>
          <t>DALARNAS LÄN</t>
        </is>
      </c>
      <c r="G432" t="inlineStr">
        <is>
          <t>VANSBRO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41015-2026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46297</v>
      </c>
      <c r="E433" s="1" t="n">
        <v>46302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öst AB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43589-2022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44837</v>
      </c>
      <c r="E434" s="1" t="n">
        <v>46302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34216-2026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46253</v>
      </c>
      <c r="E435" s="1" t="n">
        <v>46302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18.9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34209-2026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46253</v>
      </c>
      <c r="E436" s="1" t="n">
        <v>46302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16823-2025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45754</v>
      </c>
      <c r="E437" s="1" t="n">
        <v>46302</v>
      </c>
      <c r="F437" t="inlineStr">
        <is>
          <t>DALARNAS LÄN</t>
        </is>
      </c>
      <c r="G437" t="inlineStr">
        <is>
          <t>VANSBRO</t>
        </is>
      </c>
      <c r="I437" t="n">
        <v>9.9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27930-2026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46191</v>
      </c>
      <c r="E438" s="1" t="n">
        <v>46302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17807-2022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44673</v>
      </c>
      <c r="E439" s="1" t="n">
        <v>46302</v>
      </c>
      <c r="F439" t="inlineStr">
        <is>
          <t>DALARNAS LÄN</t>
        </is>
      </c>
      <c r="G439" t="inlineStr">
        <is>
          <t>VANSBRO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41183-2026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46300</v>
      </c>
      <c r="E440" s="1" t="n">
        <v>46302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35042-2026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46259</v>
      </c>
      <c r="E441" s="1" t="n">
        <v>46302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56129-2023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45240</v>
      </c>
      <c r="E442" s="1" t="n">
        <v>46302</v>
      </c>
      <c r="F442" t="inlineStr">
        <is>
          <t>DALARNAS LÄN</t>
        </is>
      </c>
      <c r="G442" t="inlineStr">
        <is>
          <t>VANSBRO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41285-2026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46300</v>
      </c>
      <c r="E443" s="1" t="n">
        <v>46302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öst AB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33520-2024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45519</v>
      </c>
      <c r="E444" s="1" t="n">
        <v>46302</v>
      </c>
      <c r="F444" t="inlineStr">
        <is>
          <t>DALARNAS LÄN</t>
        </is>
      </c>
      <c r="G444" t="inlineStr">
        <is>
          <t>VANSBRO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7764-2026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46302</v>
      </c>
      <c r="F445" t="inlineStr">
        <is>
          <t>DALARNAS LÄN</t>
        </is>
      </c>
      <c r="G445" t="inlineStr">
        <is>
          <t>VANSBRO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35050-2026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46259</v>
      </c>
      <c r="E446" s="1" t="n">
        <v>46302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41176-2026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46300</v>
      </c>
      <c r="E447" s="1" t="n">
        <v>46302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19.7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34583-2026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46255</v>
      </c>
      <c r="E448" s="1" t="n">
        <v>46302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51606-2023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45222</v>
      </c>
      <c r="E449" s="1" t="n">
        <v>46302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48005-2022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44855</v>
      </c>
      <c r="E450" s="1" t="n">
        <v>46302</v>
      </c>
      <c r="F450" t="inlineStr">
        <is>
          <t>DALARNAS LÄN</t>
        </is>
      </c>
      <c r="G450" t="inlineStr">
        <is>
          <t>VANSBRO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41279-2026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46300</v>
      </c>
      <c r="E451" s="1" t="n">
        <v>46302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56773-2023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45244</v>
      </c>
      <c r="E452" s="1" t="n">
        <v>46302</v>
      </c>
      <c r="F452" t="inlineStr">
        <is>
          <t>DALARNAS LÄN</t>
        </is>
      </c>
      <c r="G452" t="inlineStr">
        <is>
          <t>VANSBRO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60031-2022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44909</v>
      </c>
      <c r="E453" s="1" t="n">
        <v>46302</v>
      </c>
      <c r="F453" t="inlineStr">
        <is>
          <t>DALARNAS LÄN</t>
        </is>
      </c>
      <c r="G453" t="inlineStr">
        <is>
          <t>VANSBRO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5420-2024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45331</v>
      </c>
      <c r="E454" s="1" t="n">
        <v>46302</v>
      </c>
      <c r="F454" t="inlineStr">
        <is>
          <t>DALARNAS LÄN</t>
        </is>
      </c>
      <c r="G454" t="inlineStr">
        <is>
          <t>VANSBRO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59600-2023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45254</v>
      </c>
      <c r="E455" s="1" t="n">
        <v>46302</v>
      </c>
      <c r="F455" t="inlineStr">
        <is>
          <t>DALARNAS LÄN</t>
        </is>
      </c>
      <c r="G455" t="inlineStr">
        <is>
          <t>VANSBRO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11274-2024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45371</v>
      </c>
      <c r="E456" s="1" t="n">
        <v>46302</v>
      </c>
      <c r="F456" t="inlineStr">
        <is>
          <t>DALARNAS LÄN</t>
        </is>
      </c>
      <c r="G456" t="inlineStr">
        <is>
          <t>VANSBRO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44930</v>
      </c>
      <c r="E457" s="1" t="n">
        <v>46302</v>
      </c>
      <c r="F457" t="inlineStr">
        <is>
          <t>DALARNAS LÄN</t>
        </is>
      </c>
      <c r="G457" t="inlineStr">
        <is>
          <t>VANSBRO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56986-2023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45244</v>
      </c>
      <c r="E458" s="1" t="n">
        <v>46302</v>
      </c>
      <c r="F458" t="inlineStr">
        <is>
          <t>DALARNAS LÄN</t>
        </is>
      </c>
      <c r="G458" t="inlineStr">
        <is>
          <t>VANSBRO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57903-2024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45631</v>
      </c>
      <c r="E459" s="1" t="n">
        <v>46302</v>
      </c>
      <c r="F459" t="inlineStr">
        <is>
          <t>DALARNAS LÄN</t>
        </is>
      </c>
      <c r="G459" t="inlineStr">
        <is>
          <t>VANSBRO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13327-2025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45735</v>
      </c>
      <c r="E460" s="1" t="n">
        <v>46302</v>
      </c>
      <c r="F460" t="inlineStr">
        <is>
          <t>DALARNAS LÄN</t>
        </is>
      </c>
      <c r="G460" t="inlineStr">
        <is>
          <t>VANSBRO</t>
        </is>
      </c>
      <c r="H460" t="inlineStr">
        <is>
          <t>Kommuner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5581-2023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44960</v>
      </c>
      <c r="E461" s="1" t="n">
        <v>46302</v>
      </c>
      <c r="F461" t="inlineStr">
        <is>
          <t>DALARNAS LÄN</t>
        </is>
      </c>
      <c r="G461" t="inlineStr">
        <is>
          <t>VANSBRO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57947-2023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45247</v>
      </c>
      <c r="E462" s="1" t="n">
        <v>46302</v>
      </c>
      <c r="F462" t="inlineStr">
        <is>
          <t>DALARNAS LÄN</t>
        </is>
      </c>
      <c r="G462" t="inlineStr">
        <is>
          <t>VANSBRO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44931</v>
      </c>
      <c r="E463" s="1" t="n">
        <v>46302</v>
      </c>
      <c r="F463" t="inlineStr">
        <is>
          <t>DALARNAS LÄN</t>
        </is>
      </c>
      <c r="G463" t="inlineStr">
        <is>
          <t>VANSBRO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47790-2024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45588</v>
      </c>
      <c r="E464" s="1" t="n">
        <v>46302</v>
      </c>
      <c r="F464" t="inlineStr">
        <is>
          <t>DALARNAS LÄN</t>
        </is>
      </c>
      <c r="G464" t="inlineStr">
        <is>
          <t>VANSBRO</t>
        </is>
      </c>
      <c r="H464" t="inlineStr">
        <is>
          <t>Övriga statliga verk och myndigheter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18658-2025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45763</v>
      </c>
      <c r="E465" s="1" t="n">
        <v>46302</v>
      </c>
      <c r="F465" t="inlineStr">
        <is>
          <t>DALARNAS LÄN</t>
        </is>
      </c>
      <c r="G465" t="inlineStr">
        <is>
          <t>VANSBRO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40382-2023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45169</v>
      </c>
      <c r="E466" s="1" t="n">
        <v>46302</v>
      </c>
      <c r="F466" t="inlineStr">
        <is>
          <t>DALARNAS LÄN</t>
        </is>
      </c>
      <c r="G466" t="inlineStr">
        <is>
          <t>VANSBRO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30392-2024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45491</v>
      </c>
      <c r="E467" s="1" t="n">
        <v>46302</v>
      </c>
      <c r="F467" t="inlineStr">
        <is>
          <t>DALARNAS LÄN</t>
        </is>
      </c>
      <c r="G467" t="inlineStr">
        <is>
          <t>VANSBRO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2147-2025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45672</v>
      </c>
      <c r="E468" s="1" t="n">
        <v>46302</v>
      </c>
      <c r="F468" t="inlineStr">
        <is>
          <t>DALARNAS LÄN</t>
        </is>
      </c>
      <c r="G468" t="inlineStr">
        <is>
          <t>VANSBRO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18306-2025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45762</v>
      </c>
      <c r="E469" s="1" t="n">
        <v>46302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10886-2025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45722</v>
      </c>
      <c r="E470" s="1" t="n">
        <v>46302</v>
      </c>
      <c r="F470" t="inlineStr">
        <is>
          <t>DALARNAS LÄN</t>
        </is>
      </c>
      <c r="G470" t="inlineStr">
        <is>
          <t>VANSBRO</t>
        </is>
      </c>
      <c r="I470" t="n">
        <v>15.5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6643-2025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45700</v>
      </c>
      <c r="E471" s="1" t="n">
        <v>46302</v>
      </c>
      <c r="F471" t="inlineStr">
        <is>
          <t>DALARNAS LÄN</t>
        </is>
      </c>
      <c r="G471" t="inlineStr">
        <is>
          <t>VANSBRO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61515-2022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44916</v>
      </c>
      <c r="E472" s="1" t="n">
        <v>46302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väst AB</t>
        </is>
      </c>
      <c r="I472" t="n">
        <v>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50125-2023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45215</v>
      </c>
      <c r="E473" s="1" t="n">
        <v>46302</v>
      </c>
      <c r="F473" t="inlineStr">
        <is>
          <t>DALARNAS LÄN</t>
        </is>
      </c>
      <c r="G473" t="inlineStr">
        <is>
          <t>VANSBRO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50141-2023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45215</v>
      </c>
      <c r="E474" s="1" t="n">
        <v>46302</v>
      </c>
      <c r="F474" t="inlineStr">
        <is>
          <t>DALARNAS LÄN</t>
        </is>
      </c>
      <c r="G474" t="inlineStr">
        <is>
          <t>VANSBRO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21616-2025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45783</v>
      </c>
      <c r="E475" s="1" t="n">
        <v>46302</v>
      </c>
      <c r="F475" t="inlineStr">
        <is>
          <t>DALARNAS LÄN</t>
        </is>
      </c>
      <c r="G475" t="inlineStr">
        <is>
          <t>VANSBRO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2558-2025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45674</v>
      </c>
      <c r="E476" s="1" t="n">
        <v>46302</v>
      </c>
      <c r="F476" t="inlineStr">
        <is>
          <t>DALARNAS LÄN</t>
        </is>
      </c>
      <c r="G476" t="inlineStr">
        <is>
          <t>VANSBRO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21656-2025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45783</v>
      </c>
      <c r="E477" s="1" t="n">
        <v>46302</v>
      </c>
      <c r="F477" t="inlineStr">
        <is>
          <t>DALARNAS LÄN</t>
        </is>
      </c>
      <c r="G477" t="inlineStr">
        <is>
          <t>VANSBRO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29288-2024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45483</v>
      </c>
      <c r="E478" s="1" t="n">
        <v>46302</v>
      </c>
      <c r="F478" t="inlineStr">
        <is>
          <t>DALARNAS LÄN</t>
        </is>
      </c>
      <c r="G478" t="inlineStr">
        <is>
          <t>VANSBRO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30544-2024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45492</v>
      </c>
      <c r="E479" s="1" t="n">
        <v>46302</v>
      </c>
      <c r="F479" t="inlineStr">
        <is>
          <t>DALARNAS LÄN</t>
        </is>
      </c>
      <c r="G479" t="inlineStr">
        <is>
          <t>VANSBRO</t>
        </is>
      </c>
      <c r="I479" t="n">
        <v>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23085-2022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44719</v>
      </c>
      <c r="E480" s="1" t="n">
        <v>46302</v>
      </c>
      <c r="F480" t="inlineStr">
        <is>
          <t>DALARNAS LÄN</t>
        </is>
      </c>
      <c r="G480" t="inlineStr">
        <is>
          <t>VANSBRO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23792-2025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45793</v>
      </c>
      <c r="E481" s="1" t="n">
        <v>46302</v>
      </c>
      <c r="F481" t="inlineStr">
        <is>
          <t>DALARNAS LÄN</t>
        </is>
      </c>
      <c r="G481" t="inlineStr">
        <is>
          <t>VANSBRO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4760-2025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45688</v>
      </c>
      <c r="E482" s="1" t="n">
        <v>46302</v>
      </c>
      <c r="F482" t="inlineStr">
        <is>
          <t>DALARNAS LÄN</t>
        </is>
      </c>
      <c r="G482" t="inlineStr">
        <is>
          <t>VANSBRO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29411-2024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45483</v>
      </c>
      <c r="E483" s="1" t="n">
        <v>46302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väst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35516-2024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45531</v>
      </c>
      <c r="E484" s="1" t="n">
        <v>46302</v>
      </c>
      <c r="F484" t="inlineStr">
        <is>
          <t>DALARNAS LÄN</t>
        </is>
      </c>
      <c r="G484" t="inlineStr">
        <is>
          <t>VANSBRO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24522-2025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45798</v>
      </c>
      <c r="E485" s="1" t="n">
        <v>46302</v>
      </c>
      <c r="F485" t="inlineStr">
        <is>
          <t>DALARNAS LÄN</t>
        </is>
      </c>
      <c r="G485" t="inlineStr">
        <is>
          <t>VANSBRO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1286-2024</t>
        </is>
      </c>
      <c r="B486" t="inlineStr">
        <is>
          <t>samrådsanmälan</t>
        </is>
      </c>
      <c r="C486" t="inlineStr">
        <is>
          <t>Skogsgödsling</t>
        </is>
      </c>
      <c r="D486" s="1" t="n">
        <v>45401</v>
      </c>
      <c r="E486" s="1" t="n">
        <v>46302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väst AB</t>
        </is>
      </c>
      <c r="I486" t="n">
        <v>220.8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4782-2022</t>
        </is>
      </c>
      <c r="B487" t="inlineStr">
        <is>
          <t>samrådsanmälan</t>
        </is>
      </c>
      <c r="C487" t="inlineStr">
        <is>
          <t>Skogsbilväg</t>
        </is>
      </c>
      <c r="D487" s="1" t="n">
        <v>44802</v>
      </c>
      <c r="E487" s="1" t="n">
        <v>46302</v>
      </c>
      <c r="F487" t="inlineStr">
        <is>
          <t>DALARNAS LÄN</t>
        </is>
      </c>
      <c r="G487" t="inlineStr">
        <is>
          <t>VANSBRO</t>
        </is>
      </c>
      <c r="I487" t="n">
        <v>0.2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3514-2023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45208</v>
      </c>
      <c r="E488" s="1" t="n">
        <v>46302</v>
      </c>
      <c r="F488" t="inlineStr">
        <is>
          <t>DALARNAS LÄN</t>
        </is>
      </c>
      <c r="G488" t="inlineStr">
        <is>
          <t>VANSBRO</t>
        </is>
      </c>
      <c r="H488" t="inlineStr">
        <is>
          <t>Bergvik skog väst AB</t>
        </is>
      </c>
      <c r="I488" t="n">
        <v>37.8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409-2025</t>
        </is>
      </c>
      <c r="B489" t="inlineStr">
        <is>
          <t>samrådsanmälan</t>
        </is>
      </c>
      <c r="C489" t="inlineStr">
        <is>
          <t>Skogsgödsling</t>
        </is>
      </c>
      <c r="D489" s="1" t="n">
        <v>45699</v>
      </c>
      <c r="E489" s="1" t="n">
        <v>46302</v>
      </c>
      <c r="F489" t="inlineStr">
        <is>
          <t>DALARNAS LÄN</t>
        </is>
      </c>
      <c r="G489" t="inlineStr">
        <is>
          <t>VANSBRO</t>
        </is>
      </c>
      <c r="H489" t="inlineStr">
        <is>
          <t>Bergvik skog öst AB</t>
        </is>
      </c>
      <c r="I489" t="n">
        <v>277.1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91-2026</t>
        </is>
      </c>
      <c r="B490" t="inlineStr">
        <is>
          <t>samrådsanmälan</t>
        </is>
      </c>
      <c r="C490" t="inlineStr">
        <is>
          <t>Skogsgödsling</t>
        </is>
      </c>
      <c r="D490" s="1" t="n">
        <v>46035</v>
      </c>
      <c r="E490" s="1" t="n">
        <v>46302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väst AB</t>
        </is>
      </c>
      <c r="I490" t="n">
        <v>153.5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>
      <c r="A491" t="inlineStr">
        <is>
          <t>S 747-2026</t>
        </is>
      </c>
      <c r="B491" t="inlineStr">
        <is>
          <t>samrådsanmälan</t>
        </is>
      </c>
      <c r="C491" t="inlineStr">
        <is>
          <t>Skogsgödsling</t>
        </is>
      </c>
      <c r="D491" s="1" t="n">
        <v>46089</v>
      </c>
      <c r="E491" s="1" t="n">
        <v>46302</v>
      </c>
      <c r="F491" t="inlineStr">
        <is>
          <t>DALARNAS LÄN</t>
        </is>
      </c>
      <c r="G491" t="inlineStr">
        <is>
          <t>VANSBRO</t>
        </is>
      </c>
      <c r="H491" t="inlineStr">
        <is>
          <t>Bergvik skog öst AB</t>
        </is>
      </c>
      <c r="I491" t="n">
        <v>82.40000000000001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2026-10-07T02:04:37Z</dcterms:created>
  <dcterms:modified xmlns:dcterms="http://purl.org/dc/terms/" xmlns:xsi="http://www.w3.org/2001/XMLSchema-instance" xsi:type="dcterms:W3CDTF">2026-10-07T02:04:38Z</dcterms:modified>
</cp:coreProperties>
</file>