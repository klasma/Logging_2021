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46259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46259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46259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46259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46259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46259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46259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46259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46259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46259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46259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46259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46259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46259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46259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46259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46259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46259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46259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46259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46259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46259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46259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46259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46259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46259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14475-2024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45394</v>
      </c>
      <c r="E33" s="1" t="n">
        <v>46259</v>
      </c>
      <c r="F33" t="inlineStr">
        <is>
          <t>DALARNAS LÄN</t>
        </is>
      </c>
      <c r="G33" t="inlineStr">
        <is>
          <t>VANSBRO</t>
        </is>
      </c>
      <c r="I33" t="n">
        <v>20.4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Dropptaggsvamp</t>
        </is>
      </c>
      <c r="W33">
        <f>HYPERLINK("https://klasma.github.io/Logging_2021/artfynd/A 14475-2024 artfynd.xlsx", "A 14475-2024")</f>
        <v/>
      </c>
      <c r="X33">
        <f>HYPERLINK("https://klasma.github.io/Logging_2021/kartor/A 14475-2024 karta.png", "A 14475-2024")</f>
        <v/>
      </c>
      <c r="Y33">
        <f>HYPERLINK("https://klasma.github.io/Logging_2021/kartor_geotiff/A 14475-2024 georefererad karta.tif", "A 14475-2024")</f>
        <v/>
      </c>
      <c r="AA33">
        <f>HYPERLINK("https://klasma.github.io/Logging_2021/klagomål/A 14475-2024 FSC-klagomål.docx", "A 14475-2024")</f>
        <v/>
      </c>
      <c r="AB33">
        <f>HYPERLINK("https://klasma.github.io/Logging_2021/klagomålsmail/A 14475-2024 FSC-klagomål mail.docx", "A 14475-2024")</f>
        <v/>
      </c>
      <c r="AC33">
        <f>HYPERLINK("https://klasma.github.io/Logging_2021/tillsyn/A 14475-2024 tillsynsbegäran.docx", "A 14475-2024")</f>
        <v/>
      </c>
      <c r="AD33">
        <f>HYPERLINK("https://klasma.github.io/Logging_2021/tillsynsmail/A 14475-2024 tillsynsbegäran mail.docx", "A 14475-2024")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46259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46259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13323-2025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45735</v>
      </c>
      <c r="E36" s="1" t="n">
        <v>46259</v>
      </c>
      <c r="F36" t="inlineStr">
        <is>
          <t>DALARNAS LÄN</t>
        </is>
      </c>
      <c r="G36" t="inlineStr">
        <is>
          <t>VANSBRO</t>
        </is>
      </c>
      <c r="I36" t="n">
        <v>2.1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Ullticka</t>
        </is>
      </c>
      <c r="W36">
        <f>HYPERLINK("https://klasma.github.io/Logging_2021/artfynd/A 13323-2025 artfynd.xlsx", "A 13323-2025")</f>
        <v/>
      </c>
      <c r="X36">
        <f>HYPERLINK("https://klasma.github.io/Logging_2021/kartor/A 13323-2025 karta.png", "A 13323-2025")</f>
        <v/>
      </c>
      <c r="Y36">
        <f>HYPERLINK("https://klasma.github.io/Logging_2021/kartor_geotiff/A 13323-2025 georefererad karta.tif", "A 13323-2025")</f>
        <v/>
      </c>
      <c r="Z36">
        <f>HYPERLINK("https://klasma.github.io/Logging_2021/knärot/A 13323-2025 karta knärot.png", "A 13323-2025")</f>
        <v/>
      </c>
      <c r="AA36">
        <f>HYPERLINK("https://klasma.github.io/Logging_2021/klagomål/A 13323-2025 FSC-klagomål.docx", "A 13323-2025")</f>
        <v/>
      </c>
      <c r="AB36">
        <f>HYPERLINK("https://klasma.github.io/Logging_2021/klagomålsmail/A 13323-2025 FSC-klagomål mail.docx", "A 13323-2025")</f>
        <v/>
      </c>
      <c r="AC36">
        <f>HYPERLINK("https://klasma.github.io/Logging_2021/tillsyn/A 13323-2025 tillsynsbegäran.docx", "A 13323-2025")</f>
        <v/>
      </c>
      <c r="AD36">
        <f>HYPERLINK("https://klasma.github.io/Logging_2021/tillsynsmail/A 13323-2025 tillsynsbegäran mail.docx", "A 13323-2025")</f>
        <v/>
      </c>
    </row>
    <row r="37" ht="15" customHeight="1">
      <c r="A37" t="inlineStr">
        <is>
          <t>A 1691-2026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46259</v>
      </c>
      <c r="F37" t="inlineStr">
        <is>
          <t>DALARNAS LÄN</t>
        </is>
      </c>
      <c r="G37" t="inlineStr">
        <is>
          <t>VANSBRO</t>
        </is>
      </c>
      <c r="I37" t="n">
        <v>6.3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Dropptaggsvamp
Motaggsvamp</t>
        </is>
      </c>
      <c r="W37">
        <f>HYPERLINK("https://klasma.github.io/Logging_2021/artfynd/A 1691-2026 artfynd.xlsx", "A 1691-2026")</f>
        <v/>
      </c>
      <c r="X37">
        <f>HYPERLINK("https://klasma.github.io/Logging_2021/kartor/A 1691-2026 karta.png", "A 1691-2026")</f>
        <v/>
      </c>
      <c r="Y37">
        <f>HYPERLINK("https://klasma.github.io/Logging_2021/kartor_geotiff/A 1691-2026 georefererad karta.tif", "A 1691-2026")</f>
        <v/>
      </c>
      <c r="AA37">
        <f>HYPERLINK("https://klasma.github.io/Logging_2021/klagomål/A 1691-2026 FSC-klagomål.docx", "A 1691-2026")</f>
        <v/>
      </c>
      <c r="AB37">
        <f>HYPERLINK("https://klasma.github.io/Logging_2021/klagomålsmail/A 1691-2026 FSC-klagomål mail.docx", "A 1691-2026")</f>
        <v/>
      </c>
      <c r="AC37">
        <f>HYPERLINK("https://klasma.github.io/Logging_2021/tillsyn/A 1691-2026 tillsynsbegäran.docx", "A 1691-2026")</f>
        <v/>
      </c>
      <c r="AD37">
        <f>HYPERLINK("https://klasma.github.io/Logging_2021/tillsynsmail/A 1691-2026 tillsynsbegäran mail.docx", "A 1691-2026")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46259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46259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46259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46259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37219-2024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46259</v>
      </c>
      <c r="F42" t="inlineStr">
        <is>
          <t>DALARNAS LÄN</t>
        </is>
      </c>
      <c r="G42" t="inlineStr">
        <is>
          <t>VANSBRO</t>
        </is>
      </c>
      <c r="I42" t="n">
        <v>5.3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Tjäder</t>
        </is>
      </c>
      <c r="W42">
        <f>HYPERLINK("https://klasma.github.io/Logging_2021/artfynd/A 37219-2024 artfynd.xlsx", "A 37219-2024")</f>
        <v/>
      </c>
      <c r="X42">
        <f>HYPERLINK("https://klasma.github.io/Logging_2021/kartor/A 37219-2024 karta.png", "A 37219-2024")</f>
        <v/>
      </c>
      <c r="Y42">
        <f>HYPERLINK("https://klasma.github.io/Logging_2021/kartor_geotiff/A 37219-2024 georefererad karta.tif", "A 37219-2024")</f>
        <v/>
      </c>
      <c r="AA42">
        <f>HYPERLINK("https://klasma.github.io/Logging_2021/klagomål/A 37219-2024 FSC-klagomål.docx", "A 37219-2024")</f>
        <v/>
      </c>
      <c r="AB42">
        <f>HYPERLINK("https://klasma.github.io/Logging_2021/klagomålsmail/A 37219-2024 FSC-klagomål mail.docx", "A 37219-2024")</f>
        <v/>
      </c>
      <c r="AC42">
        <f>HYPERLINK("https://klasma.github.io/Logging_2021/tillsyn/A 37219-2024 tillsynsbegäran.docx", "A 37219-2024")</f>
        <v/>
      </c>
      <c r="AD42">
        <f>HYPERLINK("https://klasma.github.io/Logging_2021/tillsynsmail/A 37219-2024 tillsynsbegäran mail.docx", "A 37219-2024")</f>
        <v/>
      </c>
      <c r="AE42">
        <f>HYPERLINK("https://klasma.github.io/Logging_2021/fåglar/A 37219-2024 prioriterade fågelarter.docx", "A 37219-2024")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46259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51579-2021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46259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14.3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Kolflarnlav</t>
        </is>
      </c>
      <c r="W44">
        <f>HYPERLINK("https://klasma.github.io/Logging_2021/artfynd/A 51579-2021 artfynd.xlsx", "A 51579-2021")</f>
        <v/>
      </c>
      <c r="X44">
        <f>HYPERLINK("https://klasma.github.io/Logging_2021/kartor/A 51579-2021 karta.png", "A 51579-2021")</f>
        <v/>
      </c>
      <c r="Y44">
        <f>HYPERLINK("https://klasma.github.io/Logging_2021/kartor_geotiff/A 51579-2021 georefererad karta.tif", "A 51579-2021")</f>
        <v/>
      </c>
      <c r="AA44">
        <f>HYPERLINK("https://klasma.github.io/Logging_2021/klagomål/A 51579-2021 FSC-klagomål.docx", "A 51579-2021")</f>
        <v/>
      </c>
      <c r="AB44">
        <f>HYPERLINK("https://klasma.github.io/Logging_2021/klagomålsmail/A 51579-2021 FSC-klagomål mail.docx", "A 51579-2021")</f>
        <v/>
      </c>
      <c r="AC44">
        <f>HYPERLINK("https://klasma.github.io/Logging_2021/tillsyn/A 51579-2021 tillsynsbegäran.docx", "A 51579-2021")</f>
        <v/>
      </c>
      <c r="AD44">
        <f>HYPERLINK("https://klasma.github.io/Logging_2021/tillsynsmail/A 51579-2021 tillsynsbegäran mail.docx", "A 51579-2021")</f>
        <v/>
      </c>
    </row>
    <row r="45" ht="15" customHeight="1">
      <c r="A45" t="inlineStr">
        <is>
          <t>A 20076-2026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46136</v>
      </c>
      <c r="E45" s="1" t="n">
        <v>46259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öst AB</t>
        </is>
      </c>
      <c r="I45" t="n">
        <v>13.2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Kransrams</t>
        </is>
      </c>
      <c r="W45">
        <f>HYPERLINK("https://klasma.github.io/Logging_2021/artfynd/A 20076-2026 artfynd.xlsx", "A 20076-2026")</f>
        <v/>
      </c>
      <c r="X45">
        <f>HYPERLINK("https://klasma.github.io/Logging_2021/kartor/A 20076-2026 karta.png", "A 20076-2026")</f>
        <v/>
      </c>
      <c r="Y45">
        <f>HYPERLINK("https://klasma.github.io/Logging_2021/kartor_geotiff/A 20076-2026 georefererad karta.tif", "A 20076-2026")</f>
        <v/>
      </c>
      <c r="AA45">
        <f>HYPERLINK("https://klasma.github.io/Logging_2021/klagomål/A 20076-2026 FSC-klagomål.docx", "A 20076-2026")</f>
        <v/>
      </c>
      <c r="AB45">
        <f>HYPERLINK("https://klasma.github.io/Logging_2021/klagomålsmail/A 20076-2026 FSC-klagomål mail.docx", "A 20076-2026")</f>
        <v/>
      </c>
      <c r="AC45">
        <f>HYPERLINK("https://klasma.github.io/Logging_2021/tillsyn/A 20076-2026 tillsynsbegäran.docx", "A 20076-2026")</f>
        <v/>
      </c>
      <c r="AD45">
        <f>HYPERLINK("https://klasma.github.io/Logging_2021/tillsynsmail/A 20076-2026 tillsynsbegäran mail.docx", "A 20076-2026")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46259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48109-2025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46259</v>
      </c>
      <c r="F47" t="inlineStr">
        <is>
          <t>DALARNAS LÄN</t>
        </is>
      </c>
      <c r="G47" t="inlineStr">
        <is>
          <t>VANSBRO</t>
        </is>
      </c>
      <c r="I47" t="n">
        <v>0.8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Gränsticka</t>
        </is>
      </c>
      <c r="W47">
        <f>HYPERLINK("https://klasma.github.io/Logging_2021/artfynd/A 48109-2025 artfynd.xlsx", "A 48109-2025")</f>
        <v/>
      </c>
      <c r="X47">
        <f>HYPERLINK("https://klasma.github.io/Logging_2021/kartor/A 48109-2025 karta.png", "A 48109-2025")</f>
        <v/>
      </c>
      <c r="Y47">
        <f>HYPERLINK("https://klasma.github.io/Logging_2021/kartor_geotiff/A 48109-2025 georefererad karta.tif", "A 48109-2025")</f>
        <v/>
      </c>
      <c r="AA47">
        <f>HYPERLINK("https://klasma.github.io/Logging_2021/klagomål/A 48109-2025 FSC-klagomål.docx", "A 48109-2025")</f>
        <v/>
      </c>
      <c r="AB47">
        <f>HYPERLINK("https://klasma.github.io/Logging_2021/klagomålsmail/A 48109-2025 FSC-klagomål mail.docx", "A 48109-2025")</f>
        <v/>
      </c>
      <c r="AC47">
        <f>HYPERLINK("https://klasma.github.io/Logging_2021/tillsyn/A 48109-2025 tillsynsbegäran.docx", "A 48109-2025")</f>
        <v/>
      </c>
      <c r="AD47">
        <f>HYPERLINK("https://klasma.github.io/Logging_2021/tillsynsmail/A 48109-2025 tillsynsbegäran mail.docx", "A 48109-2025")</f>
        <v/>
      </c>
    </row>
    <row r="48" ht="15" customHeight="1">
      <c r="A48" t="inlineStr">
        <is>
          <t>A 52675-2025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45956</v>
      </c>
      <c r="E48" s="1" t="n">
        <v>46259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Motaggsvamp</t>
        </is>
      </c>
      <c r="W48">
        <f>HYPERLINK("https://klasma.github.io/Logging_2021/artfynd/A 52675-2025 artfynd.xlsx", "A 52675-2025")</f>
        <v/>
      </c>
      <c r="X48">
        <f>HYPERLINK("https://klasma.github.io/Logging_2021/kartor/A 52675-2025 karta.png", "A 52675-2025")</f>
        <v/>
      </c>
      <c r="Y48">
        <f>HYPERLINK("https://klasma.github.io/Logging_2021/kartor_geotiff/A 52675-2025 georefererad karta.tif", "A 52675-2025")</f>
        <v/>
      </c>
      <c r="AA48">
        <f>HYPERLINK("https://klasma.github.io/Logging_2021/klagomål/A 52675-2025 FSC-klagomål.docx", "A 52675-2025")</f>
        <v/>
      </c>
      <c r="AB48">
        <f>HYPERLINK("https://klasma.github.io/Logging_2021/klagomålsmail/A 52675-2025 FSC-klagomål mail.docx", "A 52675-2025")</f>
        <v/>
      </c>
      <c r="AC48">
        <f>HYPERLINK("https://klasma.github.io/Logging_2021/tillsyn/A 52675-2025 tillsynsbegäran.docx", "A 52675-2025")</f>
        <v/>
      </c>
      <c r="AD48">
        <f>HYPERLINK("https://klasma.github.io/Logging_2021/tillsynsmail/A 52675-2025 tillsynsbegäran mail.docx", "A 52675-2025")</f>
        <v/>
      </c>
    </row>
    <row r="49" ht="15" customHeight="1">
      <c r="A49" t="inlineStr">
        <is>
          <t>A 26756-2026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46259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11.4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HYPERLINK("https://klasma.github.io/Logging_2021/artfynd/A 26756-2026 artfynd.xlsx", "A 26756-2026")</f>
        <v/>
      </c>
      <c r="X49">
        <f>HYPERLINK("https://klasma.github.io/Logging_2021/kartor/A 26756-2026 karta.png", "A 26756-2026")</f>
        <v/>
      </c>
      <c r="Y49">
        <f>HYPERLINK("https://klasma.github.io/Logging_2021/kartor_geotiff/A 26756-2026 georefererad karta.tif", "A 26756-2026")</f>
        <v/>
      </c>
      <c r="AA49">
        <f>HYPERLINK("https://klasma.github.io/Logging_2021/klagomål/A 26756-2026 FSC-klagomål.docx", "A 26756-2026")</f>
        <v/>
      </c>
      <c r="AB49">
        <f>HYPERLINK("https://klasma.github.io/Logging_2021/klagomålsmail/A 26756-2026 FSC-klagomål mail.docx", "A 26756-2026")</f>
        <v/>
      </c>
      <c r="AC49">
        <f>HYPERLINK("https://klasma.github.io/Logging_2021/tillsyn/A 26756-2026 tillsynsbegäran.docx", "A 26756-2026")</f>
        <v/>
      </c>
      <c r="AD49">
        <f>HYPERLINK("https://klasma.github.io/Logging_2021/tillsynsmail/A 26756-2026 tillsynsbegäran mail.docx", "A 26756-2026")</f>
        <v/>
      </c>
      <c r="AE49">
        <f>HYPERLINK("https://klasma.github.io/Logging_2021/fåglar/A 26756-2026 prioriterade fågelarter.docx", "A 26756-2026")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46259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3918-2026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46043</v>
      </c>
      <c r="E51" s="1" t="n">
        <v>46259</v>
      </c>
      <c r="F51" t="inlineStr">
        <is>
          <t>DALARNAS LÄN</t>
        </is>
      </c>
      <c r="G51" t="inlineStr">
        <is>
          <t>VANSBRO</t>
        </is>
      </c>
      <c r="I51" t="n">
        <v>6.2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Duvhök</t>
        </is>
      </c>
      <c r="W51">
        <f>HYPERLINK("https://klasma.github.io/Logging_2021/artfynd/A 3918-2026 artfynd.xlsx", "A 3918-2026")</f>
        <v/>
      </c>
      <c r="X51">
        <f>HYPERLINK("https://klasma.github.io/Logging_2021/kartor/A 3918-2026 karta.png", "A 3918-2026")</f>
        <v/>
      </c>
      <c r="Y51">
        <f>HYPERLINK("https://klasma.github.io/Logging_2021/kartor_geotiff/A 3918-2026 georefererad karta.tif", "A 3918-2026")</f>
        <v/>
      </c>
      <c r="AA51">
        <f>HYPERLINK("https://klasma.github.io/Logging_2021/klagomål/A 3918-2026 FSC-klagomål.docx", "A 3918-2026")</f>
        <v/>
      </c>
      <c r="AB51">
        <f>HYPERLINK("https://klasma.github.io/Logging_2021/klagomålsmail/A 3918-2026 FSC-klagomål mail.docx", "A 3918-2026")</f>
        <v/>
      </c>
      <c r="AC51">
        <f>HYPERLINK("https://klasma.github.io/Logging_2021/tillsyn/A 3918-2026 tillsynsbegäran.docx", "A 3918-2026")</f>
        <v/>
      </c>
      <c r="AD51">
        <f>HYPERLINK("https://klasma.github.io/Logging_2021/tillsynsmail/A 3918-2026 tillsynsbegäran mail.docx", "A 3918-2026")</f>
        <v/>
      </c>
      <c r="AE51">
        <f>HYPERLINK("https://klasma.github.io/Logging_2021/fåglar/A 3918-2026 prioriterade fågelarter.docx", "A 3918-2026")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46259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5659-2026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46051</v>
      </c>
      <c r="E53" s="1" t="n">
        <v>46259</v>
      </c>
      <c r="F53" t="inlineStr">
        <is>
          <t>DALARNAS LÄN</t>
        </is>
      </c>
      <c r="G53" t="inlineStr">
        <is>
          <t>VANSBRO</t>
        </is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rörsvepemossa</t>
        </is>
      </c>
      <c r="W53">
        <f>HYPERLINK("https://klasma.github.io/Logging_2021/artfynd/A 5659-2026 artfynd.xlsx", "A 5659-2026")</f>
        <v/>
      </c>
      <c r="X53">
        <f>HYPERLINK("https://klasma.github.io/Logging_2021/kartor/A 5659-2026 karta.png", "A 5659-2026")</f>
        <v/>
      </c>
      <c r="Y53">
        <f>HYPERLINK("https://klasma.github.io/Logging_2021/kartor_geotiff/A 5659-2026 georefererad karta.tif", "A 5659-2026")</f>
        <v/>
      </c>
      <c r="Z53">
        <f>HYPERLINK("https://klasma.github.io/Logging_2021/knärot/A 5659-2026 karta knärot.png", "A 5659-2026")</f>
        <v/>
      </c>
      <c r="AA53">
        <f>HYPERLINK("https://klasma.github.io/Logging_2021/klagomål/A 5659-2026 FSC-klagomål.docx", "A 5659-2026")</f>
        <v/>
      </c>
      <c r="AB53">
        <f>HYPERLINK("https://klasma.github.io/Logging_2021/klagomålsmail/A 5659-2026 FSC-klagomål mail.docx", "A 5659-2026")</f>
        <v/>
      </c>
      <c r="AC53">
        <f>HYPERLINK("https://klasma.github.io/Logging_2021/tillsyn/A 5659-2026 tillsynsbegäran.docx", "A 5659-2026")</f>
        <v/>
      </c>
      <c r="AD53">
        <f>HYPERLINK("https://klasma.github.io/Logging_2021/tillsynsmail/A 5659-2026 tillsynsbegäran mail.docx", "A 5659-2026")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46259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46259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46259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46259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46259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46259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46259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46259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46259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46259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46259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46259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46259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46259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46259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46259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46259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46259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46259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46259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46259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46259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46259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46259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46259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46259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46259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46259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45735</v>
      </c>
      <c r="E82" s="1" t="n">
        <v>46259</v>
      </c>
      <c r="F82" t="inlineStr">
        <is>
          <t>DALARNAS LÄN</t>
        </is>
      </c>
      <c r="G82" t="inlineStr">
        <is>
          <t>VANSBRO</t>
        </is>
      </c>
      <c r="H82" t="inlineStr">
        <is>
          <t>Kommuner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46801-2021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44446</v>
      </c>
      <c r="E83" s="1" t="n">
        <v>46259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46259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46259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46259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46259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45689</v>
      </c>
      <c r="E88" s="1" t="n">
        <v>46259</v>
      </c>
      <c r="F88" t="inlineStr">
        <is>
          <t>DALARNAS LÄN</t>
        </is>
      </c>
      <c r="G88" t="inlineStr">
        <is>
          <t>VANSBRO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45689</v>
      </c>
      <c r="E89" s="1" t="n">
        <v>46259</v>
      </c>
      <c r="F89" t="inlineStr">
        <is>
          <t>DALARNAS LÄN</t>
        </is>
      </c>
      <c r="G89" t="inlineStr">
        <is>
          <t>VANSBRO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44476</v>
      </c>
      <c r="E90" s="1" t="n">
        <v>46259</v>
      </c>
      <c r="F90" t="inlineStr">
        <is>
          <t>DALARNAS LÄN</t>
        </is>
      </c>
      <c r="G90" t="inlineStr">
        <is>
          <t>VANSBRO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46259</v>
      </c>
      <c r="F91" t="inlineStr">
        <is>
          <t>DALARNAS LÄN</t>
        </is>
      </c>
      <c r="G91" t="inlineStr">
        <is>
          <t>VANSBRO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46259</v>
      </c>
      <c r="F92" t="inlineStr">
        <is>
          <t>DALARNAS LÄN</t>
        </is>
      </c>
      <c r="G92" t="inlineStr">
        <is>
          <t>VANSBRO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46259</v>
      </c>
      <c r="F93" t="inlineStr">
        <is>
          <t>DALARNAS LÄN</t>
        </is>
      </c>
      <c r="G93" t="inlineStr">
        <is>
          <t>VANSBRO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46259</v>
      </c>
      <c r="F94" t="inlineStr">
        <is>
          <t>DALARNAS LÄN</t>
        </is>
      </c>
      <c r="G94" t="inlineStr">
        <is>
          <t>VANSBRO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46259</v>
      </c>
      <c r="F95" t="inlineStr">
        <is>
          <t>DALARNAS LÄN</t>
        </is>
      </c>
      <c r="G95" t="inlineStr">
        <is>
          <t>VANSBRO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8694-2023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44972</v>
      </c>
      <c r="E96" s="1" t="n">
        <v>46259</v>
      </c>
      <c r="F96" t="inlineStr">
        <is>
          <t>DALARNAS LÄN</t>
        </is>
      </c>
      <c r="G96" t="inlineStr">
        <is>
          <t>VANSBRO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44908</v>
      </c>
      <c r="E97" s="1" t="n">
        <v>46259</v>
      </c>
      <c r="F97" t="inlineStr">
        <is>
          <t>DALARNAS LÄN</t>
        </is>
      </c>
      <c r="G97" t="inlineStr">
        <is>
          <t>VANSBRO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56098-2021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44477</v>
      </c>
      <c r="E98" s="1" t="n">
        <v>46259</v>
      </c>
      <c r="F98" t="inlineStr">
        <is>
          <t>DALARNAS LÄN</t>
        </is>
      </c>
      <c r="G98" t="inlineStr">
        <is>
          <t>VANSBRO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44442</v>
      </c>
      <c r="E99" s="1" t="n">
        <v>46259</v>
      </c>
      <c r="F99" t="inlineStr">
        <is>
          <t>DALARNAS LÄN</t>
        </is>
      </c>
      <c r="G99" t="inlineStr">
        <is>
          <t>VANSBRO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28469-2025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46259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46259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46259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46259</v>
      </c>
      <c r="F103" t="inlineStr">
        <is>
          <t>DALARNAS LÄN</t>
        </is>
      </c>
      <c r="G103" t="inlineStr">
        <is>
          <t>VANSBRO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46259</v>
      </c>
      <c r="F104" t="inlineStr">
        <is>
          <t>DALARNAS LÄN</t>
        </is>
      </c>
      <c r="G104" t="inlineStr">
        <is>
          <t>VANSBRO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31196-2025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46259</v>
      </c>
      <c r="F105" t="inlineStr">
        <is>
          <t>DALARNAS LÄN</t>
        </is>
      </c>
      <c r="G105" t="inlineStr">
        <is>
          <t>VANSBRO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46259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46259</v>
      </c>
      <c r="F107" t="inlineStr">
        <is>
          <t>DALARNAS LÄN</t>
        </is>
      </c>
      <c r="G107" t="inlineStr">
        <is>
          <t>VANSBRO</t>
        </is>
      </c>
      <c r="I107" t="n">
        <v>27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45749</v>
      </c>
      <c r="E108" s="1" t="n">
        <v>46259</v>
      </c>
      <c r="F108" t="inlineStr">
        <is>
          <t>DALARNAS LÄN</t>
        </is>
      </c>
      <c r="G108" t="inlineStr">
        <is>
          <t>VANSBRO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44837</v>
      </c>
      <c r="E109" s="1" t="n">
        <v>46259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46259</v>
      </c>
      <c r="F110" t="inlineStr">
        <is>
          <t>DALARNAS LÄN</t>
        </is>
      </c>
      <c r="G110" t="inlineStr">
        <is>
          <t>VANSBRO</t>
        </is>
      </c>
      <c r="I110" t="n">
        <v>9.1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38670-2025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45884</v>
      </c>
      <c r="E111" s="1" t="n">
        <v>46259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46259</v>
      </c>
      <c r="F112" t="inlineStr">
        <is>
          <t>DALARNAS LÄN</t>
        </is>
      </c>
      <c r="G112" t="inlineStr">
        <is>
          <t>VANSBRO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46259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46259</v>
      </c>
      <c r="F114" t="inlineStr">
        <is>
          <t>DALARNAS LÄN</t>
        </is>
      </c>
      <c r="G114" t="inlineStr">
        <is>
          <t>VANSBRO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46259</v>
      </c>
      <c r="F115" t="inlineStr">
        <is>
          <t>DALARNAS LÄN</t>
        </is>
      </c>
      <c r="G115" t="inlineStr">
        <is>
          <t>VANSBRO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45840</v>
      </c>
      <c r="E116" s="1" t="n">
        <v>46259</v>
      </c>
      <c r="F116" t="inlineStr">
        <is>
          <t>DALARNAS LÄN</t>
        </is>
      </c>
      <c r="G116" t="inlineStr">
        <is>
          <t>VANSBRO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46259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45840</v>
      </c>
      <c r="E118" s="1" t="n">
        <v>46259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46259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45846</v>
      </c>
      <c r="E120" s="1" t="n">
        <v>46259</v>
      </c>
      <c r="F120" t="inlineStr">
        <is>
          <t>DALARNAS LÄN</t>
        </is>
      </c>
      <c r="G120" t="inlineStr">
        <is>
          <t>VANSBRO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44960</v>
      </c>
      <c r="E121" s="1" t="n">
        <v>46259</v>
      </c>
      <c r="F121" t="inlineStr">
        <is>
          <t>DALARNAS LÄN</t>
        </is>
      </c>
      <c r="G121" t="inlineStr">
        <is>
          <t>VANSBRO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35943-2024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45533</v>
      </c>
      <c r="E122" s="1" t="n">
        <v>46259</v>
      </c>
      <c r="F122" t="inlineStr">
        <is>
          <t>DALARNAS LÄN</t>
        </is>
      </c>
      <c r="G122" t="inlineStr">
        <is>
          <t>VANSBRO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45512</v>
      </c>
      <c r="E123" s="1" t="n">
        <v>46259</v>
      </c>
      <c r="F123" t="inlineStr">
        <is>
          <t>DALARNAS LÄN</t>
        </is>
      </c>
      <c r="G123" t="inlineStr">
        <is>
          <t>VANSBRO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46259</v>
      </c>
      <c r="F124" t="inlineStr">
        <is>
          <t>DALARNAS LÄN</t>
        </is>
      </c>
      <c r="G124" t="inlineStr">
        <is>
          <t>VANSBRO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45854</v>
      </c>
      <c r="E125" s="1" t="n">
        <v>46259</v>
      </c>
      <c r="F125" t="inlineStr">
        <is>
          <t>DALARNAS LÄN</t>
        </is>
      </c>
      <c r="G125" t="inlineStr">
        <is>
          <t>VANSBRO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60031-2022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44909</v>
      </c>
      <c r="E126" s="1" t="n">
        <v>46259</v>
      </c>
      <c r="F126" t="inlineStr">
        <is>
          <t>DALARNAS LÄN</t>
        </is>
      </c>
      <c r="G126" t="inlineStr">
        <is>
          <t>VANSBRO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45247</v>
      </c>
      <c r="E127" s="1" t="n">
        <v>46259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44880</v>
      </c>
      <c r="E128" s="1" t="n">
        <v>46259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45860</v>
      </c>
      <c r="E129" s="1" t="n">
        <v>46259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49565-2022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44862</v>
      </c>
      <c r="E130" s="1" t="n">
        <v>46259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72635-2021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44546</v>
      </c>
      <c r="E131" s="1" t="n">
        <v>46259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45756</v>
      </c>
      <c r="E132" s="1" t="n">
        <v>46259</v>
      </c>
      <c r="F132" t="inlineStr">
        <is>
          <t>DALARNAS LÄN</t>
        </is>
      </c>
      <c r="G132" t="inlineStr">
        <is>
          <t>VANSBRO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46259</v>
      </c>
      <c r="F133" t="inlineStr">
        <is>
          <t>DALARNAS LÄN</t>
        </is>
      </c>
      <c r="G133" t="inlineStr">
        <is>
          <t>VANSBRO</t>
        </is>
      </c>
      <c r="H133" t="inlineStr">
        <is>
          <t>Övriga statliga verk och myndigheter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46259</v>
      </c>
      <c r="F134" t="inlineStr">
        <is>
          <t>DALARNAS LÄN</t>
        </is>
      </c>
      <c r="G134" t="inlineStr">
        <is>
          <t>VANSBRO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35299-2024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45530</v>
      </c>
      <c r="E135" s="1" t="n">
        <v>46259</v>
      </c>
      <c r="F135" t="inlineStr">
        <is>
          <t>DALARNAS LÄN</t>
        </is>
      </c>
      <c r="G135" t="inlineStr">
        <is>
          <t>VANSBRO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45754</v>
      </c>
      <c r="E136" s="1" t="n">
        <v>46259</v>
      </c>
      <c r="F136" t="inlineStr">
        <is>
          <t>DALARNAS LÄN</t>
        </is>
      </c>
      <c r="G136" t="inlineStr">
        <is>
          <t>VANSBRO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46259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45457</v>
      </c>
      <c r="E138" s="1" t="n">
        <v>46259</v>
      </c>
      <c r="F138" t="inlineStr">
        <is>
          <t>DALARNAS LÄN</t>
        </is>
      </c>
      <c r="G138" t="inlineStr">
        <is>
          <t>VANSBRO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45443</v>
      </c>
      <c r="E139" s="1" t="n">
        <v>46259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46259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45868</v>
      </c>
      <c r="E141" s="1" t="n">
        <v>46259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öst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13062-2023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45002</v>
      </c>
      <c r="E142" s="1" t="n">
        <v>46259</v>
      </c>
      <c r="F142" t="inlineStr">
        <is>
          <t>DALARNAS LÄN</t>
        </is>
      </c>
      <c r="G142" t="inlineStr">
        <is>
          <t>VANSBRO</t>
        </is>
      </c>
      <c r="H142" t="inlineStr">
        <is>
          <t>Övriga statliga verk och myndigheter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44925</v>
      </c>
      <c r="E143" s="1" t="n">
        <v>46259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46259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37285-2025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45876</v>
      </c>
      <c r="E145" s="1" t="n">
        <v>46259</v>
      </c>
      <c r="F145" t="inlineStr">
        <is>
          <t>DALARNAS LÄN</t>
        </is>
      </c>
      <c r="G145" t="inlineStr">
        <is>
          <t>VANSBRO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37287-2025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45876</v>
      </c>
      <c r="E146" s="1" t="n">
        <v>46259</v>
      </c>
      <c r="F146" t="inlineStr">
        <is>
          <t>DALARNAS LÄN</t>
        </is>
      </c>
      <c r="G146" t="inlineStr">
        <is>
          <t>VANSBRO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46259</v>
      </c>
      <c r="F147" t="inlineStr">
        <is>
          <t>DALARNAS LÄN</t>
        </is>
      </c>
      <c r="G147" t="inlineStr">
        <is>
          <t>VANSBRO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45471</v>
      </c>
      <c r="E148" s="1" t="n">
        <v>46259</v>
      </c>
      <c r="F148" t="inlineStr">
        <is>
          <t>DALARNAS LÄN</t>
        </is>
      </c>
      <c r="G148" t="inlineStr">
        <is>
          <t>VANSBRO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45516</v>
      </c>
      <c r="E149" s="1" t="n">
        <v>46259</v>
      </c>
      <c r="F149" t="inlineStr">
        <is>
          <t>DALARNAS LÄN</t>
        </is>
      </c>
      <c r="G149" t="inlineStr">
        <is>
          <t>VANSBRO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45897</v>
      </c>
      <c r="E150" s="1" t="n">
        <v>46259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53828-2021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44469</v>
      </c>
      <c r="E151" s="1" t="n">
        <v>46259</v>
      </c>
      <c r="F151" t="inlineStr">
        <is>
          <t>DALARNAS LÄN</t>
        </is>
      </c>
      <c r="G151" t="inlineStr">
        <is>
          <t>VANSBRO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46259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45644</v>
      </c>
      <c r="E153" s="1" t="n">
        <v>46259</v>
      </c>
      <c r="F153" t="inlineStr">
        <is>
          <t>DALARNAS LÄN</t>
        </is>
      </c>
      <c r="G153" t="inlineStr">
        <is>
          <t>VANSBRO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46259</v>
      </c>
      <c r="F154" t="inlineStr">
        <is>
          <t>DALARNAS LÄN</t>
        </is>
      </c>
      <c r="G154" t="inlineStr">
        <is>
          <t>VANSBRO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46259</v>
      </c>
      <c r="F155" t="inlineStr">
        <is>
          <t>DALARNAS LÄN</t>
        </is>
      </c>
      <c r="G155" t="inlineStr">
        <is>
          <t>VANSBRO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46259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45106</v>
      </c>
      <c r="E157" s="1" t="n">
        <v>46259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13392-2026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46259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63816-2021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44509</v>
      </c>
      <c r="E159" s="1" t="n">
        <v>46259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17.6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46259</v>
      </c>
      <c r="F160" t="inlineStr">
        <is>
          <t>DALARNAS LÄN</t>
        </is>
      </c>
      <c r="G160" t="inlineStr">
        <is>
          <t>VANSBRO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30392-2024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45491</v>
      </c>
      <c r="E161" s="1" t="n">
        <v>46259</v>
      </c>
      <c r="F161" t="inlineStr">
        <is>
          <t>DALARNAS LÄN</t>
        </is>
      </c>
      <c r="G161" t="inlineStr">
        <is>
          <t>VANSBRO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46259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46259</v>
      </c>
      <c r="F163" t="inlineStr">
        <is>
          <t>DALARNAS LÄN</t>
        </is>
      </c>
      <c r="G163" t="inlineStr">
        <is>
          <t>VANSBRO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46259</v>
      </c>
      <c r="F164" t="inlineStr">
        <is>
          <t>DALARNAS LÄN</t>
        </is>
      </c>
      <c r="G164" t="inlineStr">
        <is>
          <t>VANSBRO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46259</v>
      </c>
      <c r="F165" t="inlineStr">
        <is>
          <t>DALARNAS LÄN</t>
        </is>
      </c>
      <c r="G165" t="inlineStr">
        <is>
          <t>VANSBRO</t>
        </is>
      </c>
      <c r="H165" t="inlineStr">
        <is>
          <t>Övriga statliga verk och myndigheter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14112-2026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46099</v>
      </c>
      <c r="E166" s="1" t="n">
        <v>46259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46092</v>
      </c>
      <c r="E167" s="1" t="n">
        <v>46259</v>
      </c>
      <c r="F167" t="inlineStr">
        <is>
          <t>DALARNAS LÄN</t>
        </is>
      </c>
      <c r="G167" t="inlineStr">
        <is>
          <t>VANSBRO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46259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46259</v>
      </c>
      <c r="F169" t="inlineStr">
        <is>
          <t>DALARNAS LÄN</t>
        </is>
      </c>
      <c r="G169" t="inlineStr">
        <is>
          <t>VANSBRO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43139-2025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45909</v>
      </c>
      <c r="E170" s="1" t="n">
        <v>46259</v>
      </c>
      <c r="F170" t="inlineStr">
        <is>
          <t>DALARNAS LÄN</t>
        </is>
      </c>
      <c r="G170" t="inlineStr">
        <is>
          <t>VANSBRO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46259</v>
      </c>
      <c r="F171" t="inlineStr">
        <is>
          <t>DALARNAS LÄN</t>
        </is>
      </c>
      <c r="G171" t="inlineStr">
        <is>
          <t>VANSBRO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45183</v>
      </c>
      <c r="E172" s="1" t="n">
        <v>46259</v>
      </c>
      <c r="F172" t="inlineStr">
        <is>
          <t>DALARNAS LÄN</t>
        </is>
      </c>
      <c r="G172" t="inlineStr">
        <is>
          <t>VANSBRO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16669-2026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46112</v>
      </c>
      <c r="E173" s="1" t="n">
        <v>46259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45331</v>
      </c>
      <c r="E174" s="1" t="n">
        <v>46259</v>
      </c>
      <c r="F174" t="inlineStr">
        <is>
          <t>DALARNAS LÄN</t>
        </is>
      </c>
      <c r="G174" t="inlineStr">
        <is>
          <t>VANSBRO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46114</v>
      </c>
      <c r="E175" s="1" t="n">
        <v>46259</v>
      </c>
      <c r="F175" t="inlineStr">
        <is>
          <t>DALARNAS LÄN</t>
        </is>
      </c>
      <c r="G175" t="inlineStr">
        <is>
          <t>VANSBRO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16948-2026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46259</v>
      </c>
      <c r="F176" t="inlineStr">
        <is>
          <t>DALARNAS LÄN</t>
        </is>
      </c>
      <c r="G176" t="inlineStr">
        <is>
          <t>VANSBRO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17321-2026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46259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46259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45.8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46120</v>
      </c>
      <c r="E179" s="1" t="n">
        <v>46259</v>
      </c>
      <c r="F179" t="inlineStr">
        <is>
          <t>DALARNAS LÄN</t>
        </is>
      </c>
      <c r="G179" t="inlineStr">
        <is>
          <t>VANSBRO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46259</v>
      </c>
      <c r="F180" t="inlineStr">
        <is>
          <t>DALARNAS LÄN</t>
        </is>
      </c>
      <c r="G180" t="inlineStr">
        <is>
          <t>VANSBRO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46259</v>
      </c>
      <c r="F181" t="inlineStr">
        <is>
          <t>DALARNAS LÄN</t>
        </is>
      </c>
      <c r="G181" t="inlineStr">
        <is>
          <t>VANSBRO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46120</v>
      </c>
      <c r="E182" s="1" t="n">
        <v>46259</v>
      </c>
      <c r="F182" t="inlineStr">
        <is>
          <t>DALARNAS LÄN</t>
        </is>
      </c>
      <c r="G182" t="inlineStr">
        <is>
          <t>VANSBRO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46120</v>
      </c>
      <c r="E183" s="1" t="n">
        <v>46259</v>
      </c>
      <c r="F183" t="inlineStr">
        <is>
          <t>DALARNAS LÄN</t>
        </is>
      </c>
      <c r="G183" t="inlineStr">
        <is>
          <t>VANSBRO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17604-2026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46121</v>
      </c>
      <c r="E184" s="1" t="n">
        <v>46259</v>
      </c>
      <c r="F184" t="inlineStr">
        <is>
          <t>DALARNAS LÄN</t>
        </is>
      </c>
      <c r="G184" t="inlineStr">
        <is>
          <t>VANSBRO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46125</v>
      </c>
      <c r="E185" s="1" t="n">
        <v>46259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45689</v>
      </c>
      <c r="E186" s="1" t="n">
        <v>46259</v>
      </c>
      <c r="F186" t="inlineStr">
        <is>
          <t>DALARNAS LÄN</t>
        </is>
      </c>
      <c r="G186" t="inlineStr">
        <is>
          <t>VANSBRO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46124</v>
      </c>
      <c r="E187" s="1" t="n">
        <v>46259</v>
      </c>
      <c r="F187" t="inlineStr">
        <is>
          <t>DALARNAS LÄN</t>
        </is>
      </c>
      <c r="G187" t="inlineStr">
        <is>
          <t>VANSBRO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18140-2026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46259</v>
      </c>
      <c r="F188" t="inlineStr">
        <is>
          <t>DALARNAS LÄN</t>
        </is>
      </c>
      <c r="G188" t="inlineStr">
        <is>
          <t>VANSBRO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46259</v>
      </c>
      <c r="F189" t="inlineStr">
        <is>
          <t>DALARNAS LÄN</t>
        </is>
      </c>
      <c r="G189" t="inlineStr">
        <is>
          <t>VANSBRO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46259</v>
      </c>
      <c r="F190" t="inlineStr">
        <is>
          <t>DALARNAS LÄN</t>
        </is>
      </c>
      <c r="G190" t="inlineStr">
        <is>
          <t>VANSBRO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46259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45078</v>
      </c>
      <c r="E192" s="1" t="n">
        <v>46259</v>
      </c>
      <c r="F192" t="inlineStr">
        <is>
          <t>DALARNAS LÄN</t>
        </is>
      </c>
      <c r="G192" t="inlineStr">
        <is>
          <t>VANSBRO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46259</v>
      </c>
      <c r="F193" t="inlineStr">
        <is>
          <t>DALARNAS LÄN</t>
        </is>
      </c>
      <c r="G193" t="inlineStr">
        <is>
          <t>VANSBRO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46259</v>
      </c>
      <c r="F194" t="inlineStr">
        <is>
          <t>DALARNAS LÄN</t>
        </is>
      </c>
      <c r="G194" t="inlineStr">
        <is>
          <t>VANSBRO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11485-2024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45372</v>
      </c>
      <c r="E195" s="1" t="n">
        <v>46259</v>
      </c>
      <c r="F195" t="inlineStr">
        <is>
          <t>DALARNAS LÄN</t>
        </is>
      </c>
      <c r="G195" t="inlineStr">
        <is>
          <t>VANSBRO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46128</v>
      </c>
      <c r="E196" s="1" t="n">
        <v>46259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13.1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36855-2022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46259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46128</v>
      </c>
      <c r="E198" s="1" t="n">
        <v>46259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öst AB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45772</v>
      </c>
      <c r="E199" s="1" t="n">
        <v>46259</v>
      </c>
      <c r="F199" t="inlineStr">
        <is>
          <t>DALARNAS LÄN</t>
        </is>
      </c>
      <c r="G199" t="inlineStr">
        <is>
          <t>VANSBRO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46259</v>
      </c>
      <c r="F200" t="inlineStr">
        <is>
          <t>DALARNAS LÄN</t>
        </is>
      </c>
      <c r="G200" t="inlineStr">
        <is>
          <t>VANSBRO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46128</v>
      </c>
      <c r="E201" s="1" t="n">
        <v>46259</v>
      </c>
      <c r="F201" t="inlineStr">
        <is>
          <t>DALARNAS LÄN</t>
        </is>
      </c>
      <c r="G201" t="inlineStr">
        <is>
          <t>VANSBRO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13639-2022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44648</v>
      </c>
      <c r="E202" s="1" t="n">
        <v>46259</v>
      </c>
      <c r="F202" t="inlineStr">
        <is>
          <t>DALARNAS LÄN</t>
        </is>
      </c>
      <c r="G202" t="inlineStr">
        <is>
          <t>VANSBRO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45498</v>
      </c>
      <c r="E203" s="1" t="n">
        <v>46259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öst AB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44966</v>
      </c>
      <c r="E204" s="1" t="n">
        <v>46259</v>
      </c>
      <c r="F204" t="inlineStr">
        <is>
          <t>DALARNAS LÄN</t>
        </is>
      </c>
      <c r="G204" t="inlineStr">
        <is>
          <t>VANSBRO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46259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46135</v>
      </c>
      <c r="E206" s="1" t="n">
        <v>46259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45665</v>
      </c>
      <c r="E207" s="1" t="n">
        <v>46259</v>
      </c>
      <c r="F207" t="inlineStr">
        <is>
          <t>DALARNAS LÄN</t>
        </is>
      </c>
      <c r="G207" t="inlineStr">
        <is>
          <t>VANSBRO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45762</v>
      </c>
      <c r="E208" s="1" t="n">
        <v>46259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46259</v>
      </c>
      <c r="F209" t="inlineStr">
        <is>
          <t>DALARNAS LÄN</t>
        </is>
      </c>
      <c r="G209" t="inlineStr">
        <is>
          <t>VANSBRO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45082</v>
      </c>
      <c r="E210" s="1" t="n">
        <v>46259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46259</v>
      </c>
      <c r="F211" t="inlineStr">
        <is>
          <t>DALARNAS LÄN</t>
        </is>
      </c>
      <c r="G211" t="inlineStr">
        <is>
          <t>VANSBRO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45147</v>
      </c>
      <c r="E212" s="1" t="n">
        <v>46259</v>
      </c>
      <c r="F212" t="inlineStr">
        <is>
          <t>DALARNAS LÄN</t>
        </is>
      </c>
      <c r="G212" t="inlineStr">
        <is>
          <t>VANSBRO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20931-2022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44701</v>
      </c>
      <c r="E213" s="1" t="n">
        <v>46259</v>
      </c>
      <c r="F213" t="inlineStr">
        <is>
          <t>DALARNAS LÄN</t>
        </is>
      </c>
      <c r="G213" t="inlineStr">
        <is>
          <t>VANSBRO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20669-2025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45776</v>
      </c>
      <c r="E214" s="1" t="n">
        <v>46259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45806</v>
      </c>
      <c r="E215" s="1" t="n">
        <v>46259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46259</v>
      </c>
      <c r="F216" t="inlineStr">
        <is>
          <t>DALARNAS LÄN</t>
        </is>
      </c>
      <c r="G216" t="inlineStr">
        <is>
          <t>VANSBRO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46259</v>
      </c>
      <c r="F217" t="inlineStr">
        <is>
          <t>DALARNAS LÄN</t>
        </is>
      </c>
      <c r="G217" t="inlineStr">
        <is>
          <t>VANSBRO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24827-2022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44728</v>
      </c>
      <c r="E218" s="1" t="n">
        <v>46259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24839-2022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44728</v>
      </c>
      <c r="E219" s="1" t="n">
        <v>46259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öst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46139</v>
      </c>
      <c r="E220" s="1" t="n">
        <v>46259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45183</v>
      </c>
      <c r="E221" s="1" t="n">
        <v>46259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öst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43258-2023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46259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öst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45772</v>
      </c>
      <c r="E223" s="1" t="n">
        <v>46259</v>
      </c>
      <c r="F223" t="inlineStr">
        <is>
          <t>DALARNAS LÄN</t>
        </is>
      </c>
      <c r="G223" t="inlineStr">
        <is>
          <t>VANSBRO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45811</v>
      </c>
      <c r="E224" s="1" t="n">
        <v>46259</v>
      </c>
      <c r="F224" t="inlineStr">
        <is>
          <t>DALARNAS LÄN</t>
        </is>
      </c>
      <c r="G224" t="inlineStr">
        <is>
          <t>VANSBRO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45689</v>
      </c>
      <c r="E225" s="1" t="n">
        <v>46259</v>
      </c>
      <c r="F225" t="inlineStr">
        <is>
          <t>DALARNAS LÄN</t>
        </is>
      </c>
      <c r="G225" t="inlineStr">
        <is>
          <t>VANSBRO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46259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45299</v>
      </c>
      <c r="E227" s="1" t="n">
        <v>46259</v>
      </c>
      <c r="F227" t="inlineStr">
        <is>
          <t>DALARNAS LÄN</t>
        </is>
      </c>
      <c r="G227" t="inlineStr">
        <is>
          <t>VANSBRO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46259</v>
      </c>
      <c r="F228" t="inlineStr">
        <is>
          <t>DALARNAS LÄN</t>
        </is>
      </c>
      <c r="G228" t="inlineStr">
        <is>
          <t>VANSBRO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50533-2024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45601</v>
      </c>
      <c r="E229" s="1" t="n">
        <v>46259</v>
      </c>
      <c r="F229" t="inlineStr">
        <is>
          <t>DALARNAS LÄN</t>
        </is>
      </c>
      <c r="G229" t="inlineStr">
        <is>
          <t>VANSBRO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46259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46259</v>
      </c>
      <c r="F231" t="inlineStr">
        <is>
          <t>DALARNAS LÄN</t>
        </is>
      </c>
      <c r="G231" t="inlineStr">
        <is>
          <t>VANSBRO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45481</v>
      </c>
      <c r="E232" s="1" t="n">
        <v>46259</v>
      </c>
      <c r="F232" t="inlineStr">
        <is>
          <t>DALARNAS LÄN</t>
        </is>
      </c>
      <c r="G232" t="inlineStr">
        <is>
          <t>VANSBRO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46259</v>
      </c>
      <c r="F233" t="inlineStr">
        <is>
          <t>DALARNAS LÄN</t>
        </is>
      </c>
      <c r="G233" t="inlineStr">
        <is>
          <t>VANSBRO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46259</v>
      </c>
      <c r="F234" t="inlineStr">
        <is>
          <t>DALARNAS LÄN</t>
        </is>
      </c>
      <c r="G234" t="inlineStr">
        <is>
          <t>VANSBRO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46259</v>
      </c>
      <c r="F235" t="inlineStr">
        <is>
          <t>DALARNAS LÄN</t>
        </is>
      </c>
      <c r="G235" t="inlineStr">
        <is>
          <t>VANSBRO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46259</v>
      </c>
      <c r="F236" t="inlineStr">
        <is>
          <t>DALARNAS LÄN</t>
        </is>
      </c>
      <c r="G236" t="inlineStr">
        <is>
          <t>VANSBRO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40290-2023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45169</v>
      </c>
      <c r="E237" s="1" t="n">
        <v>46259</v>
      </c>
      <c r="F237" t="inlineStr">
        <is>
          <t>DALARNAS LÄN</t>
        </is>
      </c>
      <c r="G237" t="inlineStr">
        <is>
          <t>VANSBRO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46259</v>
      </c>
      <c r="F238" t="inlineStr">
        <is>
          <t>DALARNAS LÄN</t>
        </is>
      </c>
      <c r="G238" t="inlineStr">
        <is>
          <t>VANSBRO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46259</v>
      </c>
      <c r="F239" t="inlineStr">
        <is>
          <t>DALARNAS LÄN</t>
        </is>
      </c>
      <c r="G239" t="inlineStr">
        <is>
          <t>VANSBRO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48840-2025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45937</v>
      </c>
      <c r="E240" s="1" t="n">
        <v>46259</v>
      </c>
      <c r="F240" t="inlineStr">
        <is>
          <t>DALARNAS LÄN</t>
        </is>
      </c>
      <c r="G240" t="inlineStr">
        <is>
          <t>VANSBRO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46259</v>
      </c>
      <c r="F241" t="inlineStr">
        <is>
          <t>DALARNAS LÄN</t>
        </is>
      </c>
      <c r="G241" t="inlineStr">
        <is>
          <t>VANSBRO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46259</v>
      </c>
      <c r="F242" t="inlineStr">
        <is>
          <t>DALARNAS LÄN</t>
        </is>
      </c>
      <c r="G242" t="inlineStr">
        <is>
          <t>VANSBRO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45714</v>
      </c>
      <c r="E243" s="1" t="n">
        <v>46259</v>
      </c>
      <c r="F243" t="inlineStr">
        <is>
          <t>DALARNAS LÄN</t>
        </is>
      </c>
      <c r="G243" t="inlineStr">
        <is>
          <t>VANSBRO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43658-2023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46259</v>
      </c>
      <c r="F244" t="inlineStr">
        <is>
          <t>DALARNAS LÄN</t>
        </is>
      </c>
      <c r="G244" t="inlineStr">
        <is>
          <t>VANSBRO</t>
        </is>
      </c>
      <c r="I244" t="n">
        <v>7.8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46259</v>
      </c>
      <c r="F245" t="inlineStr">
        <is>
          <t>DALARNAS LÄN</t>
        </is>
      </c>
      <c r="G245" t="inlineStr">
        <is>
          <t>VANSBRO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44867</v>
      </c>
      <c r="E246" s="1" t="n">
        <v>46259</v>
      </c>
      <c r="F246" t="inlineStr">
        <is>
          <t>DALARNAS LÄN</t>
        </is>
      </c>
      <c r="G246" t="inlineStr">
        <is>
          <t>VANSBRO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45631</v>
      </c>
      <c r="E247" s="1" t="n">
        <v>46259</v>
      </c>
      <c r="F247" t="inlineStr">
        <is>
          <t>DALARNAS LÄN</t>
        </is>
      </c>
      <c r="G247" t="inlineStr">
        <is>
          <t>VANSBRO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51396-2022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44869</v>
      </c>
      <c r="E248" s="1" t="n">
        <v>46259</v>
      </c>
      <c r="F248" t="inlineStr">
        <is>
          <t>DALARNAS LÄN</t>
        </is>
      </c>
      <c r="G248" t="inlineStr">
        <is>
          <t>VANSBRO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45744</v>
      </c>
      <c r="E249" s="1" t="n">
        <v>46259</v>
      </c>
      <c r="F249" t="inlineStr">
        <is>
          <t>DALARNAS LÄN</t>
        </is>
      </c>
      <c r="G249" t="inlineStr">
        <is>
          <t>VANSBRO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5648-2026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46051</v>
      </c>
      <c r="E250" s="1" t="n">
        <v>46259</v>
      </c>
      <c r="F250" t="inlineStr">
        <is>
          <t>DALARNAS LÄN</t>
        </is>
      </c>
      <c r="G250" t="inlineStr">
        <is>
          <t>VANSBRO</t>
        </is>
      </c>
      <c r="I250" t="n">
        <v>13.9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45940</v>
      </c>
      <c r="E251" s="1" t="n">
        <v>46259</v>
      </c>
      <c r="F251" t="inlineStr">
        <is>
          <t>DALARNAS LÄN</t>
        </is>
      </c>
      <c r="G251" t="inlineStr">
        <is>
          <t>VANSBRO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46259</v>
      </c>
      <c r="F252" t="inlineStr">
        <is>
          <t>DALARNAS LÄN</t>
        </is>
      </c>
      <c r="G252" t="inlineStr">
        <is>
          <t>VANSBRO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46259</v>
      </c>
      <c r="F253" t="inlineStr">
        <is>
          <t>DALARNAS LÄN</t>
        </is>
      </c>
      <c r="G253" t="inlineStr">
        <is>
          <t>VANSBRO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46259</v>
      </c>
      <c r="F254" t="inlineStr">
        <is>
          <t>DALARNAS LÄN</t>
        </is>
      </c>
      <c r="G254" t="inlineStr">
        <is>
          <t>VANSBRO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46259</v>
      </c>
      <c r="F255" t="inlineStr">
        <is>
          <t>DALARNAS LÄN</t>
        </is>
      </c>
      <c r="G255" t="inlineStr">
        <is>
          <t>VANSBRO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46021</v>
      </c>
      <c r="E256" s="1" t="n">
        <v>46259</v>
      </c>
      <c r="F256" t="inlineStr">
        <is>
          <t>DALARNAS LÄN</t>
        </is>
      </c>
      <c r="G256" t="inlineStr">
        <is>
          <t>VANSBRO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45754</v>
      </c>
      <c r="E257" s="1" t="n">
        <v>46259</v>
      </c>
      <c r="F257" t="inlineStr">
        <is>
          <t>DALARNAS LÄN</t>
        </is>
      </c>
      <c r="G257" t="inlineStr">
        <is>
          <t>VANSBRO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46259</v>
      </c>
      <c r="F258" t="inlineStr">
        <is>
          <t>DALARNAS LÄN</t>
        </is>
      </c>
      <c r="G258" t="inlineStr">
        <is>
          <t>VANSBRO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46259</v>
      </c>
      <c r="F259" t="inlineStr">
        <is>
          <t>DALARNAS LÄN</t>
        </is>
      </c>
      <c r="G259" t="inlineStr">
        <is>
          <t>VANSBRO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45322</v>
      </c>
      <c r="E260" s="1" t="n">
        <v>46259</v>
      </c>
      <c r="F260" t="inlineStr">
        <is>
          <t>DALARNAS LÄN</t>
        </is>
      </c>
      <c r="G260" t="inlineStr">
        <is>
          <t>VANSBRO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59600-2023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45254</v>
      </c>
      <c r="E261" s="1" t="n">
        <v>46259</v>
      </c>
      <c r="F261" t="inlineStr">
        <is>
          <t>DALARNAS LÄN</t>
        </is>
      </c>
      <c r="G261" t="inlineStr">
        <is>
          <t>VANSBRO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45363</v>
      </c>
      <c r="E262" s="1" t="n">
        <v>46259</v>
      </c>
      <c r="F262" t="inlineStr">
        <is>
          <t>DALARNAS LÄN</t>
        </is>
      </c>
      <c r="G262" t="inlineStr">
        <is>
          <t>VANSBRO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46259</v>
      </c>
      <c r="F263" t="inlineStr">
        <is>
          <t>DALARNAS LÄN</t>
        </is>
      </c>
      <c r="G263" t="inlineStr">
        <is>
          <t>VANSBRO</t>
        </is>
      </c>
      <c r="I263" t="n">
        <v>15.8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46259</v>
      </c>
      <c r="F264" t="inlineStr">
        <is>
          <t>DALARNAS LÄN</t>
        </is>
      </c>
      <c r="G264" t="inlineStr">
        <is>
          <t>VANSBRO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46259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öst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46259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39974-2022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44820</v>
      </c>
      <c r="E267" s="1" t="n">
        <v>46259</v>
      </c>
      <c r="F267" t="inlineStr">
        <is>
          <t>DALARNAS LÄN</t>
        </is>
      </c>
      <c r="G267" t="inlineStr">
        <is>
          <t>VANSBRO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45646</v>
      </c>
      <c r="E268" s="1" t="n">
        <v>46259</v>
      </c>
      <c r="F268" t="inlineStr">
        <is>
          <t>DALARNAS LÄN</t>
        </is>
      </c>
      <c r="G268" t="inlineStr">
        <is>
          <t>VANSBRO</t>
        </is>
      </c>
      <c r="I268" t="n">
        <v>8.800000000000001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11007-2026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46079</v>
      </c>
      <c r="E269" s="1" t="n">
        <v>46259</v>
      </c>
      <c r="F269" t="inlineStr">
        <is>
          <t>DALARNAS LÄN</t>
        </is>
      </c>
      <c r="G269" t="inlineStr">
        <is>
          <t>VANSBRO</t>
        </is>
      </c>
      <c r="H269" t="inlineStr">
        <is>
          <t>Övriga statliga verk och myndigheter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55078-2022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44886</v>
      </c>
      <c r="E270" s="1" t="n">
        <v>46259</v>
      </c>
      <c r="F270" t="inlineStr">
        <is>
          <t>DALARNAS LÄN</t>
        </is>
      </c>
      <c r="G270" t="inlineStr">
        <is>
          <t>VANSBRO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51414-2021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44461</v>
      </c>
      <c r="E271" s="1" t="n">
        <v>46259</v>
      </c>
      <c r="F271" t="inlineStr">
        <is>
          <t>DALARNAS LÄN</t>
        </is>
      </c>
      <c r="G271" t="inlineStr">
        <is>
          <t>VANSBRO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45225</v>
      </c>
      <c r="E272" s="1" t="n">
        <v>46259</v>
      </c>
      <c r="F272" t="inlineStr">
        <is>
          <t>DALARNAS LÄN</t>
        </is>
      </c>
      <c r="G272" t="inlineStr">
        <is>
          <t>VANSBRO</t>
        </is>
      </c>
      <c r="H272" t="inlineStr">
        <is>
          <t>Övriga statliga verk och myndigheter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45691</v>
      </c>
      <c r="E273" s="1" t="n">
        <v>46259</v>
      </c>
      <c r="F273" t="inlineStr">
        <is>
          <t>DALARNAS LÄN</t>
        </is>
      </c>
      <c r="G273" t="inlineStr">
        <is>
          <t>VANSBRO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45691</v>
      </c>
      <c r="E274" s="1" t="n">
        <v>46259</v>
      </c>
      <c r="F274" t="inlineStr">
        <is>
          <t>DALARNAS LÄN</t>
        </is>
      </c>
      <c r="G274" t="inlineStr">
        <is>
          <t>VANSBRO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4680-2023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44957</v>
      </c>
      <c r="E275" s="1" t="n">
        <v>46259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45189</v>
      </c>
      <c r="E276" s="1" t="n">
        <v>46259</v>
      </c>
      <c r="F276" t="inlineStr">
        <is>
          <t>DALARNAS LÄN</t>
        </is>
      </c>
      <c r="G276" t="inlineStr">
        <is>
          <t>VANSBRO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46259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45530</v>
      </c>
      <c r="E278" s="1" t="n">
        <v>46259</v>
      </c>
      <c r="F278" t="inlineStr">
        <is>
          <t>DALARNAS LÄN</t>
        </is>
      </c>
      <c r="G278" t="inlineStr">
        <is>
          <t>VANSBRO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46259</v>
      </c>
      <c r="F279" t="inlineStr">
        <is>
          <t>DALARNAS LÄN</t>
        </is>
      </c>
      <c r="G279" t="inlineStr">
        <is>
          <t>VANSBRO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21744-2026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46259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öst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18859-2025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46259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45775</v>
      </c>
      <c r="E282" s="1" t="n">
        <v>46259</v>
      </c>
      <c r="F282" t="inlineStr">
        <is>
          <t>DALARNAS LÄN</t>
        </is>
      </c>
      <c r="G282" t="inlineStr">
        <is>
          <t>VANSBRO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45265</v>
      </c>
      <c r="E283" s="1" t="n">
        <v>46259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45350</v>
      </c>
      <c r="E284" s="1" t="n">
        <v>46259</v>
      </c>
      <c r="F284" t="inlineStr">
        <is>
          <t>DALARNAS LÄN</t>
        </is>
      </c>
      <c r="G284" t="inlineStr">
        <is>
          <t>VANSBRO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46259</v>
      </c>
      <c r="F285" t="inlineStr">
        <is>
          <t>DALARNAS LÄN</t>
        </is>
      </c>
      <c r="G285" t="inlineStr">
        <is>
          <t>VANSBRO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46259</v>
      </c>
      <c r="F286" t="inlineStr">
        <is>
          <t>DALARNAS LÄN</t>
        </is>
      </c>
      <c r="G286" t="inlineStr">
        <is>
          <t>VANSBRO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45315</v>
      </c>
      <c r="E287" s="1" t="n">
        <v>46259</v>
      </c>
      <c r="F287" t="inlineStr">
        <is>
          <t>DALARNAS LÄN</t>
        </is>
      </c>
      <c r="G287" t="inlineStr">
        <is>
          <t>VANSBRO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45762</v>
      </c>
      <c r="E288" s="1" t="n">
        <v>46259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11408-2025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45726</v>
      </c>
      <c r="E289" s="1" t="n">
        <v>46259</v>
      </c>
      <c r="F289" t="inlineStr">
        <is>
          <t>DALARNAS LÄN</t>
        </is>
      </c>
      <c r="G289" t="inlineStr">
        <is>
          <t>VANSBRO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46259</v>
      </c>
      <c r="F290" t="inlineStr">
        <is>
          <t>DALARNAS LÄN</t>
        </is>
      </c>
      <c r="G290" t="inlineStr">
        <is>
          <t>VANSBRO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45890</v>
      </c>
      <c r="E291" s="1" t="n">
        <v>46259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45520</v>
      </c>
      <c r="E292" s="1" t="n">
        <v>46259</v>
      </c>
      <c r="F292" t="inlineStr">
        <is>
          <t>DALARNAS LÄN</t>
        </is>
      </c>
      <c r="G292" t="inlineStr">
        <is>
          <t>VANSBRO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46259</v>
      </c>
      <c r="F293" t="inlineStr">
        <is>
          <t>DALARNAS LÄN</t>
        </is>
      </c>
      <c r="G293" t="inlineStr">
        <is>
          <t>VANSBRO</t>
        </is>
      </c>
      <c r="H293" t="inlineStr">
        <is>
          <t>Övriga statliga verk och myndigheter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45950</v>
      </c>
      <c r="E294" s="1" t="n">
        <v>46259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61515-2022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44916</v>
      </c>
      <c r="E295" s="1" t="n">
        <v>46259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45008</v>
      </c>
      <c r="E296" s="1" t="n">
        <v>46259</v>
      </c>
      <c r="F296" t="inlineStr">
        <is>
          <t>DALARNAS LÄN</t>
        </is>
      </c>
      <c r="G296" t="inlineStr">
        <is>
          <t>VANSBRO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23059-2026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46161</v>
      </c>
      <c r="E297" s="1" t="n">
        <v>46259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46161</v>
      </c>
      <c r="E298" s="1" t="n">
        <v>46259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44960</v>
      </c>
      <c r="E299" s="1" t="n">
        <v>46259</v>
      </c>
      <c r="F299" t="inlineStr">
        <is>
          <t>DALARNAS LÄN</t>
        </is>
      </c>
      <c r="G299" t="inlineStr">
        <is>
          <t>VANSBRO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44826</v>
      </c>
      <c r="E300" s="1" t="n">
        <v>46259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5386-2024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45331</v>
      </c>
      <c r="E301" s="1" t="n">
        <v>46259</v>
      </c>
      <c r="F301" t="inlineStr">
        <is>
          <t>DALARNAS LÄN</t>
        </is>
      </c>
      <c r="G301" t="inlineStr">
        <is>
          <t>VANSBRO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46259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46259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46259</v>
      </c>
      <c r="F304" t="inlineStr">
        <is>
          <t>DALARNAS LÄN</t>
        </is>
      </c>
      <c r="G304" t="inlineStr">
        <is>
          <t>VANSBRO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46164</v>
      </c>
      <c r="E305" s="1" t="n">
        <v>46259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öst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17807-2022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44673</v>
      </c>
      <c r="E306" s="1" t="n">
        <v>46259</v>
      </c>
      <c r="F306" t="inlineStr">
        <is>
          <t>DALARNAS LÄN</t>
        </is>
      </c>
      <c r="G306" t="inlineStr">
        <is>
          <t>VANSBRO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54159-2022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44881</v>
      </c>
      <c r="E307" s="1" t="n">
        <v>46259</v>
      </c>
      <c r="F307" t="inlineStr">
        <is>
          <t>DALARNAS LÄN</t>
        </is>
      </c>
      <c r="G307" t="inlineStr">
        <is>
          <t>VANSBRO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46259</v>
      </c>
      <c r="F308" t="inlineStr">
        <is>
          <t>DALARNAS LÄN</t>
        </is>
      </c>
      <c r="G308" t="inlineStr">
        <is>
          <t>VANSBRO</t>
        </is>
      </c>
      <c r="I308" t="n">
        <v>12.6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45448</v>
      </c>
      <c r="E309" s="1" t="n">
        <v>46259</v>
      </c>
      <c r="F309" t="inlineStr">
        <is>
          <t>DALARNAS LÄN</t>
        </is>
      </c>
      <c r="G309" t="inlineStr">
        <is>
          <t>VANSBRO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44930</v>
      </c>
      <c r="E310" s="1" t="n">
        <v>46259</v>
      </c>
      <c r="F310" t="inlineStr">
        <is>
          <t>DALARNAS LÄN</t>
        </is>
      </c>
      <c r="G310" t="inlineStr">
        <is>
          <t>VANSBRO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45956</v>
      </c>
      <c r="E311" s="1" t="n">
        <v>46259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46259</v>
      </c>
      <c r="F312" t="inlineStr">
        <is>
          <t>DALARNAS LÄN</t>
        </is>
      </c>
      <c r="G312" t="inlineStr">
        <is>
          <t>VANSBRO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45956</v>
      </c>
      <c r="E313" s="1" t="n">
        <v>46259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45596</v>
      </c>
      <c r="E314" s="1" t="n">
        <v>46259</v>
      </c>
      <c r="F314" t="inlineStr">
        <is>
          <t>DALARNAS LÄN</t>
        </is>
      </c>
      <c r="G314" t="inlineStr">
        <is>
          <t>VANSBRO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46259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45240</v>
      </c>
      <c r="E316" s="1" t="n">
        <v>46259</v>
      </c>
      <c r="F316" t="inlineStr">
        <is>
          <t>DALARNAS LÄN</t>
        </is>
      </c>
      <c r="G316" t="inlineStr">
        <is>
          <t>VANSBRO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56129-2023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46259</v>
      </c>
      <c r="F317" t="inlineStr">
        <is>
          <t>DALARNAS LÄN</t>
        </is>
      </c>
      <c r="G317" t="inlineStr">
        <is>
          <t>VANSBRO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48005-2022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44855</v>
      </c>
      <c r="E318" s="1" t="n">
        <v>46259</v>
      </c>
      <c r="F318" t="inlineStr">
        <is>
          <t>DALARNAS LÄN</t>
        </is>
      </c>
      <c r="G318" t="inlineStr">
        <is>
          <t>VANSBRO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34882-2022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44796</v>
      </c>
      <c r="E319" s="1" t="n">
        <v>46259</v>
      </c>
      <c r="F319" t="inlineStr">
        <is>
          <t>DALARNAS LÄN</t>
        </is>
      </c>
      <c r="G319" t="inlineStr">
        <is>
          <t>VANSBRO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46259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49921-2023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45214</v>
      </c>
      <c r="E321" s="1" t="n">
        <v>46259</v>
      </c>
      <c r="F321" t="inlineStr">
        <is>
          <t>DALARNAS LÄN</t>
        </is>
      </c>
      <c r="G321" t="inlineStr">
        <is>
          <t>VANSBRO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46259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45961</v>
      </c>
      <c r="E323" s="1" t="n">
        <v>46259</v>
      </c>
      <c r="F323" t="inlineStr">
        <is>
          <t>DALARNAS LÄN</t>
        </is>
      </c>
      <c r="G323" t="inlineStr">
        <is>
          <t>VANSBRO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46259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46259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46259</v>
      </c>
      <c r="F326" t="inlineStr">
        <is>
          <t>DALARNAS LÄN</t>
        </is>
      </c>
      <c r="G326" t="inlineStr">
        <is>
          <t>VANSBRO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45471</v>
      </c>
      <c r="E327" s="1" t="n">
        <v>46259</v>
      </c>
      <c r="F327" t="inlineStr">
        <is>
          <t>DALARNAS LÄN</t>
        </is>
      </c>
      <c r="G327" t="inlineStr">
        <is>
          <t>VANSBRO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45576</v>
      </c>
      <c r="E328" s="1" t="n">
        <v>46259</v>
      </c>
      <c r="F328" t="inlineStr">
        <is>
          <t>DALARNAS LÄN</t>
        </is>
      </c>
      <c r="G328" t="inlineStr">
        <is>
          <t>VANSBRO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46259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24202-2026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46168</v>
      </c>
      <c r="E330" s="1" t="n">
        <v>46259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7.8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46259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25958-2026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46259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46259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55767-2025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46259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45689</v>
      </c>
      <c r="E335" s="1" t="n">
        <v>46259</v>
      </c>
      <c r="F335" t="inlineStr">
        <is>
          <t>DALARNAS LÄN</t>
        </is>
      </c>
      <c r="G335" t="inlineStr">
        <is>
          <t>VANSBRO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9296-2023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46259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21418-2023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45063</v>
      </c>
      <c r="E337" s="1" t="n">
        <v>46259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46259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46259</v>
      </c>
      <c r="F339" t="inlineStr">
        <is>
          <t>DALARNAS LÄN</t>
        </is>
      </c>
      <c r="G339" t="inlineStr">
        <is>
          <t>VANSBRO</t>
        </is>
      </c>
      <c r="H339" t="inlineStr">
        <is>
          <t>Övriga statliga verk och myndigheter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44931</v>
      </c>
      <c r="E340" s="1" t="n">
        <v>46259</v>
      </c>
      <c r="F340" t="inlineStr">
        <is>
          <t>DALARNAS LÄN</t>
        </is>
      </c>
      <c r="G340" t="inlineStr">
        <is>
          <t>VANSBRO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46259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56280-2025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46259</v>
      </c>
      <c r="F342" t="inlineStr">
        <is>
          <t>DALARNAS LÄN</t>
        </is>
      </c>
      <c r="G342" t="inlineStr">
        <is>
          <t>VANSBRO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46259</v>
      </c>
      <c r="F343" t="inlineStr">
        <is>
          <t>DALARNAS LÄN</t>
        </is>
      </c>
      <c r="G343" t="inlineStr">
        <is>
          <t>VANSBRO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46259</v>
      </c>
      <c r="F344" t="inlineStr">
        <is>
          <t>DALARNAS LÄN</t>
        </is>
      </c>
      <c r="G344" t="inlineStr">
        <is>
          <t>VANSBRO</t>
        </is>
      </c>
      <c r="H344" t="inlineStr">
        <is>
          <t>Övriga statliga verk och myndigheter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46259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46259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48111-2024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45589</v>
      </c>
      <c r="E347" s="1" t="n">
        <v>46259</v>
      </c>
      <c r="F347" t="inlineStr">
        <is>
          <t>DALARNAS LÄN</t>
        </is>
      </c>
      <c r="G347" t="inlineStr">
        <is>
          <t>VANSBRO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46231</v>
      </c>
      <c r="E348" s="1" t="n">
        <v>46259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20.2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46259</v>
      </c>
      <c r="F349" t="inlineStr">
        <is>
          <t>DALARNAS LÄN</t>
        </is>
      </c>
      <c r="G349" t="inlineStr">
        <is>
          <t>VANSBRO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27334-2026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46259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57716-2025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46259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46259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27195-2026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46259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46259</v>
      </c>
      <c r="F354" t="inlineStr">
        <is>
          <t>DALARNAS LÄN</t>
        </is>
      </c>
      <c r="G354" t="inlineStr">
        <is>
          <t>VANSBRO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58874-2025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45987</v>
      </c>
      <c r="E355" s="1" t="n">
        <v>46259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44980</v>
      </c>
      <c r="E356" s="1" t="n">
        <v>46259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46259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46259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46259</v>
      </c>
      <c r="F359" t="inlineStr">
        <is>
          <t>DALARNAS LÄN</t>
        </is>
      </c>
      <c r="G359" t="inlineStr">
        <is>
          <t>VANSBRO</t>
        </is>
      </c>
      <c r="I359" t="n">
        <v>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46259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46259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27242-2026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46259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10.5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27932-2026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46191</v>
      </c>
      <c r="E363" s="1" t="n">
        <v>46259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34738-2023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45141</v>
      </c>
      <c r="E364" s="1" t="n">
        <v>46259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45169</v>
      </c>
      <c r="E365" s="1" t="n">
        <v>46259</v>
      </c>
      <c r="F365" t="inlineStr">
        <is>
          <t>DALARNAS LÄN</t>
        </is>
      </c>
      <c r="G365" t="inlineStr">
        <is>
          <t>VANSBRO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40383-2023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46259</v>
      </c>
      <c r="F366" t="inlineStr">
        <is>
          <t>DALARNAS LÄN</t>
        </is>
      </c>
      <c r="G366" t="inlineStr">
        <is>
          <t>VANSBRO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46238</v>
      </c>
      <c r="E367" s="1" t="n">
        <v>46259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29.6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46259</v>
      </c>
      <c r="F368" t="inlineStr">
        <is>
          <t>DALARNAS LÄN</t>
        </is>
      </c>
      <c r="G368" t="inlineStr">
        <is>
          <t>VANSBRO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44791</v>
      </c>
      <c r="E369" s="1" t="n">
        <v>46259</v>
      </c>
      <c r="F369" t="inlineStr">
        <is>
          <t>DALARNAS LÄN</t>
        </is>
      </c>
      <c r="G369" t="inlineStr">
        <is>
          <t>VANSBRO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46259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10.7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45296</v>
      </c>
      <c r="E371" s="1" t="n">
        <v>46259</v>
      </c>
      <c r="F371" t="inlineStr">
        <is>
          <t>DALARNAS LÄN</t>
        </is>
      </c>
      <c r="G371" t="inlineStr">
        <is>
          <t>VANSBRO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46197</v>
      </c>
      <c r="E372" s="1" t="n">
        <v>46259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8447-2022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44612</v>
      </c>
      <c r="E373" s="1" t="n">
        <v>46259</v>
      </c>
      <c r="F373" t="inlineStr">
        <is>
          <t>DALARNAS LÄN</t>
        </is>
      </c>
      <c r="G373" t="inlineStr">
        <is>
          <t>VANSBRO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35365-2022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44798</v>
      </c>
      <c r="E374" s="1" t="n">
        <v>46259</v>
      </c>
      <c r="F374" t="inlineStr">
        <is>
          <t>DALARNAS LÄN</t>
        </is>
      </c>
      <c r="G374" t="inlineStr">
        <is>
          <t>VANSBRO</t>
        </is>
      </c>
      <c r="H374" t="inlineStr">
        <is>
          <t>Kommuner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45722</v>
      </c>
      <c r="E375" s="1" t="n">
        <v>46259</v>
      </c>
      <c r="F375" t="inlineStr">
        <is>
          <t>DALARNAS LÄN</t>
        </is>
      </c>
      <c r="G375" t="inlineStr">
        <is>
          <t>VANSBRO</t>
        </is>
      </c>
      <c r="I375" t="n">
        <v>15.5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33520-2024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45519</v>
      </c>
      <c r="E376" s="1" t="n">
        <v>46259</v>
      </c>
      <c r="F376" t="inlineStr">
        <is>
          <t>DALARNAS LÄN</t>
        </is>
      </c>
      <c r="G376" t="inlineStr">
        <is>
          <t>VANSBRO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46259</v>
      </c>
      <c r="F377" t="inlineStr">
        <is>
          <t>DALARNAS LÄN</t>
        </is>
      </c>
      <c r="G377" t="inlineStr">
        <is>
          <t>VANSBRO</t>
        </is>
      </c>
      <c r="I377" t="n">
        <v>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62398-2021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44503</v>
      </c>
      <c r="E378" s="1" t="n">
        <v>46259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öst AB</t>
        </is>
      </c>
      <c r="I378" t="n">
        <v>22.1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45453</v>
      </c>
      <c r="E379" s="1" t="n">
        <v>46259</v>
      </c>
      <c r="F379" t="inlineStr">
        <is>
          <t>DALARNAS LÄN</t>
        </is>
      </c>
      <c r="G379" t="inlineStr">
        <is>
          <t>VANSBRO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29439-2026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46259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45666</v>
      </c>
      <c r="E381" s="1" t="n">
        <v>46259</v>
      </c>
      <c r="F381" t="inlineStr">
        <is>
          <t>DALARNAS LÄN</t>
        </is>
      </c>
      <c r="G381" t="inlineStr">
        <is>
          <t>VANSBRO</t>
        </is>
      </c>
      <c r="H381" t="inlineStr">
        <is>
          <t>Övriga statliga verk och myndigheter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29174-2026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46202</v>
      </c>
      <c r="E382" s="1" t="n">
        <v>46259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46259</v>
      </c>
      <c r="F383" t="inlineStr">
        <is>
          <t>DALARNAS LÄN</t>
        </is>
      </c>
      <c r="G383" t="inlineStr">
        <is>
          <t>VANSBRO</t>
        </is>
      </c>
      <c r="I383" t="n">
        <v>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45712</v>
      </c>
      <c r="E384" s="1" t="n">
        <v>46259</v>
      </c>
      <c r="F384" t="inlineStr">
        <is>
          <t>DALARNAS LÄN</t>
        </is>
      </c>
      <c r="G384" t="inlineStr">
        <is>
          <t>VANSBRO</t>
        </is>
      </c>
      <c r="I384" t="n">
        <v>13.8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60036-2023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46259</v>
      </c>
      <c r="F385" t="inlineStr">
        <is>
          <t>DALARNAS LÄN</t>
        </is>
      </c>
      <c r="G385" t="inlineStr">
        <is>
          <t>VANSBRO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29442-2026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46259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2086-2024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45309</v>
      </c>
      <c r="E387" s="1" t="n">
        <v>46259</v>
      </c>
      <c r="F387" t="inlineStr">
        <is>
          <t>DALARNAS LÄN</t>
        </is>
      </c>
      <c r="G387" t="inlineStr">
        <is>
          <t>VANSBRO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29671-2026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46204</v>
      </c>
      <c r="E388" s="1" t="n">
        <v>46259</v>
      </c>
      <c r="F388" t="inlineStr">
        <is>
          <t>DALARNAS LÄN</t>
        </is>
      </c>
      <c r="G388" t="inlineStr">
        <is>
          <t>VANSBRO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29630-2026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46259</v>
      </c>
      <c r="F389" t="inlineStr">
        <is>
          <t>DALARNAS LÄN</t>
        </is>
      </c>
      <c r="G389" t="inlineStr">
        <is>
          <t>VANSBRO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45764</v>
      </c>
      <c r="E390" s="1" t="n">
        <v>46259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29621-2026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46204</v>
      </c>
      <c r="E391" s="1" t="n">
        <v>46259</v>
      </c>
      <c r="F391" t="inlineStr">
        <is>
          <t>DALARNAS LÄN</t>
        </is>
      </c>
      <c r="G391" t="inlineStr">
        <is>
          <t>VANSBRO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45204</v>
      </c>
      <c r="E392" s="1" t="n">
        <v>46259</v>
      </c>
      <c r="F392" t="inlineStr">
        <is>
          <t>DALARNAS LÄN</t>
        </is>
      </c>
      <c r="G392" t="inlineStr">
        <is>
          <t>VANSBRO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46259</v>
      </c>
      <c r="F393" t="inlineStr">
        <is>
          <t>DALARNAS LÄN</t>
        </is>
      </c>
      <c r="G393" t="inlineStr">
        <is>
          <t>VANSBRO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46033</v>
      </c>
      <c r="E394" s="1" t="n">
        <v>46259</v>
      </c>
      <c r="F394" t="inlineStr">
        <is>
          <t>DALARNAS LÄN</t>
        </is>
      </c>
      <c r="G394" t="inlineStr">
        <is>
          <t>VANSBRO</t>
        </is>
      </c>
      <c r="I394" t="n">
        <v>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46031</v>
      </c>
      <c r="E395" s="1" t="n">
        <v>46259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46259</v>
      </c>
      <c r="F396" t="inlineStr">
        <is>
          <t>DALARNAS LÄN</t>
        </is>
      </c>
      <c r="G396" t="inlineStr">
        <is>
          <t>VANSBRO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46037</v>
      </c>
      <c r="E397" s="1" t="n">
        <v>46259</v>
      </c>
      <c r="F397" t="inlineStr">
        <is>
          <t>DALARNAS LÄN</t>
        </is>
      </c>
      <c r="G397" t="inlineStr">
        <is>
          <t>VANSBRO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46259</v>
      </c>
      <c r="F398" t="inlineStr">
        <is>
          <t>DALARNAS LÄN</t>
        </is>
      </c>
      <c r="G398" t="inlineStr">
        <is>
          <t>VANSBRO</t>
        </is>
      </c>
      <c r="I398" t="n">
        <v>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42824-2023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46259</v>
      </c>
      <c r="F399" t="inlineStr">
        <is>
          <t>DALARNAS LÄN</t>
        </is>
      </c>
      <c r="G399" t="inlineStr">
        <is>
          <t>VANSBRO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46259</v>
      </c>
      <c r="F400" t="inlineStr">
        <is>
          <t>DALARNAS LÄN</t>
        </is>
      </c>
      <c r="G400" t="inlineStr">
        <is>
          <t>VANSBRO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46259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56986-2023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45244</v>
      </c>
      <c r="E402" s="1" t="n">
        <v>46259</v>
      </c>
      <c r="F402" t="inlineStr">
        <is>
          <t>DALARNAS LÄN</t>
        </is>
      </c>
      <c r="G402" t="inlineStr">
        <is>
          <t>VANSBRO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4027-2026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46259</v>
      </c>
      <c r="F403" t="inlineStr">
        <is>
          <t>DALARNAS LÄN</t>
        </is>
      </c>
      <c r="G403" t="inlineStr">
        <is>
          <t>VANSBRO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46252</v>
      </c>
      <c r="E404" s="1" t="n">
        <v>46259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46259</v>
      </c>
      <c r="F405" t="inlineStr">
        <is>
          <t>DALARNAS LÄN</t>
        </is>
      </c>
      <c r="G405" t="inlineStr">
        <is>
          <t>VANSBRO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46252</v>
      </c>
      <c r="E406" s="1" t="n">
        <v>46259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46259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46259</v>
      </c>
      <c r="F408" t="inlineStr">
        <is>
          <t>DALARNAS LÄN</t>
        </is>
      </c>
      <c r="G408" t="inlineStr">
        <is>
          <t>VANSBRO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46259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46252</v>
      </c>
      <c r="E410" s="1" t="n">
        <v>46259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46259</v>
      </c>
      <c r="F411" t="inlineStr">
        <is>
          <t>DALARNAS LÄN</t>
        </is>
      </c>
      <c r="G411" t="inlineStr">
        <is>
          <t>VANSBRO</t>
        </is>
      </c>
      <c r="H411" t="inlineStr">
        <is>
          <t>Övriga statliga verk och myndigheter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46259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46259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46259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46253</v>
      </c>
      <c r="E415" s="1" t="n">
        <v>46259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34211-2026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46253</v>
      </c>
      <c r="E416" s="1" t="n">
        <v>46259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13.3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29288-2024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45483</v>
      </c>
      <c r="E417" s="1" t="n">
        <v>46259</v>
      </c>
      <c r="F417" t="inlineStr">
        <is>
          <t>DALARNAS LÄN</t>
        </is>
      </c>
      <c r="G417" t="inlineStr">
        <is>
          <t>VANSBRO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45783</v>
      </c>
      <c r="E418" s="1" t="n">
        <v>46259</v>
      </c>
      <c r="F418" t="inlineStr">
        <is>
          <t>DALARNAS LÄN</t>
        </is>
      </c>
      <c r="G418" t="inlineStr">
        <is>
          <t>VANSBRO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45674</v>
      </c>
      <c r="E419" s="1" t="n">
        <v>46259</v>
      </c>
      <c r="F419" t="inlineStr">
        <is>
          <t>DALARNAS LÄN</t>
        </is>
      </c>
      <c r="G419" t="inlineStr">
        <is>
          <t>VANSBRO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45783</v>
      </c>
      <c r="E420" s="1" t="n">
        <v>46259</v>
      </c>
      <c r="F420" t="inlineStr">
        <is>
          <t>DALARNAS LÄN</t>
        </is>
      </c>
      <c r="G420" t="inlineStr">
        <is>
          <t>VANSBRO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46259</v>
      </c>
      <c r="F421" t="inlineStr">
        <is>
          <t>DALARNAS LÄN</t>
        </is>
      </c>
      <c r="G421" t="inlineStr">
        <is>
          <t>VANSBRO</t>
        </is>
      </c>
      <c r="I421" t="n">
        <v>8.5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46051</v>
      </c>
      <c r="E422" s="1" t="n">
        <v>46259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23085-2022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46259</v>
      </c>
      <c r="F423" t="inlineStr">
        <is>
          <t>DALARNAS LÄN</t>
        </is>
      </c>
      <c r="G423" t="inlineStr">
        <is>
          <t>VANSBRO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46259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46259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46259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46259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45492</v>
      </c>
      <c r="E428" s="1" t="n">
        <v>46259</v>
      </c>
      <c r="F428" t="inlineStr">
        <is>
          <t>DALARNAS LÄN</t>
        </is>
      </c>
      <c r="G428" t="inlineStr">
        <is>
          <t>VANSBRO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46258</v>
      </c>
      <c r="E429" s="1" t="n">
        <v>46259</v>
      </c>
      <c r="F429" t="inlineStr">
        <is>
          <t>DALARNAS LÄN</t>
        </is>
      </c>
      <c r="G429" t="inlineStr">
        <is>
          <t>VANSBRO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46212</v>
      </c>
      <c r="E430" s="1" t="n">
        <v>46259</v>
      </c>
      <c r="F430" t="inlineStr">
        <is>
          <t>DALARNAS LÄN</t>
        </is>
      </c>
      <c r="G430" t="inlineStr">
        <is>
          <t>VANSBRO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46259</v>
      </c>
      <c r="F431" t="inlineStr">
        <is>
          <t>DALARNAS LÄN</t>
        </is>
      </c>
      <c r="G431" t="inlineStr">
        <is>
          <t>VANSBRO</t>
        </is>
      </c>
      <c r="I431" t="n">
        <v>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29411-2024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45483</v>
      </c>
      <c r="E432" s="1" t="n">
        <v>46259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28872-2026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46259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30784-2026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46259</v>
      </c>
      <c r="F434" t="inlineStr">
        <is>
          <t>DALARNAS LÄN</t>
        </is>
      </c>
      <c r="G434" t="inlineStr">
        <is>
          <t>VANSBRO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46058</v>
      </c>
      <c r="E435" s="1" t="n">
        <v>46259</v>
      </c>
      <c r="F435" t="inlineStr">
        <is>
          <t>DALARNAS LÄN</t>
        </is>
      </c>
      <c r="G435" t="inlineStr">
        <is>
          <t>VANSBRO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46259</v>
      </c>
      <c r="F436" t="inlineStr">
        <is>
          <t>DALARNAS LÄN</t>
        </is>
      </c>
      <c r="G436" t="inlineStr">
        <is>
          <t>VANSBRO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46259</v>
      </c>
      <c r="F437" t="inlineStr">
        <is>
          <t>DALARNAS LÄN</t>
        </is>
      </c>
      <c r="G437" t="inlineStr">
        <is>
          <t>VANSBRO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23792-2025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45793</v>
      </c>
      <c r="E438" s="1" t="n">
        <v>46259</v>
      </c>
      <c r="F438" t="inlineStr">
        <is>
          <t>DALARNAS LÄN</t>
        </is>
      </c>
      <c r="G438" t="inlineStr">
        <is>
          <t>VANSBRO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45582</v>
      </c>
      <c r="E439" s="1" t="n">
        <v>46259</v>
      </c>
      <c r="F439" t="inlineStr">
        <is>
          <t>DALARNAS LÄN</t>
        </is>
      </c>
      <c r="G439" t="inlineStr">
        <is>
          <t>VANSBRO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46259</v>
      </c>
      <c r="F440" t="inlineStr">
        <is>
          <t>DALARNAS LÄN</t>
        </is>
      </c>
      <c r="G440" t="inlineStr">
        <is>
          <t>VANSBRO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45688</v>
      </c>
      <c r="E441" s="1" t="n">
        <v>46259</v>
      </c>
      <c r="F441" t="inlineStr">
        <is>
          <t>DALARNAS LÄN</t>
        </is>
      </c>
      <c r="G441" t="inlineStr">
        <is>
          <t>VANSBRO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45531</v>
      </c>
      <c r="E442" s="1" t="n">
        <v>46259</v>
      </c>
      <c r="F442" t="inlineStr">
        <is>
          <t>DALARNAS LÄN</t>
        </is>
      </c>
      <c r="G442" t="inlineStr">
        <is>
          <t>VANSBRO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46259</v>
      </c>
      <c r="F443" t="inlineStr">
        <is>
          <t>DALARNAS LÄN</t>
        </is>
      </c>
      <c r="G443" t="inlineStr">
        <is>
          <t>VANSBRO</t>
        </is>
      </c>
      <c r="I443" t="n">
        <v>15.1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45798</v>
      </c>
      <c r="E444" s="1" t="n">
        <v>46259</v>
      </c>
      <c r="F444" t="inlineStr">
        <is>
          <t>DALARNAS LÄN</t>
        </is>
      </c>
      <c r="G444" t="inlineStr">
        <is>
          <t>VANSBRO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1140-2025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45666</v>
      </c>
      <c r="E445" s="1" t="n">
        <v>46259</v>
      </c>
      <c r="F445" t="inlineStr">
        <is>
          <t>DALARNAS LÄN</t>
        </is>
      </c>
      <c r="G445" t="inlineStr">
        <is>
          <t>VANSBRO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45639</v>
      </c>
      <c r="E446" s="1" t="n">
        <v>46259</v>
      </c>
      <c r="F446" t="inlineStr">
        <is>
          <t>DALARNAS LÄN</t>
        </is>
      </c>
      <c r="G446" t="inlineStr">
        <is>
          <t>VANSBRO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25916-2022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44734</v>
      </c>
      <c r="E447" s="1" t="n">
        <v>46259</v>
      </c>
      <c r="F447" t="inlineStr">
        <is>
          <t>DALARNAS LÄN</t>
        </is>
      </c>
      <c r="G447" t="inlineStr">
        <is>
          <t>VANSBRO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56269-2023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45240</v>
      </c>
      <c r="E448" s="1" t="n">
        <v>46259</v>
      </c>
      <c r="F448" t="inlineStr">
        <is>
          <t>DALARNAS LÄN</t>
        </is>
      </c>
      <c r="G448" t="inlineStr">
        <is>
          <t>VANSBRO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64072-2025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46021</v>
      </c>
      <c r="E449" s="1" t="n">
        <v>46259</v>
      </c>
      <c r="F449" t="inlineStr">
        <is>
          <t>DALARNAS LÄN</t>
        </is>
      </c>
      <c r="G449" t="inlineStr">
        <is>
          <t>VANSBRO</t>
        </is>
      </c>
      <c r="I449" t="n">
        <v>19.1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45673</v>
      </c>
      <c r="E450" s="1" t="n">
        <v>46259</v>
      </c>
      <c r="F450" t="inlineStr">
        <is>
          <t>DALARNAS LÄN</t>
        </is>
      </c>
      <c r="G450" t="inlineStr">
        <is>
          <t>VANSBRO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9417-2026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46071</v>
      </c>
      <c r="E451" s="1" t="n">
        <v>46259</v>
      </c>
      <c r="F451" t="inlineStr">
        <is>
          <t>DALARNAS LÄN</t>
        </is>
      </c>
      <c r="G451" t="inlineStr">
        <is>
          <t>VANSBRO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7764-2026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46259</v>
      </c>
      <c r="F452" t="inlineStr">
        <is>
          <t>DALARNAS LÄN</t>
        </is>
      </c>
      <c r="G452" t="inlineStr">
        <is>
          <t>VANSBRO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46082</v>
      </c>
      <c r="E453" s="1" t="n">
        <v>46259</v>
      </c>
      <c r="F453" t="inlineStr">
        <is>
          <t>DALARNAS LÄN</t>
        </is>
      </c>
      <c r="G453" t="inlineStr">
        <is>
          <t>VANSBRO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46082</v>
      </c>
      <c r="E454" s="1" t="n">
        <v>46259</v>
      </c>
      <c r="F454" t="inlineStr">
        <is>
          <t>DALARNAS LÄN</t>
        </is>
      </c>
      <c r="G454" t="inlineStr">
        <is>
          <t>VANSBRO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46259</v>
      </c>
      <c r="F455" t="inlineStr">
        <is>
          <t>DALARNAS LÄN</t>
        </is>
      </c>
      <c r="G455" t="inlineStr">
        <is>
          <t>VANSBRO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46259</v>
      </c>
      <c r="F456" t="inlineStr">
        <is>
          <t>DALARNAS LÄN</t>
        </is>
      </c>
      <c r="G456" t="inlineStr">
        <is>
          <t>VANSBRO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1286-2024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45401</v>
      </c>
      <c r="E457" s="1" t="n">
        <v>46259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220.8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4782-2022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44802</v>
      </c>
      <c r="E458" s="1" t="n">
        <v>46259</v>
      </c>
      <c r="F458" t="inlineStr">
        <is>
          <t>DALARNAS LÄN</t>
        </is>
      </c>
      <c r="G458" t="inlineStr">
        <is>
          <t>VANSBRO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3514-2023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45208</v>
      </c>
      <c r="E459" s="1" t="n">
        <v>46259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37.8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409-2025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45699</v>
      </c>
      <c r="E460" s="1" t="n">
        <v>46259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öst AB</t>
        </is>
      </c>
      <c r="I460" t="n">
        <v>277.1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91-2026</t>
        </is>
      </c>
      <c r="B461" t="inlineStr">
        <is>
          <t>samrådsanmälan</t>
        </is>
      </c>
      <c r="C461" t="inlineStr">
        <is>
          <t>Skogsgödsling</t>
        </is>
      </c>
      <c r="D461" s="1" t="n">
        <v>46035</v>
      </c>
      <c r="E461" s="1" t="n">
        <v>46259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153.5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747-2026</t>
        </is>
      </c>
      <c r="B462" t="inlineStr">
        <is>
          <t>samrådsanmälan</t>
        </is>
      </c>
      <c r="C462" t="inlineStr">
        <is>
          <t>Skogsgödsling</t>
        </is>
      </c>
      <c r="D462" s="1" t="n">
        <v>46089</v>
      </c>
      <c r="E462" s="1" t="n">
        <v>46259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öst AB</t>
        </is>
      </c>
      <c r="I462" t="n">
        <v>82.40000000000001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2026-08-25T01:52:04Z</dcterms:created>
  <dcterms:modified xmlns:dcterms="http://purl.org/dc/terms/" xmlns:xsi="http://www.w3.org/2001/XMLSchema-instance" xsi:type="dcterms:W3CDTF">2026-08-25T01:52:04Z</dcterms:modified>
</cp:coreProperties>
</file>