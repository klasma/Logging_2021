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V2">
        <f>HYPERLINK("https://klasma.github.io/Logging_2021/artfynd/A 30543-2024 artfynd.xlsx", "A 30543-2024")</f>
        <v/>
      </c>
      <c r="W2">
        <f>HYPERLINK("https://klasma.github.io/Logging_2021/kartor/A 30543-2024 karta.png", "A 30543-2024")</f>
        <v/>
      </c>
      <c r="X2">
        <f>HYPERLINK("https://klasma.github.io/Logging_2021/kartor_geotiff/A 30543-2024 georefererad karta.tif", "A 30543-2024")</f>
        <v/>
      </c>
      <c r="Y2">
        <f>HYPERLINK("https://klasma.github.io/Logging_2021/knärot/A 30543-2024 karta knärot.png", "A 30543-2024")</f>
        <v/>
      </c>
      <c r="Z2">
        <f>HYPERLINK("https://klasma.github.io/Logging_2021/klagomål/A 30543-2024 FSC-klagomål.docx", "A 30543-2024")</f>
        <v/>
      </c>
      <c r="AA2">
        <f>HYPERLINK("https://klasma.github.io/Logging_2021/klagomålsmail/A 30543-2024 FSC-klagomål mail.docx", "A 30543-2024")</f>
        <v/>
      </c>
      <c r="AB2">
        <f>HYPERLINK("https://klasma.github.io/Logging_2021/tillsyn/A 30543-2024 tillsynsbegäran.docx", "A 30543-2024")</f>
        <v/>
      </c>
      <c r="AC2">
        <f>HYPERLINK("https://klasma.github.io/Logging_2021/tillsynsmail/A 30543-2024 tillsynsbegäran mail.docx", "A 30543-2024")</f>
        <v/>
      </c>
      <c r="AD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V3">
        <f>HYPERLINK("https://klasma.github.io/Logging_2021/artfynd/A 40224-2022 artfynd.xlsx", "A 40224-2022")</f>
        <v/>
      </c>
      <c r="W3">
        <f>HYPERLINK("https://klasma.github.io/Logging_2021/kartor/A 40224-2022 karta.png", "A 40224-2022")</f>
        <v/>
      </c>
      <c r="X3">
        <f>HYPERLINK("https://klasma.github.io/Logging_2021/kartor_geotiff/A 40224-2022 georefererad karta.tif", "A 40224-2022")</f>
        <v/>
      </c>
      <c r="Y3">
        <f>HYPERLINK("https://klasma.github.io/Logging_2021/knärot/A 40224-2022 karta knärot.png", "A 40224-2022")</f>
        <v/>
      </c>
      <c r="Z3">
        <f>HYPERLINK("https://klasma.github.io/Logging_2021/klagomål/A 40224-2022 FSC-klagomål.docx", "A 40224-2022")</f>
        <v/>
      </c>
      <c r="AA3">
        <f>HYPERLINK("https://klasma.github.io/Logging_2021/klagomålsmail/A 40224-2022 FSC-klagomål mail.docx", "A 40224-2022")</f>
        <v/>
      </c>
      <c r="AB3">
        <f>HYPERLINK("https://klasma.github.io/Logging_2021/tillsyn/A 40224-2022 tillsynsbegäran.docx", "A 40224-2022")</f>
        <v/>
      </c>
      <c r="AC3">
        <f>HYPERLINK("https://klasma.github.io/Logging_2021/tillsynsmail/A 40224-2022 tillsynsbegäran mail.docx", "A 40224-2022")</f>
        <v/>
      </c>
      <c r="AD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V4">
        <f>HYPERLINK("https://klasma.github.io/Logging_2021/artfynd/A 49329-2025 artfynd.xlsx", "A 49329-2025")</f>
        <v/>
      </c>
      <c r="W4">
        <f>HYPERLINK("https://klasma.github.io/Logging_2021/kartor/A 49329-2025 karta.png", "A 49329-2025")</f>
        <v/>
      </c>
      <c r="X4">
        <f>HYPERLINK("https://klasma.github.io/Logging_2021/kartor_geotiff/A 49329-2025 georefererad karta.tif", "A 49329-2025")</f>
        <v/>
      </c>
      <c r="Z4">
        <f>HYPERLINK("https://klasma.github.io/Logging_2021/klagomål/A 49329-2025 FSC-klagomål.docx", "A 49329-2025")</f>
        <v/>
      </c>
      <c r="AA4">
        <f>HYPERLINK("https://klasma.github.io/Logging_2021/klagomålsmail/A 49329-2025 FSC-klagomål mail.docx", "A 49329-2025")</f>
        <v/>
      </c>
      <c r="AB4">
        <f>HYPERLINK("https://klasma.github.io/Logging_2021/tillsyn/A 49329-2025 tillsynsbegäran.docx", "A 49329-2025")</f>
        <v/>
      </c>
      <c r="AC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V5">
        <f>HYPERLINK("https://klasma.github.io/Logging_2021/artfynd/A 58945-2025 artfynd.xlsx", "A 58945-2025")</f>
        <v/>
      </c>
      <c r="W5">
        <f>HYPERLINK("https://klasma.github.io/Logging_2021/kartor/A 58945-2025 karta.png", "A 58945-2025")</f>
        <v/>
      </c>
      <c r="X5">
        <f>HYPERLINK("https://klasma.github.io/Logging_2021/kartor_geotiff/A 58945-2025 georefererad karta.tif", "A 58945-2025")</f>
        <v/>
      </c>
      <c r="Y5">
        <f>HYPERLINK("https://klasma.github.io/Logging_2021/knärot/A 58945-2025 karta knärot.png", "A 58945-2025")</f>
        <v/>
      </c>
      <c r="Z5">
        <f>HYPERLINK("https://klasma.github.io/Logging_2021/klagomål/A 58945-2025 FSC-klagomål.docx", "A 58945-2025")</f>
        <v/>
      </c>
      <c r="AA5">
        <f>HYPERLINK("https://klasma.github.io/Logging_2021/klagomålsmail/A 58945-2025 FSC-klagomål mail.docx", "A 58945-2025")</f>
        <v/>
      </c>
      <c r="AB5">
        <f>HYPERLINK("https://klasma.github.io/Logging_2021/tillsyn/A 58945-2025 tillsynsbegäran.docx", "A 58945-2025")</f>
        <v/>
      </c>
      <c r="AC5">
        <f>HYPERLINK("https://klasma.github.io/Logging_2021/tillsynsmail/A 58945-2025 tillsynsbegäran mail.docx", "A 58945-2025")</f>
        <v/>
      </c>
      <c r="AD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s="2" t="inlineStr">
        <is>
          <t>Garnlav
Dropptaggsvamp
Kolflarnlav
Lunglav
Mörk kolflarnlav
Tallticka
Ullticka
Vedskivlav
Mindre märgborre
Spillkråka
Tjäder
Fläcknycklar</t>
        </is>
      </c>
      <c r="V6">
        <f>HYPERLINK("https://klasma.github.io/Logging_2021/artfynd/A 37715-2025 artfynd.xlsx", "A 37715-2025")</f>
        <v/>
      </c>
      <c r="W6">
        <f>HYPERLINK("https://klasma.github.io/Logging_2021/kartor/A 37715-2025 karta.png", "A 37715-2025")</f>
        <v/>
      </c>
      <c r="X6">
        <f>HYPERLINK("https://klasma.github.io/Logging_2021/kartor_geotiff/A 37715-2025 georefererad karta.tif", "A 37715-2025")</f>
        <v/>
      </c>
      <c r="Z6">
        <f>HYPERLINK("https://klasma.github.io/Logging_2021/klagomål/A 37715-2025 FSC-klagomål.docx", "A 37715-2025")</f>
        <v/>
      </c>
      <c r="AA6">
        <f>HYPERLINK("https://klasma.github.io/Logging_2021/klagomålsmail/A 37715-2025 FSC-klagomål mail.docx", "A 37715-2025")</f>
        <v/>
      </c>
      <c r="AB6">
        <f>HYPERLINK("https://klasma.github.io/Logging_2021/tillsyn/A 37715-2025 tillsynsbegäran.docx", "A 37715-2025")</f>
        <v/>
      </c>
      <c r="AC6">
        <f>HYPERLINK("https://klasma.github.io/Logging_2021/tillsynsmail/A 37715-2025 tillsynsbegäran mail.docx", "A 37715-2025")</f>
        <v/>
      </c>
      <c r="AD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s="2" t="inlineStr">
        <is>
          <t>Garnlav
Dropptaggsvamp
Kolflarnlav
Mörk kolflarnlav
Tallticka
Tretåig hackspett
Vaddporing
Mindre märgborre
Spillkråka
Tjäder
Revlummer</t>
        </is>
      </c>
      <c r="V7">
        <f>HYPERLINK("https://klasma.github.io/Logging_2021/artfynd/A 63676-2025 artfynd.xlsx", "A 63676-2025")</f>
        <v/>
      </c>
      <c r="W7">
        <f>HYPERLINK("https://klasma.github.io/Logging_2021/kartor/A 63676-2025 karta.png", "A 63676-2025")</f>
        <v/>
      </c>
      <c r="X7">
        <f>HYPERLINK("https://klasma.github.io/Logging_2021/kartor_geotiff/A 63676-2025 georefererad karta.tif", "A 63676-2025")</f>
        <v/>
      </c>
      <c r="Z7">
        <f>HYPERLINK("https://klasma.github.io/Logging_2021/klagomål/A 63676-2025 FSC-klagomål.docx", "A 63676-2025")</f>
        <v/>
      </c>
      <c r="AA7">
        <f>HYPERLINK("https://klasma.github.io/Logging_2021/klagomålsmail/A 63676-2025 FSC-klagomål mail.docx", "A 63676-2025")</f>
        <v/>
      </c>
      <c r="AB7">
        <f>HYPERLINK("https://klasma.github.io/Logging_2021/tillsyn/A 63676-2025 tillsynsbegäran.docx", "A 63676-2025")</f>
        <v/>
      </c>
      <c r="AC7">
        <f>HYPERLINK("https://klasma.github.io/Logging_2021/tillsynsmail/A 63676-2025 tillsynsbegäran mail.docx", "A 63676-2025")</f>
        <v/>
      </c>
      <c r="AD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46223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s="2" t="inlineStr">
        <is>
          <t>Garnlav
Knärot
Fjällig taggsvamp s.str.
Orange taggsvamp
Rynkskinn
Tretåig hackspett
Ullticka
Trådticka
Vedticka
Tjäder</t>
        </is>
      </c>
      <c r="V8">
        <f>HYPERLINK("https://klasma.github.io/Logging_2021/artfynd/A 11713-2025 artfynd.xlsx", "A 11713-2025")</f>
        <v/>
      </c>
      <c r="W8">
        <f>HYPERLINK("https://klasma.github.io/Logging_2021/kartor/A 11713-2025 karta.png", "A 11713-2025")</f>
        <v/>
      </c>
      <c r="X8">
        <f>HYPERLINK("https://klasma.github.io/Logging_2021/kartor_geotiff/A 11713-2025 georefererad karta.tif", "A 11713-2025")</f>
        <v/>
      </c>
      <c r="Y8">
        <f>HYPERLINK("https://klasma.github.io/Logging_2021/knärot/A 11713-2025 karta knärot.png", "A 11713-2025")</f>
        <v/>
      </c>
      <c r="Z8">
        <f>HYPERLINK("https://klasma.github.io/Logging_2021/klagomål/A 11713-2025 FSC-klagomål.docx", "A 11713-2025")</f>
        <v/>
      </c>
      <c r="AA8">
        <f>HYPERLINK("https://klasma.github.io/Logging_2021/klagomålsmail/A 11713-2025 FSC-klagomål mail.docx", "A 11713-2025")</f>
        <v/>
      </c>
      <c r="AB8">
        <f>HYPERLINK("https://klasma.github.io/Logging_2021/tillsyn/A 11713-2025 tillsynsbegäran.docx", "A 11713-2025")</f>
        <v/>
      </c>
      <c r="AC8">
        <f>HYPERLINK("https://klasma.github.io/Logging_2021/tillsynsmail/A 11713-2025 tillsynsbegäran mail.docx", "A 11713-2025")</f>
        <v/>
      </c>
      <c r="AD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46223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s="2" t="inlineStr">
        <is>
          <t>Vridfingersvamp
Lutvaxing
Blodvaxing
Gulvaxing
Hagfingersvamp
Honungsvaxing
Kantarellvaxing
Tvåblad
Vitvaxing agg.
Ängsvaxing agg.</t>
        </is>
      </c>
      <c r="V9">
        <f>HYPERLINK("https://klasma.github.io/Logging_2021/artfynd/A 57979-2025 artfynd.xlsx", "A 57979-2025")</f>
        <v/>
      </c>
      <c r="W9">
        <f>HYPERLINK("https://klasma.github.io/Logging_2021/kartor/A 57979-2025 karta.png", "A 57979-2025")</f>
        <v/>
      </c>
      <c r="X9">
        <f>HYPERLINK("https://klasma.github.io/Logging_2021/kartor_geotiff/A 57979-2025 georefererad karta.tif", "A 57979-2025")</f>
        <v/>
      </c>
      <c r="Z9">
        <f>HYPERLINK("https://klasma.github.io/Logging_2021/klagomål/A 57979-2025 FSC-klagomål.docx", "A 57979-2025")</f>
        <v/>
      </c>
      <c r="AA9">
        <f>HYPERLINK("https://klasma.github.io/Logging_2021/klagomålsmail/A 57979-2025 FSC-klagomål mail.docx", "A 57979-2025")</f>
        <v/>
      </c>
      <c r="AB9">
        <f>HYPERLINK("https://klasma.github.io/Logging_2021/tillsyn/A 57979-2025 tillsynsbegäran.docx", "A 57979-2025")</f>
        <v/>
      </c>
      <c r="AC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46223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s="2" t="inlineStr">
        <is>
          <t>Garnlav
Knärot
Dropptaggsvamp
Kolflarnlav
Mörk kolflarnlav
Tretåig hackspett
Vaddporing
Bollvitmossa
Spillkråka
Tjäder</t>
        </is>
      </c>
      <c r="V10">
        <f>HYPERLINK("https://klasma.github.io/Logging_2021/artfynd/A 62461-2025 artfynd.xlsx", "A 62461-2025")</f>
        <v/>
      </c>
      <c r="W10">
        <f>HYPERLINK("https://klasma.github.io/Logging_2021/kartor/A 62461-2025 karta.png", "A 62461-2025")</f>
        <v/>
      </c>
      <c r="X10">
        <f>HYPERLINK("https://klasma.github.io/Logging_2021/kartor_geotiff/A 62461-2025 georefererad karta.tif", "A 62461-2025")</f>
        <v/>
      </c>
      <c r="Y10">
        <f>HYPERLINK("https://klasma.github.io/Logging_2021/knärot/A 62461-2025 karta knärot.png", "A 62461-2025")</f>
        <v/>
      </c>
      <c r="Z10">
        <f>HYPERLINK("https://klasma.github.io/Logging_2021/klagomål/A 62461-2025 FSC-klagomål.docx", "A 62461-2025")</f>
        <v/>
      </c>
      <c r="AA10">
        <f>HYPERLINK("https://klasma.github.io/Logging_2021/klagomålsmail/A 62461-2025 FSC-klagomål mail.docx", "A 62461-2025")</f>
        <v/>
      </c>
      <c r="AB10">
        <f>HYPERLINK("https://klasma.github.io/Logging_2021/tillsyn/A 62461-2025 tillsynsbegäran.docx", "A 62461-2025")</f>
        <v/>
      </c>
      <c r="AC10">
        <f>HYPERLINK("https://klasma.github.io/Logging_2021/tillsynsmail/A 62461-2025 tillsynsbegäran mail.docx", "A 62461-2025")</f>
        <v/>
      </c>
      <c r="AD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46223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s="2" t="inlineStr">
        <is>
          <t>Garnlav
Knärot
Dropptaggsvamp
Kolflarnlav
Mörk kolflarnlav
Tallticka
Tretåig hackspett
Mindre märgborre
Tjäder</t>
        </is>
      </c>
      <c r="V11">
        <f>HYPERLINK("https://klasma.github.io/Logging_2021/artfynd/A 18713-2026 artfynd.xlsx", "A 18713-2026")</f>
        <v/>
      </c>
      <c r="W11">
        <f>HYPERLINK("https://klasma.github.io/Logging_2021/kartor/A 18713-2026 karta.png", "A 18713-2026")</f>
        <v/>
      </c>
      <c r="X11">
        <f>HYPERLINK("https://klasma.github.io/Logging_2021/kartor_geotiff/A 18713-2026 georefererad karta.tif", "A 18713-2026")</f>
        <v/>
      </c>
      <c r="Y11">
        <f>HYPERLINK("https://klasma.github.io/Logging_2021/knärot/A 18713-2026 karta knärot.png", "A 18713-2026")</f>
        <v/>
      </c>
      <c r="Z11">
        <f>HYPERLINK("https://klasma.github.io/Logging_2021/klagomål/A 18713-2026 FSC-klagomål.docx", "A 18713-2026")</f>
        <v/>
      </c>
      <c r="AA11">
        <f>HYPERLINK("https://klasma.github.io/Logging_2021/klagomålsmail/A 18713-2026 FSC-klagomål mail.docx", "A 18713-2026")</f>
        <v/>
      </c>
      <c r="AB11">
        <f>HYPERLINK("https://klasma.github.io/Logging_2021/tillsyn/A 18713-2026 tillsynsbegäran.docx", "A 18713-2026")</f>
        <v/>
      </c>
      <c r="AC11">
        <f>HYPERLINK("https://klasma.github.io/Logging_2021/tillsynsmail/A 18713-2026 tillsynsbegäran mail.docx", "A 18713-2026")</f>
        <v/>
      </c>
      <c r="AD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46223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s="2" t="inlineStr">
        <is>
          <t>Garnlav
Dvärgbägarlav
Mörk kolflarnlav
Tallticka
Vedskivlav
Mindre märgborre
Nästlav
Tjäder</t>
        </is>
      </c>
      <c r="V12">
        <f>HYPERLINK("https://klasma.github.io/Logging_2021/artfynd/A 6640-2026 artfynd.xlsx", "A 6640-2026")</f>
        <v/>
      </c>
      <c r="W12">
        <f>HYPERLINK("https://klasma.github.io/Logging_2021/kartor/A 6640-2026 karta.png", "A 6640-2026")</f>
        <v/>
      </c>
      <c r="X12">
        <f>HYPERLINK("https://klasma.github.io/Logging_2021/kartor_geotiff/A 6640-2026 georefererad karta.tif", "A 6640-2026")</f>
        <v/>
      </c>
      <c r="Z12">
        <f>HYPERLINK("https://klasma.github.io/Logging_2021/klagomål/A 6640-2026 FSC-klagomål.docx", "A 6640-2026")</f>
        <v/>
      </c>
      <c r="AA12">
        <f>HYPERLINK("https://klasma.github.io/Logging_2021/klagomålsmail/A 6640-2026 FSC-klagomål mail.docx", "A 6640-2026")</f>
        <v/>
      </c>
      <c r="AB12">
        <f>HYPERLINK("https://klasma.github.io/Logging_2021/tillsyn/A 6640-2026 tillsynsbegäran.docx", "A 6640-2026")</f>
        <v/>
      </c>
      <c r="AC12">
        <f>HYPERLINK("https://klasma.github.io/Logging_2021/tillsynsmail/A 6640-2026 tillsynsbegäran mail.docx", "A 6640-2026")</f>
        <v/>
      </c>
      <c r="AD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s="2" t="inlineStr">
        <is>
          <t>Garnlav
Knärot
Kattfotslav
Tretåig hackspett
Ullticka
Vedskivlav
Vedticka</t>
        </is>
      </c>
      <c r="V13">
        <f>HYPERLINK("https://klasma.github.io/Logging_2021/artfynd/A 33963-2025 artfynd.xlsx", "A 33963-2025")</f>
        <v/>
      </c>
      <c r="W13">
        <f>HYPERLINK("https://klasma.github.io/Logging_2021/kartor/A 33963-2025 karta.png", "A 33963-2025")</f>
        <v/>
      </c>
      <c r="X13">
        <f>HYPERLINK("https://klasma.github.io/Logging_2021/kartor_geotiff/A 33963-2025 georefererad karta.tif", "A 33963-2025")</f>
        <v/>
      </c>
      <c r="Y13">
        <f>HYPERLINK("https://klasma.github.io/Logging_2021/knärot/A 33963-2025 karta knärot.png", "A 33963-2025")</f>
        <v/>
      </c>
      <c r="Z13">
        <f>HYPERLINK("https://klasma.github.io/Logging_2021/klagomål/A 33963-2025 FSC-klagomål.docx", "A 33963-2025")</f>
        <v/>
      </c>
      <c r="AA13">
        <f>HYPERLINK("https://klasma.github.io/Logging_2021/klagomålsmail/A 33963-2025 FSC-klagomål mail.docx", "A 33963-2025")</f>
        <v/>
      </c>
      <c r="AB13">
        <f>HYPERLINK("https://klasma.github.io/Logging_2021/tillsyn/A 33963-2025 tillsynsbegäran.docx", "A 33963-2025")</f>
        <v/>
      </c>
      <c r="AC13">
        <f>HYPERLINK("https://klasma.github.io/Logging_2021/tillsynsmail/A 33963-2025 tillsynsbegäran mail.docx", "A 33963-2025")</f>
        <v/>
      </c>
      <c r="AD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46223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s="2" t="inlineStr">
        <is>
          <t>Garnlav
Mjölig dropplav
Kattfotslav
Rosenticka
Rynkskinn
Violettgrå tagellav</t>
        </is>
      </c>
      <c r="V14">
        <f>HYPERLINK("https://klasma.github.io/Logging_2021/artfynd/A 46316-2021 artfynd.xlsx", "A 46316-2021")</f>
        <v/>
      </c>
      <c r="W14">
        <f>HYPERLINK("https://klasma.github.io/Logging_2021/kartor/A 46316-2021 karta.png", "A 46316-2021")</f>
        <v/>
      </c>
      <c r="X14">
        <f>HYPERLINK("https://klasma.github.io/Logging_2021/kartor_geotiff/A 46316-2021 georefererad karta.tif", "A 46316-2021")</f>
        <v/>
      </c>
      <c r="Z14">
        <f>HYPERLINK("https://klasma.github.io/Logging_2021/klagomål/A 46316-2021 FSC-klagomål.docx", "A 46316-2021")</f>
        <v/>
      </c>
      <c r="AA14">
        <f>HYPERLINK("https://klasma.github.io/Logging_2021/klagomålsmail/A 46316-2021 FSC-klagomål mail.docx", "A 46316-2021")</f>
        <v/>
      </c>
      <c r="AB14">
        <f>HYPERLINK("https://klasma.github.io/Logging_2021/tillsyn/A 46316-2021 tillsynsbegäran.docx", "A 46316-2021")</f>
        <v/>
      </c>
      <c r="AC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46223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s="2" t="inlineStr">
        <is>
          <t>Garnlav
Kolflarnlav
Mörk kolflarnlav
Rynkskinn
Mindre märgborre
Tjäder</t>
        </is>
      </c>
      <c r="V15">
        <f>HYPERLINK("https://klasma.github.io/Logging_2021/artfynd/A 6671-2026 artfynd.xlsx", "A 6671-2026")</f>
        <v/>
      </c>
      <c r="W15">
        <f>HYPERLINK("https://klasma.github.io/Logging_2021/kartor/A 6671-2026 karta.png", "A 6671-2026")</f>
        <v/>
      </c>
      <c r="X15">
        <f>HYPERLINK("https://klasma.github.io/Logging_2021/kartor_geotiff/A 6671-2026 georefererad karta.tif", "A 6671-2026")</f>
        <v/>
      </c>
      <c r="Z15">
        <f>HYPERLINK("https://klasma.github.io/Logging_2021/klagomål/A 6671-2026 FSC-klagomål.docx", "A 6671-2026")</f>
        <v/>
      </c>
      <c r="AA15">
        <f>HYPERLINK("https://klasma.github.io/Logging_2021/klagomålsmail/A 6671-2026 FSC-klagomål mail.docx", "A 6671-2026")</f>
        <v/>
      </c>
      <c r="AB15">
        <f>HYPERLINK("https://klasma.github.io/Logging_2021/tillsyn/A 6671-2026 tillsynsbegäran.docx", "A 6671-2026")</f>
        <v/>
      </c>
      <c r="AC15">
        <f>HYPERLINK("https://klasma.github.io/Logging_2021/tillsynsmail/A 6671-2026 tillsynsbegäran mail.docx", "A 6671-2026")</f>
        <v/>
      </c>
      <c r="AD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44504</v>
      </c>
      <c r="E16" s="1" t="n">
        <v>46223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5.6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Doftskinn
Ullticka
Violettgrå tagellav
Stuplav</t>
        </is>
      </c>
      <c r="V16">
        <f>HYPERLINK("https://klasma.github.io/Logging_2021/artfynd/A 62734-2021 artfynd.xlsx", "A 62734-2021")</f>
        <v/>
      </c>
      <c r="W16">
        <f>HYPERLINK("https://klasma.github.io/Logging_2021/kartor/A 62734-2021 karta.png", "A 62734-2021")</f>
        <v/>
      </c>
      <c r="X16">
        <f>HYPERLINK("https://klasma.github.io/Logging_2021/kartor_geotiff/A 62734-2021 georefererad karta.tif", "A 62734-2021")</f>
        <v/>
      </c>
      <c r="Z16">
        <f>HYPERLINK("https://klasma.github.io/Logging_2021/klagomål/A 62734-2021 FSC-klagomål.docx", "A 62734-2021")</f>
        <v/>
      </c>
      <c r="AA16">
        <f>HYPERLINK("https://klasma.github.io/Logging_2021/klagomålsmail/A 62734-2021 FSC-klagomål mail.docx", "A 62734-2021")</f>
        <v/>
      </c>
      <c r="AB16">
        <f>HYPERLINK("https://klasma.github.io/Logging_2021/tillsyn/A 62734-2021 tillsynsbegäran.docx", "A 62734-2021")</f>
        <v/>
      </c>
      <c r="AC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45576</v>
      </c>
      <c r="E17" s="1" t="n">
        <v>46223</v>
      </c>
      <c r="F17" t="inlineStr">
        <is>
          <t>DALARNAS LÄN</t>
        </is>
      </c>
      <c r="G17" t="inlineStr">
        <is>
          <t>VANSBRO</t>
        </is>
      </c>
      <c r="I17" t="n">
        <v>13.4</v>
      </c>
      <c r="J17" t="n">
        <v>0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8</v>
      </c>
      <c r="U17" s="2" t="inlineStr">
        <is>
          <t>Garnlav
Dropptaggsvamp
Kolflarnlav
Mindre märgborre</t>
        </is>
      </c>
      <c r="V17">
        <f>HYPERLINK("https://klasma.github.io/Logging_2021/artfynd/A 45350-2024 artfynd.xlsx", "A 45350-2024")</f>
        <v/>
      </c>
      <c r="W17">
        <f>HYPERLINK("https://klasma.github.io/Logging_2021/kartor/A 45350-2024 karta.png", "A 45350-2024")</f>
        <v/>
      </c>
      <c r="X17">
        <f>HYPERLINK("https://klasma.github.io/Logging_2021/kartor_geotiff/A 45350-2024 georefererad karta.tif", "A 45350-2024")</f>
        <v/>
      </c>
      <c r="Z17">
        <f>HYPERLINK("https://klasma.github.io/Logging_2021/klagomål/A 45350-2024 FSC-klagomål.docx", "A 45350-2024")</f>
        <v/>
      </c>
      <c r="AA17">
        <f>HYPERLINK("https://klasma.github.io/Logging_2021/klagomålsmail/A 45350-2024 FSC-klagomål mail.docx", "A 45350-2024")</f>
        <v/>
      </c>
      <c r="AB17">
        <f>HYPERLINK("https://klasma.github.io/Logging_2021/tillsyn/A 45350-2024 tillsynsbegäran.docx", "A 45350-2024")</f>
        <v/>
      </c>
      <c r="AC17">
        <f>HYPERLINK("https://klasma.github.io/Logging_2021/tillsynsmail/A 45350-2024 tillsynsbegäran mail.docx", "A 45350-2024")</f>
        <v/>
      </c>
    </row>
    <row r="18" ht="15" customHeight="1">
      <c r="A18" t="inlineStr">
        <is>
          <t>A 11477-2026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46083</v>
      </c>
      <c r="E18" s="1" t="n">
        <v>46223</v>
      </c>
      <c r="F18" t="inlineStr">
        <is>
          <t>DALARNAS LÄN</t>
        </is>
      </c>
      <c r="G18" t="inlineStr">
        <is>
          <t>VANSBRO</t>
        </is>
      </c>
      <c r="I18" t="n">
        <v>14.5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5</v>
      </c>
      <c r="U18" s="2" t="inlineStr">
        <is>
          <t>Garnlav
Dvärgbägarlav
Nordtagging
Vedskivlav</t>
        </is>
      </c>
      <c r="V18">
        <f>HYPERLINK("https://klasma.github.io/Logging_2021/artfynd/A 11477-2026 artfynd.xlsx", "A 11477-2026")</f>
        <v/>
      </c>
      <c r="W18">
        <f>HYPERLINK("https://klasma.github.io/Logging_2021/kartor/A 11477-2026 karta.png", "A 11477-2026")</f>
        <v/>
      </c>
      <c r="X18">
        <f>HYPERLINK("https://klasma.github.io/Logging_2021/kartor_geotiff/A 11477-2026 georefererad karta.tif", "A 11477-2026")</f>
        <v/>
      </c>
      <c r="Z18">
        <f>HYPERLINK("https://klasma.github.io/Logging_2021/klagomål/A 11477-2026 FSC-klagomål.docx", "A 11477-2026")</f>
        <v/>
      </c>
      <c r="AA18">
        <f>HYPERLINK("https://klasma.github.io/Logging_2021/klagomålsmail/A 11477-2026 FSC-klagomål mail.docx", "A 11477-2026")</f>
        <v/>
      </c>
      <c r="AB18">
        <f>HYPERLINK("https://klasma.github.io/Logging_2021/tillsyn/A 11477-2026 tillsynsbegäran.docx", "A 11477-2026")</f>
        <v/>
      </c>
      <c r="AC18">
        <f>HYPERLINK("https://klasma.github.io/Logging_2021/tillsynsmail/A 11477-2026 tillsynsbegäran mail.docx", "A 11477-2026")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46223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s="2" t="inlineStr">
        <is>
          <t>Garnlav
Knärot
Dropptaggsvamp
Mörk kolflarnlav</t>
        </is>
      </c>
      <c r="V19">
        <f>HYPERLINK("https://klasma.github.io/Logging_2021/artfynd/A 13339-2025 artfynd.xlsx", "A 13339-2025")</f>
        <v/>
      </c>
      <c r="W19">
        <f>HYPERLINK("https://klasma.github.io/Logging_2021/kartor/A 13339-2025 karta.png", "A 13339-2025")</f>
        <v/>
      </c>
      <c r="X19">
        <f>HYPERLINK("https://klasma.github.io/Logging_2021/kartor_geotiff/A 13339-2025 georefererad karta.tif", "A 13339-2025")</f>
        <v/>
      </c>
      <c r="Y19">
        <f>HYPERLINK("https://klasma.github.io/Logging_2021/knärot/A 13339-2025 karta knärot.png", "A 13339-2025")</f>
        <v/>
      </c>
      <c r="Z19">
        <f>HYPERLINK("https://klasma.github.io/Logging_2021/klagomål/A 13339-2025 FSC-klagomål.docx", "A 13339-2025")</f>
        <v/>
      </c>
      <c r="AA19">
        <f>HYPERLINK("https://klasma.github.io/Logging_2021/klagomålsmail/A 13339-2025 FSC-klagomål mail.docx", "A 13339-2025")</f>
        <v/>
      </c>
      <c r="AB19">
        <f>HYPERLINK("https://klasma.github.io/Logging_2021/tillsyn/A 13339-2025 tillsynsbegäran.docx", "A 13339-2025")</f>
        <v/>
      </c>
      <c r="AC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46223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s="2" t="inlineStr">
        <is>
          <t>Knärot
Mörk kolflarnlav
Ullticka
Tjäder</t>
        </is>
      </c>
      <c r="V20">
        <f>HYPERLINK("https://klasma.github.io/Logging_2021/artfynd/A 13344-2025 artfynd.xlsx", "A 13344-2025")</f>
        <v/>
      </c>
      <c r="W20">
        <f>HYPERLINK("https://klasma.github.io/Logging_2021/kartor/A 13344-2025 karta.png", "A 13344-2025")</f>
        <v/>
      </c>
      <c r="X20">
        <f>HYPERLINK("https://klasma.github.io/Logging_2021/kartor_geotiff/A 13344-2025 georefererad karta.tif", "A 13344-2025")</f>
        <v/>
      </c>
      <c r="Y20">
        <f>HYPERLINK("https://klasma.github.io/Logging_2021/knärot/A 13344-2025 karta knärot.png", "A 13344-2025")</f>
        <v/>
      </c>
      <c r="Z20">
        <f>HYPERLINK("https://klasma.github.io/Logging_2021/klagomål/A 13344-2025 FSC-klagomål.docx", "A 13344-2025")</f>
        <v/>
      </c>
      <c r="AA20">
        <f>HYPERLINK("https://klasma.github.io/Logging_2021/klagomålsmail/A 13344-2025 FSC-klagomål mail.docx", "A 13344-2025")</f>
        <v/>
      </c>
      <c r="AB20">
        <f>HYPERLINK("https://klasma.github.io/Logging_2021/tillsyn/A 13344-2025 tillsynsbegäran.docx", "A 13344-2025")</f>
        <v/>
      </c>
      <c r="AC20">
        <f>HYPERLINK("https://klasma.github.io/Logging_2021/tillsynsmail/A 13344-2025 tillsynsbegäran mail.docx", "A 13344-2025")</f>
        <v/>
      </c>
      <c r="AD20">
        <f>HYPERLINK("https://klasma.github.io/Logging_2021/fåglar/A 13344-2025 prioriterade fågelarter.docx", "A 13344-2025")</f>
        <v/>
      </c>
    </row>
    <row r="21" ht="15" customHeight="1">
      <c r="A21" t="inlineStr">
        <is>
          <t>A 33962-2025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45842</v>
      </c>
      <c r="E21" s="1" t="n">
        <v>46223</v>
      </c>
      <c r="F21" t="inlineStr">
        <is>
          <t>DALARNAS LÄN</t>
        </is>
      </c>
      <c r="G21" t="inlineStr">
        <is>
          <t>VANSBRO</t>
        </is>
      </c>
      <c r="I21" t="n">
        <v>7</v>
      </c>
      <c r="J21" t="n">
        <v>1</v>
      </c>
      <c r="K21" t="n">
        <v>1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4</v>
      </c>
      <c r="T21" t="n">
        <v>12</v>
      </c>
      <c r="U21" s="2" t="inlineStr">
        <is>
          <t>Garnlav
Knärot
Lunglav
Vedticka</t>
        </is>
      </c>
      <c r="V21">
        <f>HYPERLINK("https://klasma.github.io/Logging_2021/artfynd/A 33962-2025 artfynd.xlsx", "A 33962-2025")</f>
        <v/>
      </c>
      <c r="W21">
        <f>HYPERLINK("https://klasma.github.io/Logging_2021/kartor/A 33962-2025 karta.png", "A 33962-2025")</f>
        <v/>
      </c>
      <c r="X21">
        <f>HYPERLINK("https://klasma.github.io/Logging_2021/kartor_geotiff/A 33962-2025 georefererad karta.tif", "A 33962-2025")</f>
        <v/>
      </c>
      <c r="Y21">
        <f>HYPERLINK("https://klasma.github.io/Logging_2021/knärot/A 33962-2025 karta knärot.png", "A 33962-2025")</f>
        <v/>
      </c>
      <c r="Z21">
        <f>HYPERLINK("https://klasma.github.io/Logging_2021/klagomål/A 33962-2025 FSC-klagomål.docx", "A 33962-2025")</f>
        <v/>
      </c>
      <c r="AA21">
        <f>HYPERLINK("https://klasma.github.io/Logging_2021/klagomålsmail/A 33962-2025 FSC-klagomål mail.docx", "A 33962-2025")</f>
        <v/>
      </c>
      <c r="AB21">
        <f>HYPERLINK("https://klasma.github.io/Logging_2021/tillsyn/A 33962-2025 tillsynsbegäran.docx", "A 33962-2025")</f>
        <v/>
      </c>
      <c r="AC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46223</v>
      </c>
      <c r="F22" t="inlineStr">
        <is>
          <t>DALARNAS LÄN</t>
        </is>
      </c>
      <c r="G22" t="inlineStr">
        <is>
          <t>VANSBRO</t>
        </is>
      </c>
      <c r="I22" t="n">
        <v>5.5</v>
      </c>
      <c r="J22" t="n">
        <v>2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5</v>
      </c>
      <c r="U22" s="2" t="inlineStr">
        <is>
          <t>Knärot
Kolflarnlav
Tretåig hackspett</t>
        </is>
      </c>
      <c r="V22">
        <f>HYPERLINK("https://klasma.github.io/Logging_2021/artfynd/A 33005-2025 artfynd.xlsx", "A 33005-2025")</f>
        <v/>
      </c>
      <c r="W22">
        <f>HYPERLINK("https://klasma.github.io/Logging_2021/kartor/A 33005-2025 karta.png", "A 33005-2025")</f>
        <v/>
      </c>
      <c r="X22">
        <f>HYPERLINK("https://klasma.github.io/Logging_2021/kartor_geotiff/A 33005-2025 georefererad karta.tif", "A 33005-2025")</f>
        <v/>
      </c>
      <c r="Y22">
        <f>HYPERLINK("https://klasma.github.io/Logging_2021/knärot/A 33005-2025 karta knärot.png", "A 33005-2025")</f>
        <v/>
      </c>
      <c r="Z22">
        <f>HYPERLINK("https://klasma.github.io/Logging_2021/klagomål/A 33005-2025 FSC-klagomål.docx", "A 33005-2025")</f>
        <v/>
      </c>
      <c r="AA22">
        <f>HYPERLINK("https://klasma.github.io/Logging_2021/klagomålsmail/A 33005-2025 FSC-klagomål mail.docx", "A 33005-2025")</f>
        <v/>
      </c>
      <c r="AB22">
        <f>HYPERLINK("https://klasma.github.io/Logging_2021/tillsyn/A 33005-2025 tillsynsbegäran.docx", "A 33005-2025")</f>
        <v/>
      </c>
      <c r="AC22">
        <f>HYPERLINK("https://klasma.github.io/Logging_2021/tillsynsmail/A 33005-2025 tillsynsbegäran mail.docx", "A 33005-2025")</f>
        <v/>
      </c>
      <c r="AD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46223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Dropptaggsvamp
Skuggblåslav
Bollvitmossa</t>
        </is>
      </c>
      <c r="V23">
        <f>HYPERLINK("https://klasma.github.io/Logging_2021/artfynd/A 16725-2024 artfynd.xlsx", "A 16725-2024")</f>
        <v/>
      </c>
      <c r="W23">
        <f>HYPERLINK("https://klasma.github.io/Logging_2021/kartor/A 16725-2024 karta.png", "A 16725-2024")</f>
        <v/>
      </c>
      <c r="X23">
        <f>HYPERLINK("https://klasma.github.io/Logging_2021/kartor_geotiff/A 16725-2024 georefererad karta.tif", "A 16725-2024")</f>
        <v/>
      </c>
      <c r="Z23">
        <f>HYPERLINK("https://klasma.github.io/Logging_2021/klagomål/A 16725-2024 FSC-klagomål.docx", "A 16725-2024")</f>
        <v/>
      </c>
      <c r="AA23">
        <f>HYPERLINK("https://klasma.github.io/Logging_2021/klagomålsmail/A 16725-2024 FSC-klagomål mail.docx", "A 16725-2024")</f>
        <v/>
      </c>
      <c r="AB23">
        <f>HYPERLINK("https://klasma.github.io/Logging_2021/tillsyn/A 16725-2024 tillsynsbegäran.docx", "A 16725-2024")</f>
        <v/>
      </c>
      <c r="AC23">
        <f>HYPERLINK("https://klasma.github.io/Logging_2021/tillsynsmail/A 16725-2024 tillsynsbegäran mail.docx", "A 16725-2024")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46223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s="2" t="inlineStr">
        <is>
          <t>Garnlav
Kortskaftad ärgspik
Vedticka</t>
        </is>
      </c>
      <c r="V24">
        <f>HYPERLINK("https://klasma.github.io/Logging_2021/artfynd/A 27504-2025 artfynd.xlsx", "A 27504-2025")</f>
        <v/>
      </c>
      <c r="W24">
        <f>HYPERLINK("https://klasma.github.io/Logging_2021/kartor/A 27504-2025 karta.png", "A 27504-2025")</f>
        <v/>
      </c>
      <c r="X24">
        <f>HYPERLINK("https://klasma.github.io/Logging_2021/kartor_geotiff/A 27504-2025 georefererad karta.tif", "A 27504-2025")</f>
        <v/>
      </c>
      <c r="Z24">
        <f>HYPERLINK("https://klasma.github.io/Logging_2021/klagomål/A 27504-2025 FSC-klagomål.docx", "A 27504-2025")</f>
        <v/>
      </c>
      <c r="AA24">
        <f>HYPERLINK("https://klasma.github.io/Logging_2021/klagomålsmail/A 27504-2025 FSC-klagomål mail.docx", "A 27504-2025")</f>
        <v/>
      </c>
      <c r="AB24">
        <f>HYPERLINK("https://klasma.github.io/Logging_2021/tillsyn/A 27504-2025 tillsynsbegäran.docx", "A 27504-2025")</f>
        <v/>
      </c>
      <c r="AC24">
        <f>HYPERLINK("https://klasma.github.io/Logging_2021/tillsynsmail/A 27504-2025 tillsynsbegäran mail.docx", "A 27504-2025")</f>
        <v/>
      </c>
    </row>
    <row r="25" ht="15" customHeight="1">
      <c r="A25" t="inlineStr">
        <is>
          <t>A 11433-2025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45726</v>
      </c>
      <c r="E25" s="1" t="n">
        <v>46223</v>
      </c>
      <c r="F25" t="inlineStr">
        <is>
          <t>DALARNAS LÄN</t>
        </is>
      </c>
      <c r="G25" t="inlineStr">
        <is>
          <t>VANSBRO</t>
        </is>
      </c>
      <c r="I25" t="n">
        <v>7.5</v>
      </c>
      <c r="J25" t="n">
        <v>1</v>
      </c>
      <c r="K25" t="n">
        <v>1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24</v>
      </c>
      <c r="U25" s="2" t="inlineStr">
        <is>
          <t>Garnlav
Knärot
Bollvitmossa</t>
        </is>
      </c>
      <c r="V25">
        <f>HYPERLINK("https://klasma.github.io/Logging_2021/artfynd/A 11433-2025 artfynd.xlsx", "A 11433-2025")</f>
        <v/>
      </c>
      <c r="W25">
        <f>HYPERLINK("https://klasma.github.io/Logging_2021/kartor/A 11433-2025 karta.png", "A 11433-2025")</f>
        <v/>
      </c>
      <c r="X25">
        <f>HYPERLINK("https://klasma.github.io/Logging_2021/kartor_geotiff/A 11433-2025 georefererad karta.tif", "A 11433-2025")</f>
        <v/>
      </c>
      <c r="Y25">
        <f>HYPERLINK("https://klasma.github.io/Logging_2021/knärot/A 11433-2025 karta knärot.png", "A 11433-2025")</f>
        <v/>
      </c>
      <c r="Z25">
        <f>HYPERLINK("https://klasma.github.io/Logging_2021/klagomål/A 11433-2025 FSC-klagomål.docx", "A 11433-2025")</f>
        <v/>
      </c>
      <c r="AA25">
        <f>HYPERLINK("https://klasma.github.io/Logging_2021/klagomålsmail/A 11433-2025 FSC-klagomål mail.docx", "A 11433-2025")</f>
        <v/>
      </c>
      <c r="AB25">
        <f>HYPERLINK("https://klasma.github.io/Logging_2021/tillsyn/A 11433-2025 tillsynsbegäran.docx", "A 11433-2025")</f>
        <v/>
      </c>
      <c r="AC25">
        <f>HYPERLINK("https://klasma.github.io/Logging_2021/tillsynsmail/A 11433-2025 tillsynsbegäran mail.docx", "A 11433-2025")</f>
        <v/>
      </c>
    </row>
    <row r="26" ht="15" customHeight="1">
      <c r="A26" t="inlineStr">
        <is>
          <t>A 33898-2022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46223</v>
      </c>
      <c r="F26" t="inlineStr">
        <is>
          <t>DALARNAS LÄN</t>
        </is>
      </c>
      <c r="G26" t="inlineStr">
        <is>
          <t>VANSBRO</t>
        </is>
      </c>
      <c r="I26" t="n">
        <v>2.8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Knärot
Kungsfågel</t>
        </is>
      </c>
      <c r="V26">
        <f>HYPERLINK("https://klasma.github.io/Logging_2021/artfynd/A 33898-2022 artfynd.xlsx", "A 33898-2022")</f>
        <v/>
      </c>
      <c r="W26">
        <f>HYPERLINK("https://klasma.github.io/Logging_2021/kartor/A 33898-2022 karta.png", "A 33898-2022")</f>
        <v/>
      </c>
      <c r="X26">
        <f>HYPERLINK("https://klasma.github.io/Logging_2021/kartor_geotiff/A 33898-2022 georefererad karta.tif", "A 33898-2022")</f>
        <v/>
      </c>
      <c r="Y26">
        <f>HYPERLINK("https://klasma.github.io/Logging_2021/knärot/A 33898-2022 karta knärot.png", "A 33898-2022")</f>
        <v/>
      </c>
      <c r="Z26">
        <f>HYPERLINK("https://klasma.github.io/Logging_2021/klagomål/A 33898-2022 FSC-klagomål.docx", "A 33898-2022")</f>
        <v/>
      </c>
      <c r="AA26">
        <f>HYPERLINK("https://klasma.github.io/Logging_2021/klagomålsmail/A 33898-2022 FSC-klagomål mail.docx", "A 33898-2022")</f>
        <v/>
      </c>
      <c r="AB26">
        <f>HYPERLINK("https://klasma.github.io/Logging_2021/tillsyn/A 33898-2022 tillsynsbegäran.docx", "A 33898-2022")</f>
        <v/>
      </c>
      <c r="AC26">
        <f>HYPERLINK("https://klasma.github.io/Logging_2021/tillsynsmail/A 33898-2022 tillsynsbegäran mail.docx", "A 33898-2022")</f>
        <v/>
      </c>
    </row>
    <row r="27" ht="15" customHeight="1">
      <c r="A27" t="inlineStr">
        <is>
          <t>A 13323-2025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46223</v>
      </c>
      <c r="F27" t="inlineStr">
        <is>
          <t>DALARNAS LÄN</t>
        </is>
      </c>
      <c r="G27" t="inlineStr">
        <is>
          <t>VANSBRO</t>
        </is>
      </c>
      <c r="I27" t="n">
        <v>2.1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4</v>
      </c>
      <c r="U27" s="2" t="inlineStr">
        <is>
          <t>Knärot
Ullticka</t>
        </is>
      </c>
      <c r="V27">
        <f>HYPERLINK("https://klasma.github.io/Logging_2021/artfynd/A 13323-2025 artfynd.xlsx", "A 13323-2025")</f>
        <v/>
      </c>
      <c r="W27">
        <f>HYPERLINK("https://klasma.github.io/Logging_2021/kartor/A 13323-2025 karta.png", "A 13323-2025")</f>
        <v/>
      </c>
      <c r="X27">
        <f>HYPERLINK("https://klasma.github.io/Logging_2021/kartor_geotiff/A 13323-2025 georefererad karta.tif", "A 13323-2025")</f>
        <v/>
      </c>
      <c r="Y27">
        <f>HYPERLINK("https://klasma.github.io/Logging_2021/knärot/A 13323-2025 karta knärot.png", "A 13323-2025")</f>
        <v/>
      </c>
      <c r="Z27">
        <f>HYPERLINK("https://klasma.github.io/Logging_2021/klagomål/A 13323-2025 FSC-klagomål.docx", "A 13323-2025")</f>
        <v/>
      </c>
      <c r="AA27">
        <f>HYPERLINK("https://klasma.github.io/Logging_2021/klagomålsmail/A 13323-2025 FSC-klagomål mail.docx", "A 13323-2025")</f>
        <v/>
      </c>
      <c r="AB27">
        <f>HYPERLINK("https://klasma.github.io/Logging_2021/tillsyn/A 13323-2025 tillsynsbegäran.docx", "A 13323-2025")</f>
        <v/>
      </c>
      <c r="AC27">
        <f>HYPERLINK("https://klasma.github.io/Logging_2021/tillsynsmail/A 13323-2025 tillsynsbegäran mail.docx", "A 13323-2025")</f>
        <v/>
      </c>
    </row>
    <row r="28" ht="15" customHeight="1">
      <c r="A28" t="inlineStr">
        <is>
          <t>A 1691-2026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46223</v>
      </c>
      <c r="F28" t="inlineStr">
        <is>
          <t>DALARNAS LÄN</t>
        </is>
      </c>
      <c r="G28" t="inlineStr">
        <is>
          <t>VANSBRO</t>
        </is>
      </c>
      <c r="I28" t="n">
        <v>6.3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3</v>
      </c>
      <c r="U28" s="2" t="inlineStr">
        <is>
          <t>Dropptaggsvamp
Motaggsvamp</t>
        </is>
      </c>
      <c r="V28">
        <f>HYPERLINK("https://klasma.github.io/Logging_2021/artfynd/A 1691-2026 artfynd.xlsx", "A 1691-2026")</f>
        <v/>
      </c>
      <c r="W28">
        <f>HYPERLINK("https://klasma.github.io/Logging_2021/kartor/A 1691-2026 karta.png", "A 1691-2026")</f>
        <v/>
      </c>
      <c r="X28">
        <f>HYPERLINK("https://klasma.github.io/Logging_2021/kartor_geotiff/A 1691-2026 georefererad karta.tif", "A 1691-2026")</f>
        <v/>
      </c>
      <c r="Z28">
        <f>HYPERLINK("https://klasma.github.io/Logging_2021/klagomål/A 1691-2026 FSC-klagomål.docx", "A 1691-2026")</f>
        <v/>
      </c>
      <c r="AA28">
        <f>HYPERLINK("https://klasma.github.io/Logging_2021/klagomålsmail/A 1691-2026 FSC-klagomål mail.docx", "A 1691-2026")</f>
        <v/>
      </c>
      <c r="AB28">
        <f>HYPERLINK("https://klasma.github.io/Logging_2021/tillsyn/A 1691-2026 tillsynsbegäran.docx", "A 1691-2026")</f>
        <v/>
      </c>
      <c r="AC28">
        <f>HYPERLINK("https://klasma.github.io/Logging_2021/tillsynsmail/A 1691-2026 tillsynsbegäran mail.docx", "A 1691-2026")</f>
        <v/>
      </c>
    </row>
    <row r="29" ht="15" customHeight="1">
      <c r="A29" t="inlineStr">
        <is>
          <t>A 14475-2024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46223</v>
      </c>
      <c r="F29" t="inlineStr">
        <is>
          <t>DALARNAS LÄN</t>
        </is>
      </c>
      <c r="G29" t="inlineStr">
        <is>
          <t>VANSBRO</t>
        </is>
      </c>
      <c r="I29" t="n">
        <v>20.4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Garnlav
Dropptaggsvamp</t>
        </is>
      </c>
      <c r="V29">
        <f>HYPERLINK("https://klasma.github.io/Logging_2021/artfynd/A 14475-2024 artfynd.xlsx", "A 14475-2024")</f>
        <v/>
      </c>
      <c r="W29">
        <f>HYPERLINK("https://klasma.github.io/Logging_2021/kartor/A 14475-2024 karta.png", "A 14475-2024")</f>
        <v/>
      </c>
      <c r="X29">
        <f>HYPERLINK("https://klasma.github.io/Logging_2021/kartor_geotiff/A 14475-2024 georefererad karta.tif", "A 14475-2024")</f>
        <v/>
      </c>
      <c r="Z29">
        <f>HYPERLINK("https://klasma.github.io/Logging_2021/klagomål/A 14475-2024 FSC-klagomål.docx", "A 14475-2024")</f>
        <v/>
      </c>
      <c r="AA29">
        <f>HYPERLINK("https://klasma.github.io/Logging_2021/klagomålsmail/A 14475-2024 FSC-klagomål mail.docx", "A 14475-2024")</f>
        <v/>
      </c>
      <c r="AB29">
        <f>HYPERLINK("https://klasma.github.io/Logging_2021/tillsyn/A 14475-2024 tillsynsbegäran.docx", "A 14475-2024")</f>
        <v/>
      </c>
      <c r="AC29">
        <f>HYPERLINK("https://klasma.github.io/Logging_2021/tillsynsmail/A 14475-2024 tillsynsbegäran mail.docx", "A 14475-2024")</f>
        <v/>
      </c>
    </row>
    <row r="30" ht="15" customHeight="1">
      <c r="A30" t="inlineStr">
        <is>
          <t>A 19656-2026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46134</v>
      </c>
      <c r="E30" s="1" t="n">
        <v>46223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18.2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s="2" t="inlineStr">
        <is>
          <t>Ängsblåvinge
Berggräsfjäril</t>
        </is>
      </c>
      <c r="V30">
        <f>HYPERLINK("https://klasma.github.io/Logging_2021/artfynd/A 19656-2026 artfynd.xlsx", "A 19656-2026")</f>
        <v/>
      </c>
      <c r="W30">
        <f>HYPERLINK("https://klasma.github.io/Logging_2021/kartor/A 19656-2026 karta.png", "A 19656-2026")</f>
        <v/>
      </c>
      <c r="X30">
        <f>HYPERLINK("https://klasma.github.io/Logging_2021/kartor_geotiff/A 19656-2026 georefererad karta.tif", "A 19656-2026")</f>
        <v/>
      </c>
      <c r="Z30">
        <f>HYPERLINK("https://klasma.github.io/Logging_2021/klagomål/A 19656-2026 FSC-klagomål.docx", "A 19656-2026")</f>
        <v/>
      </c>
      <c r="AA30">
        <f>HYPERLINK("https://klasma.github.io/Logging_2021/klagomålsmail/A 19656-2026 FSC-klagomål mail.docx", "A 19656-2026")</f>
        <v/>
      </c>
      <c r="AB30">
        <f>HYPERLINK("https://klasma.github.io/Logging_2021/tillsyn/A 19656-2026 tillsynsbegäran.docx", "A 19656-2026")</f>
        <v/>
      </c>
      <c r="AC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46223</v>
      </c>
      <c r="F31" t="inlineStr">
        <is>
          <t>DALARNAS LÄN</t>
        </is>
      </c>
      <c r="G31" t="inlineStr">
        <is>
          <t>VANSBRO</t>
        </is>
      </c>
      <c r="I31" t="n">
        <v>0.5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Sädesärla
Orre</t>
        </is>
      </c>
      <c r="V31">
        <f>HYPERLINK("https://klasma.github.io/Logging_2021/artfynd/A 58009-2023 artfynd.xlsx", "A 58009-2023")</f>
        <v/>
      </c>
      <c r="W31">
        <f>HYPERLINK("https://klasma.github.io/Logging_2021/kartor/A 58009-2023 karta.png", "A 58009-2023")</f>
        <v/>
      </c>
      <c r="X31">
        <f>HYPERLINK("https://klasma.github.io/Logging_2021/kartor_geotiff/A 58009-2023 georefererad karta.tif", "A 58009-2023")</f>
        <v/>
      </c>
      <c r="Z31">
        <f>HYPERLINK("https://klasma.github.io/Logging_2021/klagomål/A 58009-2023 FSC-klagomål.docx", "A 58009-2023")</f>
        <v/>
      </c>
      <c r="AA31">
        <f>HYPERLINK("https://klasma.github.io/Logging_2021/klagomålsmail/A 58009-2023 FSC-klagomål mail.docx", "A 58009-2023")</f>
        <v/>
      </c>
      <c r="AB31">
        <f>HYPERLINK("https://klasma.github.io/Logging_2021/tillsyn/A 58009-2023 tillsynsbegäran.docx", "A 58009-2023")</f>
        <v/>
      </c>
      <c r="AC31">
        <f>HYPERLINK("https://klasma.github.io/Logging_2021/tillsynsmail/A 58009-2023 tillsynsbegäran mail.docx", "A 58009-2023")</f>
        <v/>
      </c>
      <c r="AD31">
        <f>HYPERLINK("https://klasma.github.io/Logging_2021/fåglar/A 58009-2023 prioriterade fågelarter.docx", "A 58009-2023")</f>
        <v/>
      </c>
    </row>
    <row r="32" ht="15" customHeight="1">
      <c r="A32" t="inlineStr">
        <is>
          <t>A 45205-2021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44439</v>
      </c>
      <c r="E32" s="1" t="n">
        <v>46223</v>
      </c>
      <c r="F32" t="inlineStr">
        <is>
          <t>DALARNAS LÄN</t>
        </is>
      </c>
      <c r="G32" t="inlineStr">
        <is>
          <t>VANSBRO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HYPERLINK("https://klasma.github.io/Logging_2021/artfynd/A 45205-2021 artfynd.xlsx", "A 45205-2021")</f>
        <v/>
      </c>
      <c r="W32">
        <f>HYPERLINK("https://klasma.github.io/Logging_2021/kartor/A 45205-2021 karta.png", "A 45205-2021")</f>
        <v/>
      </c>
      <c r="X32">
        <f>HYPERLINK("https://klasma.github.io/Logging_2021/kartor_geotiff/A 45205-2021 georefererad karta.tif", "A 45205-2021")</f>
        <v/>
      </c>
      <c r="Z32">
        <f>HYPERLINK("https://klasma.github.io/Logging_2021/klagomål/A 45205-2021 FSC-klagomål.docx", "A 45205-2021")</f>
        <v/>
      </c>
      <c r="AA32">
        <f>HYPERLINK("https://klasma.github.io/Logging_2021/klagomålsmail/A 45205-2021 FSC-klagomål mail.docx", "A 45205-2021")</f>
        <v/>
      </c>
      <c r="AB32">
        <f>HYPERLINK("https://klasma.github.io/Logging_2021/tillsyn/A 45205-2021 tillsynsbegäran.docx", "A 45205-2021")</f>
        <v/>
      </c>
      <c r="AC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46223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öst AB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Rynkskinn</t>
        </is>
      </c>
      <c r="V33">
        <f>HYPERLINK("https://klasma.github.io/Logging_2021/artfynd/A 50688-2021 artfynd.xlsx", "A 50688-2021")</f>
        <v/>
      </c>
      <c r="W33">
        <f>HYPERLINK("https://klasma.github.io/Logging_2021/kartor/A 50688-2021 karta.png", "A 50688-2021")</f>
        <v/>
      </c>
      <c r="X33">
        <f>HYPERLINK("https://klasma.github.io/Logging_2021/kartor_geotiff/A 50688-2021 georefererad karta.tif", "A 50688-2021")</f>
        <v/>
      </c>
      <c r="Z33">
        <f>HYPERLINK("https://klasma.github.io/Logging_2021/klagomål/A 50688-2021 FSC-klagomål.docx", "A 50688-2021")</f>
        <v/>
      </c>
      <c r="AA33">
        <f>HYPERLINK("https://klasma.github.io/Logging_2021/klagomålsmail/A 50688-2021 FSC-klagomål mail.docx", "A 50688-2021")</f>
        <v/>
      </c>
      <c r="AB33">
        <f>HYPERLINK("https://klasma.github.io/Logging_2021/tillsyn/A 50688-2021 tillsynsbegäran.docx", "A 50688-2021")</f>
        <v/>
      </c>
      <c r="AC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46223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Kolflarnlav</t>
        </is>
      </c>
      <c r="V34">
        <f>HYPERLINK("https://klasma.github.io/Logging_2021/artfynd/A 51579-2021 artfynd.xlsx", "A 51579-2021")</f>
        <v/>
      </c>
      <c r="W34">
        <f>HYPERLINK("https://klasma.github.io/Logging_2021/kartor/A 51579-2021 karta.png", "A 51579-2021")</f>
        <v/>
      </c>
      <c r="X34">
        <f>HYPERLINK("https://klasma.github.io/Logging_2021/kartor_geotiff/A 51579-2021 georefererad karta.tif", "A 51579-2021")</f>
        <v/>
      </c>
      <c r="Z34">
        <f>HYPERLINK("https://klasma.github.io/Logging_2021/klagomål/A 51579-2021 FSC-klagomål.docx", "A 51579-2021")</f>
        <v/>
      </c>
      <c r="AA34">
        <f>HYPERLINK("https://klasma.github.io/Logging_2021/klagomålsmail/A 51579-2021 FSC-klagomål mail.docx", "A 51579-2021")</f>
        <v/>
      </c>
      <c r="AB34">
        <f>HYPERLINK("https://klasma.github.io/Logging_2021/tillsyn/A 51579-2021 tillsynsbegäran.docx", "A 51579-2021")</f>
        <v/>
      </c>
      <c r="AC34">
        <f>HYPERLINK("https://klasma.github.io/Logging_2021/tillsynsmail/A 51579-2021 tillsynsbegäran mail.docx", "A 51579-2021")</f>
        <v/>
      </c>
    </row>
    <row r="35" ht="15" customHeight="1">
      <c r="A35" t="inlineStr">
        <is>
          <t>A 27052-2025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45811</v>
      </c>
      <c r="E35" s="1" t="n">
        <v>46223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HYPERLINK("https://klasma.github.io/Logging_2021/artfynd/A 27052-2025 artfynd.xlsx", "A 27052-2025")</f>
        <v/>
      </c>
      <c r="W35">
        <f>HYPERLINK("https://klasma.github.io/Logging_2021/kartor/A 27052-2025 karta.png", "A 27052-2025")</f>
        <v/>
      </c>
      <c r="X35">
        <f>HYPERLINK("https://klasma.github.io/Logging_2021/kartor_geotiff/A 27052-2025 georefererad karta.tif", "A 27052-2025")</f>
        <v/>
      </c>
      <c r="Z35">
        <f>HYPERLINK("https://klasma.github.io/Logging_2021/klagomål/A 27052-2025 FSC-klagomål.docx", "A 27052-2025")</f>
        <v/>
      </c>
      <c r="AA35">
        <f>HYPERLINK("https://klasma.github.io/Logging_2021/klagomålsmail/A 27052-2025 FSC-klagomål mail.docx", "A 27052-2025")</f>
        <v/>
      </c>
      <c r="AB35">
        <f>HYPERLINK("https://klasma.github.io/Logging_2021/tillsyn/A 27052-2025 tillsynsbegäran.docx", "A 27052-2025")</f>
        <v/>
      </c>
      <c r="AC35">
        <f>HYPERLINK("https://klasma.github.io/Logging_2021/tillsynsmail/A 27052-2025 tillsynsbegäran mail.docx", "A 27052-2025")</f>
        <v/>
      </c>
      <c r="AD35">
        <f>HYPERLINK("https://klasma.github.io/Logging_2021/fåglar/A 27052-2025 prioriterade fågelarter.docx", "A 27052-2025")</f>
        <v/>
      </c>
    </row>
    <row r="36" ht="15" customHeight="1">
      <c r="A36" t="inlineStr">
        <is>
          <t>A 3918-2026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46223</v>
      </c>
      <c r="F36" t="inlineStr">
        <is>
          <t>DALARNAS LÄN</t>
        </is>
      </c>
      <c r="G36" t="inlineStr">
        <is>
          <t>VANSBRO</t>
        </is>
      </c>
      <c r="I36" t="n">
        <v>6.2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Duvhök</t>
        </is>
      </c>
      <c r="V36">
        <f>HYPERLINK("https://klasma.github.io/Logging_2021/artfynd/A 3918-2026 artfynd.xlsx", "A 3918-2026")</f>
        <v/>
      </c>
      <c r="W36">
        <f>HYPERLINK("https://klasma.github.io/Logging_2021/kartor/A 3918-2026 karta.png", "A 3918-2026")</f>
        <v/>
      </c>
      <c r="X36">
        <f>HYPERLINK("https://klasma.github.io/Logging_2021/kartor_geotiff/A 3918-2026 georefererad karta.tif", "A 3918-2026")</f>
        <v/>
      </c>
      <c r="Z36">
        <f>HYPERLINK("https://klasma.github.io/Logging_2021/klagomål/A 3918-2026 FSC-klagomål.docx", "A 3918-2026")</f>
        <v/>
      </c>
      <c r="AA36">
        <f>HYPERLINK("https://klasma.github.io/Logging_2021/klagomålsmail/A 3918-2026 FSC-klagomål mail.docx", "A 3918-2026")</f>
        <v/>
      </c>
      <c r="AB36">
        <f>HYPERLINK("https://klasma.github.io/Logging_2021/tillsyn/A 3918-2026 tillsynsbegäran.docx", "A 3918-2026")</f>
        <v/>
      </c>
      <c r="AC36">
        <f>HYPERLINK("https://klasma.github.io/Logging_2021/tillsynsmail/A 3918-2026 tillsynsbegäran mail.docx", "A 3918-2026")</f>
        <v/>
      </c>
      <c r="AD36">
        <f>HYPERLINK("https://klasma.github.io/Logging_2021/fåglar/A 3918-2026 prioriterade fågelarter.docx", "A 3918-2026")</f>
        <v/>
      </c>
    </row>
    <row r="37" ht="15" customHeight="1">
      <c r="A37" t="inlineStr">
        <is>
          <t>A 32917-2025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46223</v>
      </c>
      <c r="F37" t="inlineStr">
        <is>
          <t>DALARNAS LÄN</t>
        </is>
      </c>
      <c r="G37" t="inlineStr">
        <is>
          <t>VANSBRO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s="2" t="inlineStr">
        <is>
          <t>Garnlav</t>
        </is>
      </c>
      <c r="V37">
        <f>HYPERLINK("https://klasma.github.io/Logging_2021/artfynd/A 32917-2025 artfynd.xlsx", "A 32917-2025")</f>
        <v/>
      </c>
      <c r="W37">
        <f>HYPERLINK("https://klasma.github.io/Logging_2021/kartor/A 32917-2025 karta.png", "A 32917-2025")</f>
        <v/>
      </c>
      <c r="X37">
        <f>HYPERLINK("https://klasma.github.io/Logging_2021/kartor_geotiff/A 32917-2025 georefererad karta.tif", "A 32917-2025")</f>
        <v/>
      </c>
      <c r="Z37">
        <f>HYPERLINK("https://klasma.github.io/Logging_2021/klagomål/A 32917-2025 FSC-klagomål.docx", "A 32917-2025")</f>
        <v/>
      </c>
      <c r="AA37">
        <f>HYPERLINK("https://klasma.github.io/Logging_2021/klagomålsmail/A 32917-2025 FSC-klagomål mail.docx", "A 32917-2025")</f>
        <v/>
      </c>
      <c r="AB37">
        <f>HYPERLINK("https://klasma.github.io/Logging_2021/tillsyn/A 32917-2025 tillsynsbegäran.docx", "A 32917-2025")</f>
        <v/>
      </c>
      <c r="AC37">
        <f>HYPERLINK("https://klasma.github.io/Logging_2021/tillsynsmail/A 32917-2025 tillsynsbegäran mail.docx", "A 32917-2025")</f>
        <v/>
      </c>
    </row>
    <row r="38" ht="15" customHeight="1">
      <c r="A38" t="inlineStr">
        <is>
          <t>A 33003-2025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46223</v>
      </c>
      <c r="F38" t="inlineStr">
        <is>
          <t>DALARNAS LÄN</t>
        </is>
      </c>
      <c r="G38" t="inlineStr">
        <is>
          <t>VANSBRO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Knärot</t>
        </is>
      </c>
      <c r="V38">
        <f>HYPERLINK("https://klasma.github.io/Logging_2021/artfynd/A 33003-2025 artfynd.xlsx", "A 33003-2025")</f>
        <v/>
      </c>
      <c r="W38">
        <f>HYPERLINK("https://klasma.github.io/Logging_2021/kartor/A 33003-2025 karta.png", "A 33003-2025")</f>
        <v/>
      </c>
      <c r="X38">
        <f>HYPERLINK("https://klasma.github.io/Logging_2021/kartor_geotiff/A 33003-2025 georefererad karta.tif", "A 33003-2025")</f>
        <v/>
      </c>
      <c r="Y38">
        <f>HYPERLINK("https://klasma.github.io/Logging_2021/knärot/A 33003-2025 karta knärot.png", "A 33003-2025")</f>
        <v/>
      </c>
      <c r="Z38">
        <f>HYPERLINK("https://klasma.github.io/Logging_2021/klagomål/A 33003-2025 FSC-klagomål.docx", "A 33003-2025")</f>
        <v/>
      </c>
      <c r="AA38">
        <f>HYPERLINK("https://klasma.github.io/Logging_2021/klagomålsmail/A 33003-2025 FSC-klagomål mail.docx", "A 33003-2025")</f>
        <v/>
      </c>
      <c r="AB38">
        <f>HYPERLINK("https://klasma.github.io/Logging_2021/tillsyn/A 33003-2025 tillsynsbegäran.docx", "A 33003-2025")</f>
        <v/>
      </c>
      <c r="AC38">
        <f>HYPERLINK("https://klasma.github.io/Logging_2021/tillsynsmail/A 33003-2025 tillsynsbegäran mail.docx", "A 33003-2025")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46223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rörsvepemossa</t>
        </is>
      </c>
      <c r="V39">
        <f>HYPERLINK("https://klasma.github.io/Logging_2021/artfynd/A 5659-2026 artfynd.xlsx", "A 5659-2026")</f>
        <v/>
      </c>
      <c r="W39">
        <f>HYPERLINK("https://klasma.github.io/Logging_2021/kartor/A 5659-2026 karta.png", "A 5659-2026")</f>
        <v/>
      </c>
      <c r="X39">
        <f>HYPERLINK("https://klasma.github.io/Logging_2021/kartor_geotiff/A 5659-2026 georefererad karta.tif", "A 5659-2026")</f>
        <v/>
      </c>
      <c r="Z39">
        <f>HYPERLINK("https://klasma.github.io/Logging_2021/klagomål/A 5659-2026 FSC-klagomål.docx", "A 5659-2026")</f>
        <v/>
      </c>
      <c r="AA39">
        <f>HYPERLINK("https://klasma.github.io/Logging_2021/klagomålsmail/A 5659-2026 FSC-klagomål mail.docx", "A 5659-2026")</f>
        <v/>
      </c>
      <c r="AB39">
        <f>HYPERLINK("https://klasma.github.io/Logging_2021/tillsyn/A 5659-2026 tillsynsbegäran.docx", "A 5659-2026")</f>
        <v/>
      </c>
      <c r="AC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46223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Gränsticka</t>
        </is>
      </c>
      <c r="V40">
        <f>HYPERLINK("https://klasma.github.io/Logging_2021/artfynd/A 48109-2025 artfynd.xlsx", "A 48109-2025")</f>
        <v/>
      </c>
      <c r="W40">
        <f>HYPERLINK("https://klasma.github.io/Logging_2021/kartor/A 48109-2025 karta.png", "A 48109-2025")</f>
        <v/>
      </c>
      <c r="X40">
        <f>HYPERLINK("https://klasma.github.io/Logging_2021/kartor_geotiff/A 48109-2025 georefererad karta.tif", "A 48109-2025")</f>
        <v/>
      </c>
      <c r="Z40">
        <f>HYPERLINK("https://klasma.github.io/Logging_2021/klagomål/A 48109-2025 FSC-klagomål.docx", "A 48109-2025")</f>
        <v/>
      </c>
      <c r="AA40">
        <f>HYPERLINK("https://klasma.github.io/Logging_2021/klagomålsmail/A 48109-2025 FSC-klagomål mail.docx", "A 48109-2025")</f>
        <v/>
      </c>
      <c r="AB40">
        <f>HYPERLINK("https://klasma.github.io/Logging_2021/tillsyn/A 48109-2025 tillsynsbegäran.docx", "A 48109-2025")</f>
        <v/>
      </c>
      <c r="AC40">
        <f>HYPERLINK("https://klasma.github.io/Logging_2021/tillsynsmail/A 48109-2025 tillsynsbegäran mail.docx", "A 48109-2025")</f>
        <v/>
      </c>
    </row>
    <row r="41" ht="15" customHeight="1">
      <c r="A41" t="inlineStr">
        <is>
          <t>A 37219-2024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45539</v>
      </c>
      <c r="E41" s="1" t="n">
        <v>46223</v>
      </c>
      <c r="F41" t="inlineStr">
        <is>
          <t>DALARNAS LÄN</t>
        </is>
      </c>
      <c r="G41" t="inlineStr">
        <is>
          <t>VANSBRO</t>
        </is>
      </c>
      <c r="I41" t="n">
        <v>5.3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s="2" t="inlineStr">
        <is>
          <t>Tjäder</t>
        </is>
      </c>
      <c r="V41">
        <f>HYPERLINK("https://klasma.github.io/Logging_2021/artfynd/A 37219-2024 artfynd.xlsx", "A 37219-2024")</f>
        <v/>
      </c>
      <c r="W41">
        <f>HYPERLINK("https://klasma.github.io/Logging_2021/kartor/A 37219-2024 karta.png", "A 37219-2024")</f>
        <v/>
      </c>
      <c r="X41">
        <f>HYPERLINK("https://klasma.github.io/Logging_2021/kartor_geotiff/A 37219-2024 georefererad karta.tif", "A 37219-2024")</f>
        <v/>
      </c>
      <c r="Z41">
        <f>HYPERLINK("https://klasma.github.io/Logging_2021/klagomål/A 37219-2024 FSC-klagomål.docx", "A 37219-2024")</f>
        <v/>
      </c>
      <c r="AA41">
        <f>HYPERLINK("https://klasma.github.io/Logging_2021/klagomålsmail/A 37219-2024 FSC-klagomål mail.docx", "A 37219-2024")</f>
        <v/>
      </c>
      <c r="AB41">
        <f>HYPERLINK("https://klasma.github.io/Logging_2021/tillsyn/A 37219-2024 tillsynsbegäran.docx", "A 37219-2024")</f>
        <v/>
      </c>
      <c r="AC41">
        <f>HYPERLINK("https://klasma.github.io/Logging_2021/tillsynsmail/A 37219-2024 tillsynsbegäran mail.docx", "A 37219-2024")</f>
        <v/>
      </c>
      <c r="AD41">
        <f>HYPERLINK("https://klasma.github.io/Logging_2021/fåglar/A 37219-2024 prioriterade fågelarter.docx", "A 37219-2024")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46223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Kransrams</t>
        </is>
      </c>
      <c r="V42">
        <f>HYPERLINK("https://klasma.github.io/Logging_2021/artfynd/A 20076-2026 artfynd.xlsx", "A 20076-2026")</f>
        <v/>
      </c>
      <c r="W42">
        <f>HYPERLINK("https://klasma.github.io/Logging_2021/kartor/A 20076-2026 karta.png", "A 20076-2026")</f>
        <v/>
      </c>
      <c r="X42">
        <f>HYPERLINK("https://klasma.github.io/Logging_2021/kartor_geotiff/A 20076-2026 georefererad karta.tif", "A 20076-2026")</f>
        <v/>
      </c>
      <c r="Z42">
        <f>HYPERLINK("https://klasma.github.io/Logging_2021/klagomål/A 20076-2026 FSC-klagomål.docx", "A 20076-2026")</f>
        <v/>
      </c>
      <c r="AA42">
        <f>HYPERLINK("https://klasma.github.io/Logging_2021/klagomålsmail/A 20076-2026 FSC-klagomål mail.docx", "A 20076-2026")</f>
        <v/>
      </c>
      <c r="AB42">
        <f>HYPERLINK("https://klasma.github.io/Logging_2021/tillsyn/A 20076-2026 tillsynsbegäran.docx", "A 20076-2026")</f>
        <v/>
      </c>
      <c r="AC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46223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Motaggsvamp</t>
        </is>
      </c>
      <c r="V43">
        <f>HYPERLINK("https://klasma.github.io/Logging_2021/artfynd/A 52675-2025 artfynd.xlsx", "A 52675-2025")</f>
        <v/>
      </c>
      <c r="W43">
        <f>HYPERLINK("https://klasma.github.io/Logging_2021/kartor/A 52675-2025 karta.png", "A 52675-2025")</f>
        <v/>
      </c>
      <c r="X43">
        <f>HYPERLINK("https://klasma.github.io/Logging_2021/kartor_geotiff/A 52675-2025 georefererad karta.tif", "A 52675-2025")</f>
        <v/>
      </c>
      <c r="Z43">
        <f>HYPERLINK("https://klasma.github.io/Logging_2021/klagomål/A 52675-2025 FSC-klagomål.docx", "A 52675-2025")</f>
        <v/>
      </c>
      <c r="AA43">
        <f>HYPERLINK("https://klasma.github.io/Logging_2021/klagomålsmail/A 52675-2025 FSC-klagomål mail.docx", "A 52675-2025")</f>
        <v/>
      </c>
      <c r="AB43">
        <f>HYPERLINK("https://klasma.github.io/Logging_2021/tillsyn/A 52675-2025 tillsynsbegäran.docx", "A 52675-2025")</f>
        <v/>
      </c>
      <c r="AC43">
        <f>HYPERLINK("https://klasma.github.io/Logging_2021/tillsynsmail/A 52675-2025 tillsynsbegäran mail.docx", "A 52675-2025")</f>
        <v/>
      </c>
    </row>
    <row r="44" ht="15" customHeight="1">
      <c r="A44" t="inlineStr">
        <is>
          <t>A 57810-2023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46223</v>
      </c>
      <c r="F44" t="inlineStr">
        <is>
          <t>DALARNAS LÄN</t>
        </is>
      </c>
      <c r="G44" t="inlineStr">
        <is>
          <t>VANSBRO</t>
        </is>
      </c>
      <c r="I44" t="n">
        <v>0.6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HYPERLINK("https://klasma.github.io/Logging_2021/artfynd/A 57810-2023 artfynd.xlsx", "A 57810-2023")</f>
        <v/>
      </c>
      <c r="W44">
        <f>HYPERLINK("https://klasma.github.io/Logging_2021/kartor/A 57810-2023 karta.png", "A 57810-2023")</f>
        <v/>
      </c>
      <c r="X44">
        <f>HYPERLINK("https://klasma.github.io/Logging_2021/kartor_geotiff/A 57810-2023 georefererad karta.tif", "A 57810-2023")</f>
        <v/>
      </c>
      <c r="Z44">
        <f>HYPERLINK("https://klasma.github.io/Logging_2021/klagomål/A 57810-2023 FSC-klagomål.docx", "A 57810-2023")</f>
        <v/>
      </c>
      <c r="AA44">
        <f>HYPERLINK("https://klasma.github.io/Logging_2021/klagomålsmail/A 57810-2023 FSC-klagomål mail.docx", "A 57810-2023")</f>
        <v/>
      </c>
      <c r="AB44">
        <f>HYPERLINK("https://klasma.github.io/Logging_2021/tillsyn/A 57810-2023 tillsynsbegäran.docx", "A 57810-2023")</f>
        <v/>
      </c>
      <c r="AC44">
        <f>HYPERLINK("https://klasma.github.io/Logging_2021/tillsynsmail/A 57810-2023 tillsynsbegäran mail.docx", "A 57810-2023")</f>
        <v/>
      </c>
      <c r="AD44">
        <f>HYPERLINK("https://klasma.github.io/Logging_2021/fåglar/A 57810-2023 prioriterade fågelarter.docx", "A 57810-2023")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46223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Talltita</t>
        </is>
      </c>
      <c r="V45">
        <f>HYPERLINK("https://klasma.github.io/Logging_2021/artfynd/A 26756-2026 artfynd.xlsx", "A 26756-2026")</f>
        <v/>
      </c>
      <c r="W45">
        <f>HYPERLINK("https://klasma.github.io/Logging_2021/kartor/A 26756-2026 karta.png", "A 26756-2026")</f>
        <v/>
      </c>
      <c r="X45">
        <f>HYPERLINK("https://klasma.github.io/Logging_2021/kartor_geotiff/A 26756-2026 georefererad karta.tif", "A 26756-2026")</f>
        <v/>
      </c>
      <c r="Z45">
        <f>HYPERLINK("https://klasma.github.io/Logging_2021/klagomål/A 26756-2026 FSC-klagomål.docx", "A 26756-2026")</f>
        <v/>
      </c>
      <c r="AA45">
        <f>HYPERLINK("https://klasma.github.io/Logging_2021/klagomålsmail/A 26756-2026 FSC-klagomål mail.docx", "A 26756-2026")</f>
        <v/>
      </c>
      <c r="AB45">
        <f>HYPERLINK("https://klasma.github.io/Logging_2021/tillsyn/A 26756-2026 tillsynsbegäran.docx", "A 26756-2026")</f>
        <v/>
      </c>
      <c r="AC45">
        <f>HYPERLINK("https://klasma.github.io/Logging_2021/tillsynsmail/A 26756-2026 tillsynsbegäran mail.docx", "A 26756-2026")</f>
        <v/>
      </c>
      <c r="AD45">
        <f>HYPERLINK("https://klasma.github.io/Logging_2021/fåglar/A 26756-2026 prioriterade fågelarter.docx", "A 26756-2026")</f>
        <v/>
      </c>
    </row>
    <row r="46" ht="15" customHeight="1">
      <c r="A46" t="inlineStr">
        <is>
          <t>A 3854-2024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46223</v>
      </c>
      <c r="F46" t="inlineStr">
        <is>
          <t>DALARNAS LÄN</t>
        </is>
      </c>
      <c r="G46" t="inlineStr">
        <is>
          <t>VANSBRO</t>
        </is>
      </c>
      <c r="H46" t="inlineStr">
        <is>
          <t>Kyrkan</t>
        </is>
      </c>
      <c r="I46" t="n">
        <v>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Utter</t>
        </is>
      </c>
      <c r="V46">
        <f>HYPERLINK("https://klasma.github.io/Logging_2021/artfynd/A 3854-2024 artfynd.xlsx", "A 3854-2024")</f>
        <v/>
      </c>
      <c r="W46">
        <f>HYPERLINK("https://klasma.github.io/Logging_2021/kartor/A 3854-2024 karta.png", "A 3854-2024")</f>
        <v/>
      </c>
      <c r="X46">
        <f>HYPERLINK("https://klasma.github.io/Logging_2021/kartor_geotiff/A 3854-2024 georefererad karta.tif", "A 3854-2024")</f>
        <v/>
      </c>
      <c r="Z46">
        <f>HYPERLINK("https://klasma.github.io/Logging_2021/klagomål/A 3854-2024 FSC-klagomål.docx", "A 3854-2024")</f>
        <v/>
      </c>
      <c r="AA46">
        <f>HYPERLINK("https://klasma.github.io/Logging_2021/klagomålsmail/A 3854-2024 FSC-klagomål mail.docx", "A 3854-2024")</f>
        <v/>
      </c>
      <c r="AB46">
        <f>HYPERLINK("https://klasma.github.io/Logging_2021/tillsyn/A 3854-2024 tillsynsbegäran.docx", "A 3854-2024")</f>
        <v/>
      </c>
      <c r="AC46">
        <f>HYPERLINK("https://klasma.github.io/Logging_2021/tillsynsmail/A 3854-2024 tillsynsbegäran mail.docx", "A 3854-2024")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46223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Skarp dropptaggsvamp</t>
        </is>
      </c>
      <c r="V47">
        <f>HYPERLINK("https://klasma.github.io/Logging_2021/artfynd/A 54453-2024 artfynd.xlsx", "A 54453-2024")</f>
        <v/>
      </c>
      <c r="W47">
        <f>HYPERLINK("https://klasma.github.io/Logging_2021/kartor/A 54453-2024 karta.png", "A 54453-2024")</f>
        <v/>
      </c>
      <c r="X47">
        <f>HYPERLINK("https://klasma.github.io/Logging_2021/kartor_geotiff/A 54453-2024 georefererad karta.tif", "A 54453-2024")</f>
        <v/>
      </c>
      <c r="Z47">
        <f>HYPERLINK("https://klasma.github.io/Logging_2021/klagomål/A 54453-2024 FSC-klagomål.docx", "A 54453-2024")</f>
        <v/>
      </c>
      <c r="AA47">
        <f>HYPERLINK("https://klasma.github.io/Logging_2021/klagomålsmail/A 54453-2024 FSC-klagomål mail.docx", "A 54453-2024")</f>
        <v/>
      </c>
      <c r="AB47">
        <f>HYPERLINK("https://klasma.github.io/Logging_2021/tillsyn/A 54453-2024 tillsynsbegäran.docx", "A 54453-2024")</f>
        <v/>
      </c>
      <c r="AC47">
        <f>HYPERLINK("https://klasma.github.io/Logging_2021/tillsynsmail/A 54453-2024 tillsynsbegäran mail.docx", "A 54453-2024")</f>
        <v/>
      </c>
    </row>
    <row r="48" ht="15" customHeight="1">
      <c r="A48" t="inlineStr">
        <is>
          <t>A 33250-2024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45518</v>
      </c>
      <c r="E48" s="1" t="n">
        <v>46223</v>
      </c>
      <c r="F48" t="inlineStr">
        <is>
          <t>DALARNAS LÄN</t>
        </is>
      </c>
      <c r="G48" t="inlineStr">
        <is>
          <t>VANSBRO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s="2" t="inlineStr">
        <is>
          <t>Reliktbock</t>
        </is>
      </c>
      <c r="V48">
        <f>HYPERLINK("https://klasma.github.io/Logging_2021/artfynd/A 33250-2024 artfynd.xlsx", "A 33250-2024")</f>
        <v/>
      </c>
      <c r="W48">
        <f>HYPERLINK("https://klasma.github.io/Logging_2021/kartor/A 33250-2024 karta.png", "A 33250-2024")</f>
        <v/>
      </c>
      <c r="X48">
        <f>HYPERLINK("https://klasma.github.io/Logging_2021/kartor_geotiff/A 33250-2024 georefererad karta.tif", "A 33250-2024")</f>
        <v/>
      </c>
      <c r="Z48">
        <f>HYPERLINK("https://klasma.github.io/Logging_2021/klagomål/A 33250-2024 FSC-klagomål.docx", "A 33250-2024")</f>
        <v/>
      </c>
      <c r="AA48">
        <f>HYPERLINK("https://klasma.github.io/Logging_2021/klagomålsmail/A 33250-2024 FSC-klagomål mail.docx", "A 33250-2024")</f>
        <v/>
      </c>
      <c r="AB48">
        <f>HYPERLINK("https://klasma.github.io/Logging_2021/tillsyn/A 33250-2024 tillsynsbegäran.docx", "A 33250-2024")</f>
        <v/>
      </c>
      <c r="AC48">
        <f>HYPERLINK("https://klasma.github.io/Logging_2021/tillsynsmail/A 33250-2024 tillsynsbegäran mail.docx", "A 33250-2024")</f>
        <v/>
      </c>
    </row>
    <row r="49" ht="15" customHeight="1">
      <c r="A49" t="inlineStr">
        <is>
          <t>S 146-2023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44942</v>
      </c>
      <c r="E49" s="1" t="n">
        <v>46223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öst AB</t>
        </is>
      </c>
      <c r="I49" t="n">
        <v>8.9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s="2" t="inlineStr">
        <is>
          <t>Garnlav</t>
        </is>
      </c>
      <c r="V49">
        <f>HYPERLINK("https://klasma.github.io/Logging_2021/artfynd/S 146-2023 artfynd.xlsx", "S 146-2023")</f>
        <v/>
      </c>
      <c r="W49">
        <f>HYPERLINK("https://klasma.github.io/Logging_2021/kartor/S 146-2023 karta.png", "S 146-2023")</f>
        <v/>
      </c>
      <c r="X49">
        <f>HYPERLINK("https://klasma.github.io/Logging_2021/kartor_geotiff/S 146-2023 georefererad karta.tif", "S 146-2023")</f>
        <v/>
      </c>
      <c r="Z49">
        <f>HYPERLINK("https://klasma.github.io/Logging_2021/klagomål/S 146-2023 FSC-klagomål.docx", "S 146-2023")</f>
        <v/>
      </c>
      <c r="AA49">
        <f>HYPERLINK("https://klasma.github.io/Logging_2021/klagomålsmail/S 146-2023 FSC-klagomål mail.docx", "S 146-2023")</f>
        <v/>
      </c>
      <c r="AB49">
        <f>HYPERLINK("https://klasma.github.io/Logging_2021/tillsyn/S 146-2023 tillsynsbegäran.docx", "S 146-2023")</f>
        <v/>
      </c>
      <c r="AC49">
        <f>HYPERLINK("https://klasma.github.io/Logging_2021/tillsynsmail/S 146-2023 tillsynsbegäran mail.docx", "S 146-2023")</f>
        <v/>
      </c>
    </row>
    <row r="50" ht="15" customHeight="1">
      <c r="A50" t="inlineStr">
        <is>
          <t>S 940-2024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45377</v>
      </c>
      <c r="E50" s="1" t="n">
        <v>46223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158.9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Lunglav</t>
        </is>
      </c>
      <c r="V50">
        <f>HYPERLINK("https://klasma.github.io/Logging_2021/artfynd/S 940-2024 artfynd.xlsx", "S 940-2024")</f>
        <v/>
      </c>
      <c r="W50">
        <f>HYPERLINK("https://klasma.github.io/Logging_2021/kartor/S 940-2024 karta.png", "S 940-2024")</f>
        <v/>
      </c>
      <c r="X50">
        <f>HYPERLINK("https://klasma.github.io/Logging_2021/kartor_geotiff/S 940-2024 georefererad karta.tif", "S 940-2024")</f>
        <v/>
      </c>
      <c r="Z50">
        <f>HYPERLINK("https://klasma.github.io/Logging_2021/klagomål/S 940-2024 FSC-klagomål.docx", "S 940-2024")</f>
        <v/>
      </c>
      <c r="AA50">
        <f>HYPERLINK("https://klasma.github.io/Logging_2021/klagomålsmail/S 940-2024 FSC-klagomål mail.docx", "S 940-2024")</f>
        <v/>
      </c>
      <c r="AB50">
        <f>HYPERLINK("https://klasma.github.io/Logging_2021/tillsyn/S 940-2024 tillsynsbegäran.docx", "S 940-2024")</f>
        <v/>
      </c>
      <c r="AC50">
        <f>HYPERLINK("https://klasma.github.io/Logging_2021/tillsynsmail/S 940-2024 tillsynsbegäran mail.docx", "S 940-2024")</f>
        <v/>
      </c>
    </row>
    <row r="51" ht="15" customHeight="1">
      <c r="A51" t="inlineStr">
        <is>
          <t>A 54023-2022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44881</v>
      </c>
      <c r="E51" s="1" t="n">
        <v>46223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48977-2021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46223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29497-2022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46223</v>
      </c>
      <c r="F53" t="inlineStr">
        <is>
          <t>DALARNAS LÄN</t>
        </is>
      </c>
      <c r="G53" t="inlineStr">
        <is>
          <t>VANSBRO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42055-2022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46223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46223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46223</v>
      </c>
      <c r="F56" t="inlineStr">
        <is>
          <t>DALARNAS LÄN</t>
        </is>
      </c>
      <c r="G56" t="inlineStr">
        <is>
          <t>VANSBRO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66717-2021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46223</v>
      </c>
      <c r="F57" t="inlineStr">
        <is>
          <t>DALARNAS LÄN</t>
        </is>
      </c>
      <c r="G57" t="inlineStr">
        <is>
          <t>VANSBRO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46223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46223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46223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46223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46223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46223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46223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46223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46223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46223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52385-2021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46223</v>
      </c>
      <c r="F68" t="inlineStr">
        <is>
          <t>DALARNAS LÄN</t>
        </is>
      </c>
      <c r="G68" t="inlineStr">
        <is>
          <t>VANSBRO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46223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46223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46223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39438-2021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44414</v>
      </c>
      <c r="E72" s="1" t="n">
        <v>46223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46223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46223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46223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46223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46801-2021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44446</v>
      </c>
      <c r="E77" s="1" t="n">
        <v>46223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46223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46223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46223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46223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46223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46223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46223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46223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26658-2022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46223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10012-2024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46223</v>
      </c>
      <c r="F87" t="inlineStr">
        <is>
          <t>DALARNAS LÄN</t>
        </is>
      </c>
      <c r="G87" t="inlineStr">
        <is>
          <t>VANSBRO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44837</v>
      </c>
      <c r="E88" s="1" t="n">
        <v>46223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45749</v>
      </c>
      <c r="E89" s="1" t="n">
        <v>46223</v>
      </c>
      <c r="F89" t="inlineStr">
        <is>
          <t>DALARNAS LÄN</t>
        </is>
      </c>
      <c r="G89" t="inlineStr">
        <is>
          <t>VANSBRO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46223</v>
      </c>
      <c r="F90" t="inlineStr">
        <is>
          <t>DALARNAS LÄN</t>
        </is>
      </c>
      <c r="G90" t="inlineStr">
        <is>
          <t>VANSBRO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35943-2024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46223</v>
      </c>
      <c r="F91" t="inlineStr">
        <is>
          <t>DALARNAS LÄN</t>
        </is>
      </c>
      <c r="G91" t="inlineStr">
        <is>
          <t>VANSBRO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46223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46223</v>
      </c>
      <c r="F93" t="inlineStr">
        <is>
          <t>DALARNAS LÄN</t>
        </is>
      </c>
      <c r="G93" t="inlineStr">
        <is>
          <t>VANSBRO</t>
        </is>
      </c>
      <c r="H93" t="inlineStr">
        <is>
          <t>Övriga statliga verk och myndigheter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53839-2022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46223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46223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46223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51601-2023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46223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46223</v>
      </c>
      <c r="F98" t="inlineStr">
        <is>
          <t>DALARNAS LÄN</t>
        </is>
      </c>
      <c r="G98" t="inlineStr">
        <is>
          <t>VANSBRO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32820-2024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46223</v>
      </c>
      <c r="F99" t="inlineStr">
        <is>
          <t>DALARNAS LÄN</t>
        </is>
      </c>
      <c r="G99" t="inlineStr">
        <is>
          <t>VANSBRO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60848-2024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45644</v>
      </c>
      <c r="E100" s="1" t="n">
        <v>46223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46223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46223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24384-2024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46223</v>
      </c>
      <c r="F103" t="inlineStr">
        <is>
          <t>DALARNAS LÄN</t>
        </is>
      </c>
      <c r="G103" t="inlineStr">
        <is>
          <t>VANSBRO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21966-2024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45443</v>
      </c>
      <c r="E104" s="1" t="n">
        <v>46223</v>
      </c>
      <c r="F104" t="inlineStr">
        <is>
          <t>DALARNAS LÄN</t>
        </is>
      </c>
      <c r="G104" t="inlineStr">
        <is>
          <t>VANSBRO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46223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17.6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30392-2024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46223</v>
      </c>
      <c r="F106" t="inlineStr">
        <is>
          <t>DALARNAS LÄN</t>
        </is>
      </c>
      <c r="G106" t="inlineStr">
        <is>
          <t>VANSBRO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46223</v>
      </c>
      <c r="F107" t="inlineStr">
        <is>
          <t>DALARNAS LÄN</t>
        </is>
      </c>
      <c r="G107" t="inlineStr">
        <is>
          <t>VANSBRO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61653-2024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45646</v>
      </c>
      <c r="E108" s="1" t="n">
        <v>46223</v>
      </c>
      <c r="F108" t="inlineStr">
        <is>
          <t>DALARNAS LÄN</t>
        </is>
      </c>
      <c r="G108" t="inlineStr">
        <is>
          <t>VANSBRO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3363-2026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46223</v>
      </c>
      <c r="F109" t="inlineStr">
        <is>
          <t>DALARNAS LÄN</t>
        </is>
      </c>
      <c r="G109" t="inlineStr">
        <is>
          <t>VANSBRO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38034-2024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46223</v>
      </c>
      <c r="F110" t="inlineStr">
        <is>
          <t>DALARNAS LÄN</t>
        </is>
      </c>
      <c r="G110" t="inlineStr">
        <is>
          <t>VANSBRO</t>
        </is>
      </c>
      <c r="H110" t="inlineStr">
        <is>
          <t>Övriga statliga verk och myndigheter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26508-2025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45807</v>
      </c>
      <c r="E111" s="1" t="n">
        <v>46223</v>
      </c>
      <c r="F111" t="inlineStr">
        <is>
          <t>DALARNAS LÄN</t>
        </is>
      </c>
      <c r="G111" t="inlineStr">
        <is>
          <t>VANSBRO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46223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46223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46223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38670-2025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45884</v>
      </c>
      <c r="E115" s="1" t="n">
        <v>46223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46223</v>
      </c>
      <c r="F116" t="inlineStr">
        <is>
          <t>DALARNAS LÄN</t>
        </is>
      </c>
      <c r="G116" t="inlineStr">
        <is>
          <t>VANSBRO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46223</v>
      </c>
      <c r="F117" t="inlineStr">
        <is>
          <t>DALARNAS LÄN</t>
        </is>
      </c>
      <c r="G117" t="inlineStr">
        <is>
          <t>VANSBRO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45183</v>
      </c>
      <c r="E118" s="1" t="n">
        <v>46223</v>
      </c>
      <c r="F118" t="inlineStr">
        <is>
          <t>DALARNAS LÄN</t>
        </is>
      </c>
      <c r="G118" t="inlineStr">
        <is>
          <t>VANSBRO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46223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46223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46223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28469-2025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45819</v>
      </c>
      <c r="E122" s="1" t="n">
        <v>46223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29281-2025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46223</v>
      </c>
      <c r="F123" t="inlineStr">
        <is>
          <t>DALARNAS LÄN</t>
        </is>
      </c>
      <c r="G123" t="inlineStr">
        <is>
          <t>VANSBRO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39502-2025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46223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39490-2025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46223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45689</v>
      </c>
      <c r="E126" s="1" t="n">
        <v>46223</v>
      </c>
      <c r="F126" t="inlineStr">
        <is>
          <t>DALARNAS LÄN</t>
        </is>
      </c>
      <c r="G126" t="inlineStr">
        <is>
          <t>VANSBRO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45604</v>
      </c>
      <c r="E127" s="1" t="n">
        <v>46223</v>
      </c>
      <c r="F127" t="inlineStr">
        <is>
          <t>DALARNAS LÄN</t>
        </is>
      </c>
      <c r="G127" t="inlineStr">
        <is>
          <t>VANSBRO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40884-2025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46223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öst AB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46223</v>
      </c>
      <c r="F129" t="inlineStr">
        <is>
          <t>DALARNAS LÄN</t>
        </is>
      </c>
      <c r="G129" t="inlineStr">
        <is>
          <t>VANSBRO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46223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46223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45832</v>
      </c>
      <c r="E132" s="1" t="n">
        <v>46223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20189-2025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46223</v>
      </c>
      <c r="F133" t="inlineStr">
        <is>
          <t>DALARNAS LÄN</t>
        </is>
      </c>
      <c r="G133" t="inlineStr">
        <is>
          <t>VANSBRO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42209-2025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46223</v>
      </c>
      <c r="F134" t="inlineStr">
        <is>
          <t>DALARNAS LÄN</t>
        </is>
      </c>
      <c r="G134" t="inlineStr">
        <is>
          <t>VANSBRO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31499-2025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46223</v>
      </c>
      <c r="F135" t="inlineStr">
        <is>
          <t>DALARNAS LÄN</t>
        </is>
      </c>
      <c r="G135" t="inlineStr">
        <is>
          <t>VANSBRO</t>
        </is>
      </c>
      <c r="I135" t="n">
        <v>27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46223</v>
      </c>
      <c r="F136" t="inlineStr">
        <is>
          <t>DALARNAS LÄN</t>
        </is>
      </c>
      <c r="G136" t="inlineStr">
        <is>
          <t>VANSBRO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46223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32040-2025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46223</v>
      </c>
      <c r="F138" t="inlineStr">
        <is>
          <t>DALARNAS LÄN</t>
        </is>
      </c>
      <c r="G138" t="inlineStr">
        <is>
          <t>VANSBRO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30889-2024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45498</v>
      </c>
      <c r="E139" s="1" t="n">
        <v>46223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44966</v>
      </c>
      <c r="E140" s="1" t="n">
        <v>46223</v>
      </c>
      <c r="F140" t="inlineStr">
        <is>
          <t>DALARNAS LÄN</t>
        </is>
      </c>
      <c r="G140" t="inlineStr">
        <is>
          <t>VANSBRO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43139-2025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46223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46223</v>
      </c>
      <c r="F142" t="inlineStr">
        <is>
          <t>DALARNAS LÄN</t>
        </is>
      </c>
      <c r="G142" t="inlineStr">
        <is>
          <t>VANSBRO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45082</v>
      </c>
      <c r="E143" s="1" t="n">
        <v>46223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33109-2025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46223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33036-2025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46223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33056-2025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46223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33000-2025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46223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20931-2022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44701</v>
      </c>
      <c r="E148" s="1" t="n">
        <v>46223</v>
      </c>
      <c r="F148" t="inlineStr">
        <is>
          <t>DALARNAS LÄN</t>
        </is>
      </c>
      <c r="G148" t="inlineStr">
        <is>
          <t>VANSBRO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46223</v>
      </c>
      <c r="F149" t="inlineStr">
        <is>
          <t>DALARNAS LÄN</t>
        </is>
      </c>
      <c r="G149" t="inlineStr">
        <is>
          <t>VANSBRO</t>
        </is>
      </c>
      <c r="I149" t="n">
        <v>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6076-2026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46223</v>
      </c>
      <c r="F150" t="inlineStr">
        <is>
          <t>DALARNAS LÄN</t>
        </is>
      </c>
      <c r="G150" t="inlineStr">
        <is>
          <t>VANSBRO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46051</v>
      </c>
      <c r="E151" s="1" t="n">
        <v>46223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34440-2025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46223</v>
      </c>
      <c r="F152" t="inlineStr">
        <is>
          <t>DALARNAS LÄN</t>
        </is>
      </c>
      <c r="G152" t="inlineStr">
        <is>
          <t>VANSBRO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20185-2025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45772</v>
      </c>
      <c r="E153" s="1" t="n">
        <v>46223</v>
      </c>
      <c r="F153" t="inlineStr">
        <is>
          <t>DALARNAS LÄN</t>
        </is>
      </c>
      <c r="G153" t="inlineStr">
        <is>
          <t>VANSBRO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45854</v>
      </c>
      <c r="E154" s="1" t="n">
        <v>46223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46223</v>
      </c>
      <c r="F155" t="inlineStr">
        <is>
          <t>DALARNAS LÄN</t>
        </is>
      </c>
      <c r="G155" t="inlineStr">
        <is>
          <t>VANSBRO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54423-2024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46223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46223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56773-2023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46223</v>
      </c>
      <c r="F158" t="inlineStr">
        <is>
          <t>DALARNAS LÄN</t>
        </is>
      </c>
      <c r="G158" t="inlineStr">
        <is>
          <t>VANSBRO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35782-2025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45860</v>
      </c>
      <c r="E159" s="1" t="n">
        <v>46223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46223</v>
      </c>
      <c r="F160" t="inlineStr">
        <is>
          <t>DALARNAS LÄN</t>
        </is>
      </c>
      <c r="G160" t="inlineStr">
        <is>
          <t>VANSBRO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47833-2025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46223</v>
      </c>
      <c r="F161" t="inlineStr">
        <is>
          <t>DALARNAS LÄN</t>
        </is>
      </c>
      <c r="G161" t="inlineStr">
        <is>
          <t>VANSBRO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47897-2025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46223</v>
      </c>
      <c r="F162" t="inlineStr">
        <is>
          <t>DALARNAS LÄN</t>
        </is>
      </c>
      <c r="G162" t="inlineStr">
        <is>
          <t>VANSBRO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46223</v>
      </c>
      <c r="F163" t="inlineStr">
        <is>
          <t>DALARNAS LÄN</t>
        </is>
      </c>
      <c r="G163" t="inlineStr">
        <is>
          <t>VANSBRO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28924-2024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45481</v>
      </c>
      <c r="E164" s="1" t="n">
        <v>46223</v>
      </c>
      <c r="F164" t="inlineStr">
        <is>
          <t>DALARNAS LÄN</t>
        </is>
      </c>
      <c r="G164" t="inlineStr">
        <is>
          <t>VANSBRO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16830-2025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45754</v>
      </c>
      <c r="E165" s="1" t="n">
        <v>46223</v>
      </c>
      <c r="F165" t="inlineStr">
        <is>
          <t>DALARNAS LÄN</t>
        </is>
      </c>
      <c r="G165" t="inlineStr">
        <is>
          <t>VANSBRO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59142-2024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45637</v>
      </c>
      <c r="E166" s="1" t="n">
        <v>46223</v>
      </c>
      <c r="F166" t="inlineStr">
        <is>
          <t>DALARNAS LÄN</t>
        </is>
      </c>
      <c r="G166" t="inlineStr">
        <is>
          <t>VANSBRO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39336-2023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46223</v>
      </c>
      <c r="F167" t="inlineStr">
        <is>
          <t>DALARNAS LÄN</t>
        </is>
      </c>
      <c r="G167" t="inlineStr">
        <is>
          <t>VANSBRO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46223</v>
      </c>
      <c r="F168" t="inlineStr">
        <is>
          <t>DALARNAS LÄN</t>
        </is>
      </c>
      <c r="G168" t="inlineStr">
        <is>
          <t>VANSBRO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7236-2026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46223</v>
      </c>
      <c r="F169" t="inlineStr">
        <is>
          <t>DALARNAS LÄN</t>
        </is>
      </c>
      <c r="G169" t="inlineStr">
        <is>
          <t>VANSBRO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36382-2025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45868</v>
      </c>
      <c r="E170" s="1" t="n">
        <v>46223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46223</v>
      </c>
      <c r="F171" t="inlineStr">
        <is>
          <t>DALARNAS LÄN</t>
        </is>
      </c>
      <c r="G171" t="inlineStr">
        <is>
          <t>VANSBRO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46223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48840-2025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45937</v>
      </c>
      <c r="E173" s="1" t="n">
        <v>46223</v>
      </c>
      <c r="F173" t="inlineStr">
        <is>
          <t>DALARNAS LÄN</t>
        </is>
      </c>
      <c r="G173" t="inlineStr">
        <is>
          <t>VANSBRO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57903-2024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46223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46223</v>
      </c>
      <c r="F175" t="inlineStr">
        <is>
          <t>DALARNAS LÄN</t>
        </is>
      </c>
      <c r="G175" t="inlineStr">
        <is>
          <t>VANSBRO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51396-2022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44869</v>
      </c>
      <c r="E176" s="1" t="n">
        <v>46223</v>
      </c>
      <c r="F176" t="inlineStr">
        <is>
          <t>DALARNAS LÄN</t>
        </is>
      </c>
      <c r="G176" t="inlineStr">
        <is>
          <t>VANSBRO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49679-2025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46223</v>
      </c>
      <c r="F177" t="inlineStr">
        <is>
          <t>DALARNAS LÄN</t>
        </is>
      </c>
      <c r="G177" t="inlineStr">
        <is>
          <t>VANSBRO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49673-2025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46223</v>
      </c>
      <c r="F178" t="inlineStr">
        <is>
          <t>DALARNAS LÄN</t>
        </is>
      </c>
      <c r="G178" t="inlineStr">
        <is>
          <t>VANSBRO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46223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45876</v>
      </c>
      <c r="E180" s="1" t="n">
        <v>46223</v>
      </c>
      <c r="F180" t="inlineStr">
        <is>
          <t>DALARNAS LÄN</t>
        </is>
      </c>
      <c r="G180" t="inlineStr">
        <is>
          <t>VANSBRO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37287-2025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46223</v>
      </c>
      <c r="F181" t="inlineStr">
        <is>
          <t>DALARNAS LÄN</t>
        </is>
      </c>
      <c r="G181" t="inlineStr">
        <is>
          <t>VANSBRO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46223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46466-2024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46223</v>
      </c>
      <c r="F183" t="inlineStr">
        <is>
          <t>DALARNAS LÄN</t>
        </is>
      </c>
      <c r="G183" t="inlineStr">
        <is>
          <t>VANSBRO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57904-2024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45631</v>
      </c>
      <c r="E184" s="1" t="n">
        <v>46223</v>
      </c>
      <c r="F184" t="inlineStr">
        <is>
          <t>DALARNAS LÄN</t>
        </is>
      </c>
      <c r="G184" t="inlineStr">
        <is>
          <t>VANSBRO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46223</v>
      </c>
      <c r="F185" t="inlineStr">
        <is>
          <t>DALARNAS LÄN</t>
        </is>
      </c>
      <c r="G185" t="inlineStr">
        <is>
          <t>VANSBRO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46223</v>
      </c>
      <c r="F186" t="inlineStr">
        <is>
          <t>DALARNAS LÄN</t>
        </is>
      </c>
      <c r="G186" t="inlineStr">
        <is>
          <t>VANSBRO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7779-2026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46223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46223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45532</v>
      </c>
      <c r="E189" s="1" t="n">
        <v>46223</v>
      </c>
      <c r="F189" t="inlineStr">
        <is>
          <t>DALARNAS LÄN</t>
        </is>
      </c>
      <c r="G189" t="inlineStr">
        <is>
          <t>VANSBRO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45952</v>
      </c>
      <c r="E190" s="1" t="n">
        <v>46223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46223</v>
      </c>
      <c r="F191" t="inlineStr">
        <is>
          <t>DALARNAS LÄN</t>
        </is>
      </c>
      <c r="G191" t="inlineStr">
        <is>
          <t>VANSBRO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39974-2022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46223</v>
      </c>
      <c r="F192" t="inlineStr">
        <is>
          <t>DALARNAS LÄN</t>
        </is>
      </c>
      <c r="G192" t="inlineStr">
        <is>
          <t>VANSBRO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46223</v>
      </c>
      <c r="F193" t="inlineStr">
        <is>
          <t>DALARNAS LÄN</t>
        </is>
      </c>
      <c r="G193" t="inlineStr">
        <is>
          <t>VANSBRO</t>
        </is>
      </c>
      <c r="I193" t="n">
        <v>15.1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61663-2024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46223</v>
      </c>
      <c r="F194" t="inlineStr">
        <is>
          <t>DALARNAS LÄN</t>
        </is>
      </c>
      <c r="G194" t="inlineStr">
        <is>
          <t>VANSBRO</t>
        </is>
      </c>
      <c r="I194" t="n">
        <v>8.800000000000001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46223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46223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51414-2021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44461</v>
      </c>
      <c r="E197" s="1" t="n">
        <v>46223</v>
      </c>
      <c r="F197" t="inlineStr">
        <is>
          <t>DALARNAS LÄN</t>
        </is>
      </c>
      <c r="G197" t="inlineStr">
        <is>
          <t>VANSBRO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46223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1140-2025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45666</v>
      </c>
      <c r="E199" s="1" t="n">
        <v>46223</v>
      </c>
      <c r="F199" t="inlineStr">
        <is>
          <t>DALARNAS LÄN</t>
        </is>
      </c>
      <c r="G199" t="inlineStr">
        <is>
          <t>VANSBRO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46223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46223</v>
      </c>
      <c r="F201" t="inlineStr">
        <is>
          <t>DALARNAS LÄN</t>
        </is>
      </c>
      <c r="G201" t="inlineStr">
        <is>
          <t>VANSBRO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46223</v>
      </c>
      <c r="F202" t="inlineStr">
        <is>
          <t>DALARNAS LÄN</t>
        </is>
      </c>
      <c r="G202" t="inlineStr">
        <is>
          <t>VANSBRO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46223</v>
      </c>
      <c r="F203" t="inlineStr">
        <is>
          <t>DALARNAS LÄN</t>
        </is>
      </c>
      <c r="G203" t="inlineStr">
        <is>
          <t>VANSBRO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46223</v>
      </c>
      <c r="F204" t="inlineStr">
        <is>
          <t>DALARNAS LÄN</t>
        </is>
      </c>
      <c r="G204" t="inlineStr">
        <is>
          <t>VANSBRO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45691</v>
      </c>
      <c r="E205" s="1" t="n">
        <v>46223</v>
      </c>
      <c r="F205" t="inlineStr">
        <is>
          <t>DALARNAS LÄN</t>
        </is>
      </c>
      <c r="G205" t="inlineStr">
        <is>
          <t>VANSBRO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46223</v>
      </c>
      <c r="F206" t="inlineStr">
        <is>
          <t>DALARNAS LÄN</t>
        </is>
      </c>
      <c r="G206" t="inlineStr">
        <is>
          <t>VANSBRO</t>
        </is>
      </c>
      <c r="I206" t="n">
        <v>19.1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46223</v>
      </c>
      <c r="F207" t="inlineStr">
        <is>
          <t>DALARNAS LÄN</t>
        </is>
      </c>
      <c r="G207" t="inlineStr">
        <is>
          <t>VANSBRO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4680-2023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44957</v>
      </c>
      <c r="E208" s="1" t="n">
        <v>46223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46223</v>
      </c>
      <c r="F209" t="inlineStr">
        <is>
          <t>DALARNAS LÄN</t>
        </is>
      </c>
      <c r="G209" t="inlineStr">
        <is>
          <t>VANSBRO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46223</v>
      </c>
      <c r="F210" t="inlineStr">
        <is>
          <t>DALARNAS LÄN</t>
        </is>
      </c>
      <c r="G210" t="inlineStr">
        <is>
          <t>VANSBRO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46223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53989-2025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46223</v>
      </c>
      <c r="F212" t="inlineStr">
        <is>
          <t>DALARNAS LÄN</t>
        </is>
      </c>
      <c r="G212" t="inlineStr">
        <is>
          <t>VANSBRO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7764-2026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46223</v>
      </c>
      <c r="F213" t="inlineStr">
        <is>
          <t>DALARNAS LÄN</t>
        </is>
      </c>
      <c r="G213" t="inlineStr">
        <is>
          <t>VANSBRO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46223</v>
      </c>
      <c r="F214" t="inlineStr">
        <is>
          <t>DALARNAS LÄN</t>
        </is>
      </c>
      <c r="G214" t="inlineStr">
        <is>
          <t>VANSBRO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46223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46223</v>
      </c>
      <c r="F216" t="inlineStr">
        <is>
          <t>DALARNAS LÄN</t>
        </is>
      </c>
      <c r="G216" t="inlineStr">
        <is>
          <t>VANSBRO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46223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54736-2025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46223</v>
      </c>
      <c r="F218" t="inlineStr">
        <is>
          <t>DALARNAS LÄN</t>
        </is>
      </c>
      <c r="G218" t="inlineStr">
        <is>
          <t>VANSBRO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54591-2025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46223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46223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46223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18304-2025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46223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56043-2025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46223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46223</v>
      </c>
      <c r="F224" t="inlineStr">
        <is>
          <t>DALARNAS LÄN</t>
        </is>
      </c>
      <c r="G224" t="inlineStr">
        <is>
          <t>VANSBRO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11350-2026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46082</v>
      </c>
      <c r="E225" s="1" t="n">
        <v>46223</v>
      </c>
      <c r="F225" t="inlineStr">
        <is>
          <t>DALARNAS LÄN</t>
        </is>
      </c>
      <c r="G225" t="inlineStr">
        <is>
          <t>VANSBRO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13327-2025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45735</v>
      </c>
      <c r="E226" s="1" t="n">
        <v>46223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57255-2025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45979</v>
      </c>
      <c r="E227" s="1" t="n">
        <v>46223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11349-2026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46223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46084</v>
      </c>
      <c r="E229" s="1" t="n">
        <v>46223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46223</v>
      </c>
      <c r="F230" t="inlineStr">
        <is>
          <t>DALARNAS LÄN</t>
        </is>
      </c>
      <c r="G230" t="inlineStr">
        <is>
          <t>VANSBRO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45689</v>
      </c>
      <c r="E231" s="1" t="n">
        <v>46223</v>
      </c>
      <c r="F231" t="inlineStr">
        <is>
          <t>DALARNAS LÄN</t>
        </is>
      </c>
      <c r="G231" t="inlineStr">
        <is>
          <t>VANSBRO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57716-2025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46223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58733-2025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46223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12475-2026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46223</v>
      </c>
      <c r="F234" t="inlineStr">
        <is>
          <t>DALARNAS LÄN</t>
        </is>
      </c>
      <c r="G234" t="inlineStr">
        <is>
          <t>VANSBRO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46223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8694-2023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44972</v>
      </c>
      <c r="E236" s="1" t="n">
        <v>46223</v>
      </c>
      <c r="F236" t="inlineStr">
        <is>
          <t>DALARNAS LÄN</t>
        </is>
      </c>
      <c r="G236" t="inlineStr">
        <is>
          <t>VANSBRO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44908</v>
      </c>
      <c r="E237" s="1" t="n">
        <v>46223</v>
      </c>
      <c r="F237" t="inlineStr">
        <is>
          <t>DALARNAS LÄN</t>
        </is>
      </c>
      <c r="G237" t="inlineStr">
        <is>
          <t>VANSBRO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46223</v>
      </c>
      <c r="F238" t="inlineStr">
        <is>
          <t>DALARNAS LÄN</t>
        </is>
      </c>
      <c r="G238" t="inlineStr">
        <is>
          <t>VANSBRO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46165-2021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44442</v>
      </c>
      <c r="E239" s="1" t="n">
        <v>46223</v>
      </c>
      <c r="F239" t="inlineStr">
        <is>
          <t>DALARNAS LÄN</t>
        </is>
      </c>
      <c r="G239" t="inlineStr">
        <is>
          <t>VANSBRO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46223</v>
      </c>
      <c r="F240" t="inlineStr">
        <is>
          <t>DALARNAS LÄN</t>
        </is>
      </c>
      <c r="G240" t="inlineStr">
        <is>
          <t>VANSBRO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13392-2026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46223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13495-2026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46223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13403-2026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46223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13506-2026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46223</v>
      </c>
      <c r="F244" t="inlineStr">
        <is>
          <t>DALARNAS LÄN</t>
        </is>
      </c>
      <c r="G244" t="inlineStr">
        <is>
          <t>VANSBRO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61598-2025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46223</v>
      </c>
      <c r="F245" t="inlineStr">
        <is>
          <t>DALARNAS LÄN</t>
        </is>
      </c>
      <c r="G245" t="inlineStr">
        <is>
          <t>VANSBRO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14112-2026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46223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51606-2023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46223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12917-2026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46223</v>
      </c>
      <c r="F248" t="inlineStr">
        <is>
          <t>DALARNAS LÄN</t>
        </is>
      </c>
      <c r="G248" t="inlineStr">
        <is>
          <t>VANSBRO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46223</v>
      </c>
      <c r="F249" t="inlineStr">
        <is>
          <t>DALARNAS LÄN</t>
        </is>
      </c>
      <c r="G249" t="inlineStr">
        <is>
          <t>VANSBRO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46223</v>
      </c>
      <c r="F250" t="inlineStr">
        <is>
          <t>DALARNAS LÄN</t>
        </is>
      </c>
      <c r="G250" t="inlineStr">
        <is>
          <t>VANSBRO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11274-2024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45371</v>
      </c>
      <c r="E251" s="1" t="n">
        <v>46223</v>
      </c>
      <c r="F251" t="inlineStr">
        <is>
          <t>DALARNAS LÄN</t>
        </is>
      </c>
      <c r="G251" t="inlineStr">
        <is>
          <t>VANSBRO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46033</v>
      </c>
      <c r="E252" s="1" t="n">
        <v>46223</v>
      </c>
      <c r="F252" t="inlineStr">
        <is>
          <t>DALARNAS LÄN</t>
        </is>
      </c>
      <c r="G252" t="inlineStr">
        <is>
          <t>VANSBRO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46223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öst AB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60031-2022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44909</v>
      </c>
      <c r="E254" s="1" t="n">
        <v>46223</v>
      </c>
      <c r="F254" t="inlineStr">
        <is>
          <t>DALARNAS LÄN</t>
        </is>
      </c>
      <c r="G254" t="inlineStr">
        <is>
          <t>VANSBRO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57947-2023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46223</v>
      </c>
      <c r="F255" t="inlineStr">
        <is>
          <t>DALARNAS LÄN</t>
        </is>
      </c>
      <c r="G255" t="inlineStr">
        <is>
          <t>VANSBRO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15408-2026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46223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46223</v>
      </c>
      <c r="F257" t="inlineStr">
        <is>
          <t>DALARNAS LÄN</t>
        </is>
      </c>
      <c r="G257" t="inlineStr">
        <is>
          <t>VANSBRO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33829-2024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46223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46223</v>
      </c>
      <c r="F259" t="inlineStr">
        <is>
          <t>DALARNAS LÄN</t>
        </is>
      </c>
      <c r="G259" t="inlineStr">
        <is>
          <t>VANSBRO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35299-2024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45530</v>
      </c>
      <c r="E260" s="1" t="n">
        <v>46223</v>
      </c>
      <c r="F260" t="inlineStr">
        <is>
          <t>DALARNAS LÄN</t>
        </is>
      </c>
      <c r="G260" t="inlineStr">
        <is>
          <t>VANSBRO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46037</v>
      </c>
      <c r="E261" s="1" t="n">
        <v>46223</v>
      </c>
      <c r="F261" t="inlineStr">
        <is>
          <t>DALARNAS LÄN</t>
        </is>
      </c>
      <c r="G261" t="inlineStr">
        <is>
          <t>VANSBRO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46223</v>
      </c>
      <c r="F262" t="inlineStr">
        <is>
          <t>DALARNAS LÄN</t>
        </is>
      </c>
      <c r="G262" t="inlineStr">
        <is>
          <t>VANSBRO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16134-2026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46108</v>
      </c>
      <c r="E263" s="1" t="n">
        <v>46223</v>
      </c>
      <c r="F263" t="inlineStr">
        <is>
          <t>DALARNAS LÄN</t>
        </is>
      </c>
      <c r="G263" t="inlineStr">
        <is>
          <t>VANSBRO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13062-2023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45002</v>
      </c>
      <c r="E264" s="1" t="n">
        <v>46223</v>
      </c>
      <c r="F264" t="inlineStr">
        <is>
          <t>DALARNAS LÄN</t>
        </is>
      </c>
      <c r="G264" t="inlineStr">
        <is>
          <t>VANSBRO</t>
        </is>
      </c>
      <c r="H264" t="inlineStr">
        <is>
          <t>Övriga statliga verk och myndigheter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62622-2022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44925</v>
      </c>
      <c r="E265" s="1" t="n">
        <v>46223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46223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16952-2026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46223</v>
      </c>
      <c r="F267" t="inlineStr">
        <is>
          <t>DALARNAS LÄN</t>
        </is>
      </c>
      <c r="G267" t="inlineStr">
        <is>
          <t>VANSBRO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16948-2026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46113</v>
      </c>
      <c r="E268" s="1" t="n">
        <v>46223</v>
      </c>
      <c r="F268" t="inlineStr">
        <is>
          <t>DALARNAS LÄN</t>
        </is>
      </c>
      <c r="G268" t="inlineStr">
        <is>
          <t>VANSBRO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17321-2026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46223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17553-2026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46223</v>
      </c>
      <c r="F270" t="inlineStr">
        <is>
          <t>DALARNAS LÄN</t>
        </is>
      </c>
      <c r="G270" t="inlineStr">
        <is>
          <t>VANSBRO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17609-2026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46223</v>
      </c>
      <c r="F271" t="inlineStr">
        <is>
          <t>DALARNAS LÄN</t>
        </is>
      </c>
      <c r="G271" t="inlineStr">
        <is>
          <t>VANSBRO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46223</v>
      </c>
      <c r="F272" t="inlineStr">
        <is>
          <t>DALARNAS LÄN</t>
        </is>
      </c>
      <c r="G272" t="inlineStr">
        <is>
          <t>VANSBRO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46223</v>
      </c>
      <c r="F273" t="inlineStr">
        <is>
          <t>DALARNAS LÄN</t>
        </is>
      </c>
      <c r="G273" t="inlineStr">
        <is>
          <t>VANSBRO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17551-2026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46120</v>
      </c>
      <c r="E274" s="1" t="n">
        <v>46223</v>
      </c>
      <c r="F274" t="inlineStr">
        <is>
          <t>DALARNAS LÄN</t>
        </is>
      </c>
      <c r="G274" t="inlineStr">
        <is>
          <t>VANSBRO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46223</v>
      </c>
      <c r="F275" t="inlineStr">
        <is>
          <t>DALARNAS LÄN</t>
        </is>
      </c>
      <c r="G275" t="inlineStr">
        <is>
          <t>VANSBRO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18068-2026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46223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27080-2024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45471</v>
      </c>
      <c r="E277" s="1" t="n">
        <v>46223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17998-2026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46223</v>
      </c>
      <c r="F278" t="inlineStr">
        <is>
          <t>DALARNAS LÄN</t>
        </is>
      </c>
      <c r="G278" t="inlineStr">
        <is>
          <t>VANSBRO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18140-2026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46223</v>
      </c>
      <c r="F279" t="inlineStr">
        <is>
          <t>DALARNAS LÄN</t>
        </is>
      </c>
      <c r="G279" t="inlineStr">
        <is>
          <t>VANSBRO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53828-2021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46223</v>
      </c>
      <c r="F280" t="inlineStr">
        <is>
          <t>DALARNAS LÄN</t>
        </is>
      </c>
      <c r="G280" t="inlineStr">
        <is>
          <t>VANSBRO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18586-2026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46223</v>
      </c>
      <c r="F281" t="inlineStr">
        <is>
          <t>DALARNAS LÄN</t>
        </is>
      </c>
      <c r="G281" t="inlineStr">
        <is>
          <t>VANSBRO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18577-2026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46223</v>
      </c>
      <c r="F282" t="inlineStr">
        <is>
          <t>DALARNAS LÄN</t>
        </is>
      </c>
      <c r="G282" t="inlineStr">
        <is>
          <t>VANSBRO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18588-2026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46223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46223</v>
      </c>
      <c r="F284" t="inlineStr">
        <is>
          <t>DALARNAS LÄN</t>
        </is>
      </c>
      <c r="G284" t="inlineStr">
        <is>
          <t>VANSBRO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46223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18823-2026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46223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18717-2026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46223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18709-2026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46128</v>
      </c>
      <c r="E288" s="1" t="n">
        <v>46223</v>
      </c>
      <c r="F288" t="inlineStr">
        <is>
          <t>DALARNAS LÄN</t>
        </is>
      </c>
      <c r="G288" t="inlineStr">
        <is>
          <t>VANSBRO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28007-2025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46223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19809-2026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46223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46223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45806</v>
      </c>
      <c r="E292" s="1" t="n">
        <v>46223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5420-2024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45331</v>
      </c>
      <c r="E293" s="1" t="n">
        <v>46223</v>
      </c>
      <c r="F293" t="inlineStr">
        <is>
          <t>DALARNAS LÄN</t>
        </is>
      </c>
      <c r="G293" t="inlineStr">
        <is>
          <t>VANSBRO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20208-2026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46223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50258-2024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46223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45.8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27000-2025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46223</v>
      </c>
      <c r="F296" t="inlineStr">
        <is>
          <t>DALARNAS LÄN</t>
        </is>
      </c>
      <c r="G296" t="inlineStr">
        <is>
          <t>VANSBRO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23899-2023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45078</v>
      </c>
      <c r="E297" s="1" t="n">
        <v>46223</v>
      </c>
      <c r="F297" t="inlineStr">
        <is>
          <t>DALARNAS LÄN</t>
        </is>
      </c>
      <c r="G297" t="inlineStr">
        <is>
          <t>VANSBRO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11485-2024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45372</v>
      </c>
      <c r="E298" s="1" t="n">
        <v>46223</v>
      </c>
      <c r="F298" t="inlineStr">
        <is>
          <t>DALARNAS LÄN</t>
        </is>
      </c>
      <c r="G298" t="inlineStr">
        <is>
          <t>VANSBRO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36855-2022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44805</v>
      </c>
      <c r="E299" s="1" t="n">
        <v>46223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21117-2024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46223</v>
      </c>
      <c r="F300" t="inlineStr">
        <is>
          <t>DALARNAS LÄN</t>
        </is>
      </c>
      <c r="G300" t="inlineStr">
        <is>
          <t>VANSBRO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45194</v>
      </c>
      <c r="E301" s="1" t="n">
        <v>46223</v>
      </c>
      <c r="F301" t="inlineStr">
        <is>
          <t>DALARNAS LÄN</t>
        </is>
      </c>
      <c r="G301" t="inlineStr">
        <is>
          <t>VANSBRO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46223</v>
      </c>
      <c r="F302" t="inlineStr">
        <is>
          <t>DALARNAS LÄN</t>
        </is>
      </c>
      <c r="G302" t="inlineStr">
        <is>
          <t>VANSBRO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11598-2025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46223</v>
      </c>
      <c r="F303" t="inlineStr">
        <is>
          <t>DALARNAS LÄN</t>
        </is>
      </c>
      <c r="G303" t="inlineStr">
        <is>
          <t>VANSBRO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921-2025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45665</v>
      </c>
      <c r="E304" s="1" t="n">
        <v>46223</v>
      </c>
      <c r="F304" t="inlineStr">
        <is>
          <t>DALARNAS LÄN</t>
        </is>
      </c>
      <c r="G304" t="inlineStr">
        <is>
          <t>VANSBRO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46223</v>
      </c>
      <c r="F305" t="inlineStr">
        <is>
          <t>DALARNAS LÄN</t>
        </is>
      </c>
      <c r="G305" t="inlineStr">
        <is>
          <t>VANSBRO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18306-2025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45762</v>
      </c>
      <c r="E306" s="1" t="n">
        <v>46223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56988-2023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46223</v>
      </c>
      <c r="F307" t="inlineStr">
        <is>
          <t>DALARNAS LÄN</t>
        </is>
      </c>
      <c r="G307" t="inlineStr">
        <is>
          <t>VANSBRO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35699-2023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46223</v>
      </c>
      <c r="F308" t="inlineStr">
        <is>
          <t>DALARNAS LÄN</t>
        </is>
      </c>
      <c r="G308" t="inlineStr">
        <is>
          <t>VANSBRO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6643-2025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46223</v>
      </c>
      <c r="F309" t="inlineStr">
        <is>
          <t>DALARNAS LÄN</t>
        </is>
      </c>
      <c r="G309" t="inlineStr">
        <is>
          <t>VANSBRO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5648-2026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46223</v>
      </c>
      <c r="F310" t="inlineStr">
        <is>
          <t>DALARNAS LÄN</t>
        </is>
      </c>
      <c r="G310" t="inlineStr">
        <is>
          <t>VANSBRO</t>
        </is>
      </c>
      <c r="I310" t="n">
        <v>13.9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49819-2025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46223</v>
      </c>
      <c r="F311" t="inlineStr">
        <is>
          <t>DALARNAS LÄN</t>
        </is>
      </c>
      <c r="G311" t="inlineStr">
        <is>
          <t>VANSBRO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24827-2022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44728</v>
      </c>
      <c r="E312" s="1" t="n">
        <v>46223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24839-2022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44728</v>
      </c>
      <c r="E313" s="1" t="n">
        <v>46223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46223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43258-2023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46223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64071-2025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46021</v>
      </c>
      <c r="E316" s="1" t="n">
        <v>46223</v>
      </c>
      <c r="F316" t="inlineStr">
        <is>
          <t>DALARNAS LÄN</t>
        </is>
      </c>
      <c r="G316" t="inlineStr">
        <is>
          <t>VANSBRO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25958-2026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26689-2026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46223</v>
      </c>
      <c r="F318" t="inlineStr">
        <is>
          <t>DALARNAS LÄN</t>
        </is>
      </c>
      <c r="G318" t="inlineStr">
        <is>
          <t>VANSBRO</t>
        </is>
      </c>
      <c r="H318" t="inlineStr">
        <is>
          <t>Övriga statliga verk och myndigheter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46223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26542-2026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46183</v>
      </c>
      <c r="E320" s="1" t="n">
        <v>46223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25496-2024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46223</v>
      </c>
      <c r="F321" t="inlineStr">
        <is>
          <t>DALARNAS LÄN</t>
        </is>
      </c>
      <c r="G321" t="inlineStr">
        <is>
          <t>VANSBRO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10013-2024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46223</v>
      </c>
      <c r="F322" t="inlineStr">
        <is>
          <t>DALARNAS LÄN</t>
        </is>
      </c>
      <c r="G322" t="inlineStr">
        <is>
          <t>VANSBRO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28011-2025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46223</v>
      </c>
      <c r="F323" t="inlineStr">
        <is>
          <t>DALARNAS LÄN</t>
        </is>
      </c>
      <c r="G323" t="inlineStr">
        <is>
          <t>VANSBRO</t>
        </is>
      </c>
      <c r="I323" t="n">
        <v>15.8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40290-2023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45169</v>
      </c>
      <c r="E324" s="1" t="n">
        <v>46223</v>
      </c>
      <c r="F324" t="inlineStr">
        <is>
          <t>DALARNAS LÄN</t>
        </is>
      </c>
      <c r="G324" t="inlineStr">
        <is>
          <t>VANSBRO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20732-2026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46223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öst AB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43658-2023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46223</v>
      </c>
      <c r="F326" t="inlineStr">
        <is>
          <t>DALARNAS LÄN</t>
        </is>
      </c>
      <c r="G326" t="inlineStr">
        <is>
          <t>VANSBRO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11007-2026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46223</v>
      </c>
      <c r="F327" t="inlineStr">
        <is>
          <t>DALARNAS LÄN</t>
        </is>
      </c>
      <c r="G327" t="inlineStr">
        <is>
          <t>VANSBRO</t>
        </is>
      </c>
      <c r="H327" t="inlineStr">
        <is>
          <t>Övriga statliga verk och myndigheter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50741-2022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46223</v>
      </c>
      <c r="F328" t="inlineStr">
        <is>
          <t>DALARNAS LÄN</t>
        </is>
      </c>
      <c r="G328" t="inlineStr">
        <is>
          <t>VANSBRO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27344-2026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46223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46223</v>
      </c>
      <c r="F330" t="inlineStr">
        <is>
          <t>DALARNAS LÄN</t>
        </is>
      </c>
      <c r="G330" t="inlineStr">
        <is>
          <t>VANSBRO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46223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45215</v>
      </c>
      <c r="E332" s="1" t="n">
        <v>46223</v>
      </c>
      <c r="F332" t="inlineStr">
        <is>
          <t>DALARNAS LÄN</t>
        </is>
      </c>
      <c r="G332" t="inlineStr">
        <is>
          <t>VANSBRO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50141-2023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46223</v>
      </c>
      <c r="F333" t="inlineStr">
        <is>
          <t>DALARNAS LÄN</t>
        </is>
      </c>
      <c r="G333" t="inlineStr">
        <is>
          <t>VANSBRO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27334-2026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46223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16827-2025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46223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59435-2023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46223</v>
      </c>
      <c r="F336" t="inlineStr">
        <is>
          <t>DALARNAS LÄN</t>
        </is>
      </c>
      <c r="G336" t="inlineStr">
        <is>
          <t>VANSBRO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46223</v>
      </c>
      <c r="F337" t="inlineStr">
        <is>
          <t>DALARNAS LÄN</t>
        </is>
      </c>
      <c r="G337" t="inlineStr">
        <is>
          <t>VANSBRO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59600-2023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45254</v>
      </c>
      <c r="E338" s="1" t="n">
        <v>46223</v>
      </c>
      <c r="F338" t="inlineStr">
        <is>
          <t>DALARNAS LÄN</t>
        </is>
      </c>
      <c r="G338" t="inlineStr">
        <is>
          <t>VANSBRO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27631-2026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46223</v>
      </c>
      <c r="F339" t="inlineStr">
        <is>
          <t>DALARNAS LÄN</t>
        </is>
      </c>
      <c r="G339" t="inlineStr">
        <is>
          <t>VANSBRO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27629-2026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46223</v>
      </c>
      <c r="F340" t="inlineStr">
        <is>
          <t>DALARNAS LÄN</t>
        </is>
      </c>
      <c r="G340" t="inlineStr">
        <is>
          <t>VANSBRO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46223</v>
      </c>
      <c r="F341" t="inlineStr">
        <is>
          <t>DALARNAS LÄN</t>
        </is>
      </c>
      <c r="G341" t="inlineStr">
        <is>
          <t>VANSBRO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55078-2022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44886</v>
      </c>
      <c r="E342" s="1" t="n">
        <v>46223</v>
      </c>
      <c r="F342" t="inlineStr">
        <is>
          <t>DALARNAS LÄN</t>
        </is>
      </c>
      <c r="G342" t="inlineStr">
        <is>
          <t>VANSBRO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27930-2026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46223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27117-2026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46223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26669-2026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46223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27937-2026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46223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21744-2026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46149</v>
      </c>
      <c r="E347" s="1" t="n">
        <v>46223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27932-2026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46223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7864-2024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46223</v>
      </c>
      <c r="F349" t="inlineStr">
        <is>
          <t>DALARNAS LÄN</t>
        </is>
      </c>
      <c r="G349" t="inlineStr">
        <is>
          <t>VANSBRO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22379-2026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46154</v>
      </c>
      <c r="E350" s="1" t="n">
        <v>46223</v>
      </c>
      <c r="F350" t="inlineStr">
        <is>
          <t>DALARNAS LÄN</t>
        </is>
      </c>
      <c r="G350" t="inlineStr">
        <is>
          <t>VANSBRO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22384-2026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46154</v>
      </c>
      <c r="E351" s="1" t="n">
        <v>46223</v>
      </c>
      <c r="F351" t="inlineStr">
        <is>
          <t>DALARNAS LÄN</t>
        </is>
      </c>
      <c r="G351" t="inlineStr">
        <is>
          <t>VANSBRO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20419-2025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46223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61717-2023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46223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28069-2026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46223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46223</v>
      </c>
      <c r="F355" t="inlineStr">
        <is>
          <t>DALARNAS LÄN</t>
        </is>
      </c>
      <c r="G355" t="inlineStr">
        <is>
          <t>VANSBRO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11408-2025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45726</v>
      </c>
      <c r="E356" s="1" t="n">
        <v>46223</v>
      </c>
      <c r="F356" t="inlineStr">
        <is>
          <t>DALARNAS LÄN</t>
        </is>
      </c>
      <c r="G356" t="inlineStr">
        <is>
          <t>VANSBRO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33837-2024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46223</v>
      </c>
      <c r="F357" t="inlineStr">
        <is>
          <t>DALARNAS LÄN</t>
        </is>
      </c>
      <c r="G357" t="inlineStr">
        <is>
          <t>VANSBRO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39484-2025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46223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35537-2024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46223</v>
      </c>
      <c r="F359" t="inlineStr">
        <is>
          <t>DALARNAS LÄN</t>
        </is>
      </c>
      <c r="G359" t="inlineStr">
        <is>
          <t>VANSBRO</t>
        </is>
      </c>
      <c r="H359" t="inlineStr">
        <is>
          <t>Övriga statliga verk och myndigheter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28480-2026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46223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27242-2026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46223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61515-2022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44916</v>
      </c>
      <c r="E362" s="1" t="n">
        <v>46223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28466-2026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46197</v>
      </c>
      <c r="E363" s="1" t="n">
        <v>46223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46223</v>
      </c>
      <c r="F364" t="inlineStr">
        <is>
          <t>DALARNAS LÄN</t>
        </is>
      </c>
      <c r="G364" t="inlineStr">
        <is>
          <t>VANSBRO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44960</v>
      </c>
      <c r="E365" s="1" t="n">
        <v>46223</v>
      </c>
      <c r="F365" t="inlineStr">
        <is>
          <t>DALARNAS LÄN</t>
        </is>
      </c>
      <c r="G365" t="inlineStr">
        <is>
          <t>VANSBRO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29035-2026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46223</v>
      </c>
      <c r="F366" t="inlineStr">
        <is>
          <t>DALARNAS LÄN</t>
        </is>
      </c>
      <c r="G366" t="inlineStr">
        <is>
          <t>VANSBRO</t>
        </is>
      </c>
      <c r="I366" t="n">
        <v>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41371-2022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44826</v>
      </c>
      <c r="E367" s="1" t="n">
        <v>46223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7142-2023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46223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46223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54159-2022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44881</v>
      </c>
      <c r="E370" s="1" t="n">
        <v>46223</v>
      </c>
      <c r="F370" t="inlineStr">
        <is>
          <t>DALARNAS LÄN</t>
        </is>
      </c>
      <c r="G370" t="inlineStr">
        <is>
          <t>VANSBRO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22756-2024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45448</v>
      </c>
      <c r="E371" s="1" t="n">
        <v>46223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46223</v>
      </c>
      <c r="F372" t="inlineStr">
        <is>
          <t>DALARNAS LÄN</t>
        </is>
      </c>
      <c r="G372" t="inlineStr">
        <is>
          <t>VANSBRO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23059-2026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46223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23018-2026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46223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30342-2023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46223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29671-2026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46223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29687-2026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46223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öst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29621-2026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46223</v>
      </c>
      <c r="F378" t="inlineStr">
        <is>
          <t>DALARNAS LÄN</t>
        </is>
      </c>
      <c r="G378" t="inlineStr">
        <is>
          <t>VANSBRO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46223</v>
      </c>
      <c r="F379" t="inlineStr">
        <is>
          <t>DALARNAS LÄN</t>
        </is>
      </c>
      <c r="G379" t="inlineStr">
        <is>
          <t>VANSBRO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29442-2026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46223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55942-2023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46223</v>
      </c>
      <c r="F381" t="inlineStr">
        <is>
          <t>DALARNAS LÄN</t>
        </is>
      </c>
      <c r="G381" t="inlineStr">
        <is>
          <t>VANSBRO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56129-2023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45240</v>
      </c>
      <c r="E382" s="1" t="n">
        <v>46223</v>
      </c>
      <c r="F382" t="inlineStr">
        <is>
          <t>DALARNAS LÄN</t>
        </is>
      </c>
      <c r="G382" t="inlineStr">
        <is>
          <t>VANSBRO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48005-2022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46223</v>
      </c>
      <c r="F383" t="inlineStr">
        <is>
          <t>DALARNAS LÄN</t>
        </is>
      </c>
      <c r="G383" t="inlineStr">
        <is>
          <t>VANSBRO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34882-2022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44796</v>
      </c>
      <c r="E384" s="1" t="n">
        <v>46223</v>
      </c>
      <c r="F384" t="inlineStr">
        <is>
          <t>DALARNAS LÄN</t>
        </is>
      </c>
      <c r="G384" t="inlineStr">
        <is>
          <t>VANSBRO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45214</v>
      </c>
      <c r="E385" s="1" t="n">
        <v>46223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29439-2026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46223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29630-2026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46223</v>
      </c>
      <c r="F387" t="inlineStr">
        <is>
          <t>DALARNAS LÄN</t>
        </is>
      </c>
      <c r="G387" t="inlineStr">
        <is>
          <t>VANSBRO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5386-2024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46223</v>
      </c>
      <c r="F388" t="inlineStr">
        <is>
          <t>DALARNAS LÄN</t>
        </is>
      </c>
      <c r="G388" t="inlineStr">
        <is>
          <t>VANSBRO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46223</v>
      </c>
      <c r="F389" t="inlineStr">
        <is>
          <t>DALARNAS LÄN</t>
        </is>
      </c>
      <c r="G389" t="inlineStr">
        <is>
          <t>VANSBRO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45356-2024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46223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23752-2026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46223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23780-2026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46223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45689</v>
      </c>
      <c r="E393" s="1" t="n">
        <v>46223</v>
      </c>
      <c r="F393" t="inlineStr">
        <is>
          <t>DALARNAS LÄN</t>
        </is>
      </c>
      <c r="G393" t="inlineStr">
        <is>
          <t>VANSBRO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9296-2023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46223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21418-2023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46223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30568-2026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46223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55570-2023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46223</v>
      </c>
      <c r="F397" t="inlineStr">
        <is>
          <t>DALARNAS LÄN</t>
        </is>
      </c>
      <c r="G397" t="inlineStr">
        <is>
          <t>VANSBRO</t>
        </is>
      </c>
      <c r="H397" t="inlineStr">
        <is>
          <t>Övriga statliga verk och myndigheter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44931</v>
      </c>
      <c r="E398" s="1" t="n">
        <v>46223</v>
      </c>
      <c r="F398" t="inlineStr">
        <is>
          <t>DALARNAS LÄN</t>
        </is>
      </c>
      <c r="G398" t="inlineStr">
        <is>
          <t>VANSBRO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53498-2024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45614</v>
      </c>
      <c r="E399" s="1" t="n">
        <v>46223</v>
      </c>
      <c r="F399" t="inlineStr">
        <is>
          <t>DALARNAS LÄN</t>
        </is>
      </c>
      <c r="G399" t="inlineStr">
        <is>
          <t>VANSBRO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48111-2024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45589</v>
      </c>
      <c r="E400" s="1" t="n">
        <v>46223</v>
      </c>
      <c r="F400" t="inlineStr">
        <is>
          <t>DALARNAS LÄN</t>
        </is>
      </c>
      <c r="G400" t="inlineStr">
        <is>
          <t>VANSBRO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30509-2026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46210</v>
      </c>
      <c r="E401" s="1" t="n">
        <v>46223</v>
      </c>
      <c r="F401" t="inlineStr">
        <is>
          <t>DALARNAS LÄN</t>
        </is>
      </c>
      <c r="G401" t="inlineStr">
        <is>
          <t>VANSBRO</t>
        </is>
      </c>
      <c r="H401" t="inlineStr">
        <is>
          <t>Övriga statliga verk och myndigheter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30784-2026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46212</v>
      </c>
      <c r="E402" s="1" t="n">
        <v>46223</v>
      </c>
      <c r="F402" t="inlineStr">
        <is>
          <t>DALARNAS LÄN</t>
        </is>
      </c>
      <c r="G402" t="inlineStr">
        <is>
          <t>VANSBRO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9298-2023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46223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30796-2026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46212</v>
      </c>
      <c r="E404" s="1" t="n">
        <v>46223</v>
      </c>
      <c r="F404" t="inlineStr">
        <is>
          <t>DALARNAS LÄN</t>
        </is>
      </c>
      <c r="G404" t="inlineStr">
        <is>
          <t>VANSBRO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28872-2026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46199</v>
      </c>
      <c r="E405" s="1" t="n">
        <v>46223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34738-2023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46223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40382-2023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46223</v>
      </c>
      <c r="F407" t="inlineStr">
        <is>
          <t>DALARNAS LÄN</t>
        </is>
      </c>
      <c r="G407" t="inlineStr">
        <is>
          <t>VANSBRO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40383-2023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46223</v>
      </c>
      <c r="F408" t="inlineStr">
        <is>
          <t>DALARNAS LÄN</t>
        </is>
      </c>
      <c r="G408" t="inlineStr">
        <is>
          <t>VANSBRO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34277-2022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46223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46223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25045-2026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46223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29174-2026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46202</v>
      </c>
      <c r="E412" s="1" t="n">
        <v>46223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8447-2022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44612</v>
      </c>
      <c r="E413" s="1" t="n">
        <v>46223</v>
      </c>
      <c r="F413" t="inlineStr">
        <is>
          <t>DALARNAS LÄN</t>
        </is>
      </c>
      <c r="G413" t="inlineStr">
        <is>
          <t>VANSBRO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35365-2022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46223</v>
      </c>
      <c r="F414" t="inlineStr">
        <is>
          <t>DALARNAS LÄN</t>
        </is>
      </c>
      <c r="G414" t="inlineStr">
        <is>
          <t>VANSBRO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10886-2025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46223</v>
      </c>
      <c r="F415" t="inlineStr">
        <is>
          <t>DALARNAS LÄN</t>
        </is>
      </c>
      <c r="G415" t="inlineStr">
        <is>
          <t>VANSBRO</t>
        </is>
      </c>
      <c r="I415" t="n">
        <v>15.5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33520-2024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46223</v>
      </c>
      <c r="F416" t="inlineStr">
        <is>
          <t>DALARNAS LÄN</t>
        </is>
      </c>
      <c r="G416" t="inlineStr">
        <is>
          <t>VANSBRO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62398-2021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44503</v>
      </c>
      <c r="E417" s="1" t="n">
        <v>46223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öst AB</t>
        </is>
      </c>
      <c r="I417" t="n">
        <v>22.1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23432-2024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46223</v>
      </c>
      <c r="F418" t="inlineStr">
        <is>
          <t>DALARNAS LÄN</t>
        </is>
      </c>
      <c r="G418" t="inlineStr">
        <is>
          <t>VANSBRO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46223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24202-2026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46223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24277-2026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46223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46223</v>
      </c>
      <c r="F422" t="inlineStr">
        <is>
          <t>DALARNAS LÄN</t>
        </is>
      </c>
      <c r="G422" t="inlineStr">
        <is>
          <t>VANSBRO</t>
        </is>
      </c>
      <c r="I422" t="n">
        <v>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8793-2025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45712</v>
      </c>
      <c r="E423" s="1" t="n">
        <v>46223</v>
      </c>
      <c r="F423" t="inlineStr">
        <is>
          <t>DALARNAS LÄN</t>
        </is>
      </c>
      <c r="G423" t="inlineStr">
        <is>
          <t>VANSBRO</t>
        </is>
      </c>
      <c r="I423" t="n">
        <v>13.8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60036-2023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46223</v>
      </c>
      <c r="F424" t="inlineStr">
        <is>
          <t>DALARNAS LÄN</t>
        </is>
      </c>
      <c r="G424" t="inlineStr">
        <is>
          <t>VANSBRO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2086-2024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45309</v>
      </c>
      <c r="E425" s="1" t="n">
        <v>46223</v>
      </c>
      <c r="F425" t="inlineStr">
        <is>
          <t>DALARNAS LÄN</t>
        </is>
      </c>
      <c r="G425" t="inlineStr">
        <is>
          <t>VANSBRO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18882-2025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46223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47824-2023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45204</v>
      </c>
      <c r="E427" s="1" t="n">
        <v>46223</v>
      </c>
      <c r="F427" t="inlineStr">
        <is>
          <t>DALARNAS LÄN</t>
        </is>
      </c>
      <c r="G427" t="inlineStr">
        <is>
          <t>VANSBRO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46223</v>
      </c>
      <c r="F428" t="inlineStr">
        <is>
          <t>DALARNAS LÄN</t>
        </is>
      </c>
      <c r="G428" t="inlineStr">
        <is>
          <t>VANSBRO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56986-2023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46223</v>
      </c>
      <c r="F429" t="inlineStr">
        <is>
          <t>DALARNAS LÄN</t>
        </is>
      </c>
      <c r="G429" t="inlineStr">
        <is>
          <t>VANSBRO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42207-2021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44426</v>
      </c>
      <c r="E430" s="1" t="n">
        <v>46223</v>
      </c>
      <c r="F430" t="inlineStr">
        <is>
          <t>DALARNAS LÄN</t>
        </is>
      </c>
      <c r="G430" t="inlineStr">
        <is>
          <t>VANSBRO</t>
        </is>
      </c>
      <c r="I430" t="n">
        <v>25.5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29288-2024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46223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46223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46223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46223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23085-2022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44719</v>
      </c>
      <c r="E435" s="1" t="n">
        <v>46223</v>
      </c>
      <c r="F435" t="inlineStr">
        <is>
          <t>DALARNAS LÄN</t>
        </is>
      </c>
      <c r="G435" t="inlineStr">
        <is>
          <t>VANSBRO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45492</v>
      </c>
      <c r="E436" s="1" t="n">
        <v>46223</v>
      </c>
      <c r="F436" t="inlineStr">
        <is>
          <t>DALARNAS LÄN</t>
        </is>
      </c>
      <c r="G436" t="inlineStr">
        <is>
          <t>VANSBRO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29411-2024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45483</v>
      </c>
      <c r="E437" s="1" t="n">
        <v>46223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23792-2025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45793</v>
      </c>
      <c r="E438" s="1" t="n">
        <v>46223</v>
      </c>
      <c r="F438" t="inlineStr">
        <is>
          <t>DALARNAS LÄN</t>
        </is>
      </c>
      <c r="G438" t="inlineStr">
        <is>
          <t>VANSBRO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45688</v>
      </c>
      <c r="E439" s="1" t="n">
        <v>46223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35516-2024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46223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24522-2025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46223</v>
      </c>
      <c r="F441" t="inlineStr">
        <is>
          <t>DALARNAS LÄN</t>
        </is>
      </c>
      <c r="G441" t="inlineStr">
        <is>
          <t>VANSBRO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46223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46223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46223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46223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46223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46223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2026-07-20T01:49:35Z</dcterms:created>
  <dcterms:modified xmlns:dcterms="http://purl.org/dc/terms/" xmlns:xsi="http://www.w3.org/2001/XMLSchema-instance" xsi:type="dcterms:W3CDTF">2026-07-20T01:49:35Z</dcterms:modified>
</cp:coreProperties>
</file>