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46296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46296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46296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46296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46296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46296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46296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46296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46296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46296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46296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46296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46296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33962-2025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46296</v>
      </c>
      <c r="F15" t="inlineStr">
        <is>
          <t>DALARNAS LÄN</t>
        </is>
      </c>
      <c r="G15" t="inlineStr">
        <is>
          <t>VANSBRO</t>
        </is>
      </c>
      <c r="I15" t="n">
        <v>7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22</v>
      </c>
      <c r="U15" t="n">
        <v>22</v>
      </c>
      <c r="V15" s="2" t="inlineStr">
        <is>
          <t>Garnlav
Knärot
Lunglav
Tretåig hackspett
Vedticka
Spillkråka</t>
        </is>
      </c>
      <c r="W15">
        <f>HYPERLINK("https://klasma.github.io/Logging_2021/artfynd/A 33962-2025 artfynd.xlsx", "A 33962-2025")</f>
        <v/>
      </c>
      <c r="X15">
        <f>HYPERLINK("https://klasma.github.io/Logging_2021/kartor/A 33962-2025 karta.png", "A 33962-2025")</f>
        <v/>
      </c>
      <c r="Y15">
        <f>HYPERLINK("https://klasma.github.io/Logging_2021/kartor_geotiff/A 33962-2025 georefererad karta.tif", "A 33962-2025")</f>
        <v/>
      </c>
      <c r="Z15">
        <f>HYPERLINK("https://klasma.github.io/Logging_2021/knärot/A 33962-2025 karta knärot.png", "A 33962-2025")</f>
        <v/>
      </c>
      <c r="AA15">
        <f>HYPERLINK("https://klasma.github.io/Logging_2021/klagomål/A 33962-2025 FSC-klagomål.docx", "A 33962-2025")</f>
        <v/>
      </c>
      <c r="AB15">
        <f>HYPERLINK("https://klasma.github.io/Logging_2021/klagomålsmail/A 33962-2025 FSC-klagomål mail.docx", "A 33962-2025")</f>
        <v/>
      </c>
      <c r="AC15">
        <f>HYPERLINK("https://klasma.github.io/Logging_2021/tillsyn/A 33962-2025 tillsynsbegäran.docx", "A 33962-2025")</f>
        <v/>
      </c>
      <c r="AD15">
        <f>HYPERLINK("https://klasma.github.io/Logging_2021/tillsynsmail/A 33962-2025 tillsynsbegäran mail.docx", "A 33962-2025")</f>
        <v/>
      </c>
      <c r="AE15">
        <f>HYPERLINK("https://klasma.github.io/Logging_2021/fåglar/A 33962-2025 prioriterade fågelarter.docx", "A 33962-2025")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46296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46296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46296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46296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46296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3854-2024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46296</v>
      </c>
      <c r="F21" t="inlineStr">
        <is>
          <t>DALARNAS LÄN</t>
        </is>
      </c>
      <c r="G21" t="inlineStr">
        <is>
          <t>VANSBRO</t>
        </is>
      </c>
      <c r="H21" t="inlineStr">
        <is>
          <t>Kyrkan</t>
        </is>
      </c>
      <c r="I21" t="n">
        <v>4.6</v>
      </c>
      <c r="J21" t="n">
        <v>2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3</v>
      </c>
      <c r="V21" s="2" t="inlineStr">
        <is>
          <t>Garnlav
Tretåig hackspett
Björksplintborre
Utter</t>
        </is>
      </c>
      <c r="W21">
        <f>HYPERLINK("https://klasma.github.io/Logging_2021/artfynd/A 3854-2024 artfynd.xlsx", "A 3854-2024")</f>
        <v/>
      </c>
      <c r="X21">
        <f>HYPERLINK("https://klasma.github.io/Logging_2021/kartor/A 3854-2024 karta.png", "A 3854-2024")</f>
        <v/>
      </c>
      <c r="Y21">
        <f>HYPERLINK("https://klasma.github.io/Logging_2021/kartor_geotiff/A 3854-2024 georefererad karta.tif", "A 3854-2024")</f>
        <v/>
      </c>
      <c r="AA21">
        <f>HYPERLINK("https://klasma.github.io/Logging_2021/klagomål/A 3854-2024 FSC-klagomål.docx", "A 3854-2024")</f>
        <v/>
      </c>
      <c r="AB21">
        <f>HYPERLINK("https://klasma.github.io/Logging_2021/klagomålsmail/A 3854-2024 FSC-klagomål mail.docx", "A 3854-2024")</f>
        <v/>
      </c>
      <c r="AC21">
        <f>HYPERLINK("https://klasma.github.io/Logging_2021/tillsyn/A 3854-2024 tillsynsbegäran.docx", "A 3854-2024")</f>
        <v/>
      </c>
      <c r="AD21">
        <f>HYPERLINK("https://klasma.github.io/Logging_2021/tillsynsmail/A 3854-2024 tillsynsbegäran mail.docx", "A 3854-2024")</f>
        <v/>
      </c>
      <c r="AE21">
        <f>HYPERLINK("https://klasma.github.io/Logging_2021/fåglar/A 3854-2024 prioriterade fågelarter.docx", "A 3854-2024")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46296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46296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46296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46296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46296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11433-2025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45726</v>
      </c>
      <c r="E27" s="1" t="n">
        <v>46296</v>
      </c>
      <c r="F27" t="inlineStr">
        <is>
          <t>DALARNAS LÄN</t>
        </is>
      </c>
      <c r="G27" t="inlineStr">
        <is>
          <t>VANSBRO</t>
        </is>
      </c>
      <c r="I27" t="n">
        <v>7.5</v>
      </c>
      <c r="J27" t="n">
        <v>1</v>
      </c>
      <c r="K27" t="n">
        <v>1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24</v>
      </c>
      <c r="U27" t="n">
        <v>24</v>
      </c>
      <c r="V27" s="2" t="inlineStr">
        <is>
          <t>Garnlav
Knärot
Bollvitmossa</t>
        </is>
      </c>
      <c r="W27">
        <f>HYPERLINK("https://klasma.github.io/Logging_2021/artfynd/A 11433-2025 artfynd.xlsx", "A 11433-2025")</f>
        <v/>
      </c>
      <c r="X27">
        <f>HYPERLINK("https://klasma.github.io/Logging_2021/kartor/A 11433-2025 karta.png", "A 11433-2025")</f>
        <v/>
      </c>
      <c r="Y27">
        <f>HYPERLINK("https://klasma.github.io/Logging_2021/kartor_geotiff/A 11433-2025 georefererad karta.tif", "A 11433-2025")</f>
        <v/>
      </c>
      <c r="Z27">
        <f>HYPERLINK("https://klasma.github.io/Logging_2021/knärot/A 11433-2025 karta knärot.png", "A 11433-2025")</f>
        <v/>
      </c>
      <c r="AA27">
        <f>HYPERLINK("https://klasma.github.io/Logging_2021/klagomål/A 11433-2025 FSC-klagomål.docx", "A 11433-2025")</f>
        <v/>
      </c>
      <c r="AB27">
        <f>HYPERLINK("https://klasma.github.io/Logging_2021/klagomålsmail/A 11433-2025 FSC-klagomål mail.docx", "A 11433-2025")</f>
        <v/>
      </c>
      <c r="AC27">
        <f>HYPERLINK("https://klasma.github.io/Logging_2021/tillsyn/A 11433-2025 tillsynsbegäran.docx", "A 11433-2025")</f>
        <v/>
      </c>
      <c r="AD27">
        <f>HYPERLINK("https://klasma.github.io/Logging_2021/tillsynsmail/A 11433-2025 tillsynsbegäran mail.docx", "A 11433-2025")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46296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46296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46296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33898-2022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44790</v>
      </c>
      <c r="E31" s="1" t="n">
        <v>46296</v>
      </c>
      <c r="F31" t="inlineStr">
        <is>
          <t>DALARNAS LÄN</t>
        </is>
      </c>
      <c r="G31" t="inlineStr">
        <is>
          <t>VANSBRO</t>
        </is>
      </c>
      <c r="I31" t="n">
        <v>2.8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Kungsfågel</t>
        </is>
      </c>
      <c r="W31">
        <f>HYPERLINK("https://klasma.github.io/Logging_2021/artfynd/A 33898-2022 artfynd.xlsx", "A 33898-2022")</f>
        <v/>
      </c>
      <c r="X31">
        <f>HYPERLINK("https://klasma.github.io/Logging_2021/kartor/A 33898-2022 karta.png", "A 33898-2022")</f>
        <v/>
      </c>
      <c r="Y31">
        <f>HYPERLINK("https://klasma.github.io/Logging_2021/kartor_geotiff/A 33898-2022 georefererad karta.tif", "A 33898-2022")</f>
        <v/>
      </c>
      <c r="Z31">
        <f>HYPERLINK("https://klasma.github.io/Logging_2021/knärot/A 33898-2022 karta knärot.png", "A 33898-2022")</f>
        <v/>
      </c>
      <c r="AA31">
        <f>HYPERLINK("https://klasma.github.io/Logging_2021/klagomål/A 33898-2022 FSC-klagomål.docx", "A 33898-2022")</f>
        <v/>
      </c>
      <c r="AB31">
        <f>HYPERLINK("https://klasma.github.io/Logging_2021/klagomålsmail/A 33898-2022 FSC-klagomål mail.docx", "A 33898-2022")</f>
        <v/>
      </c>
      <c r="AC31">
        <f>HYPERLINK("https://klasma.github.io/Logging_2021/tillsyn/A 33898-2022 tillsynsbegäran.docx", "A 33898-2022")</f>
        <v/>
      </c>
      <c r="AD31">
        <f>HYPERLINK("https://klasma.github.io/Logging_2021/tillsynsmail/A 33898-2022 tillsynsbegäran mail.docx", "A 33898-2022")</f>
        <v/>
      </c>
    </row>
    <row r="32" ht="15" customHeight="1">
      <c r="A32" t="inlineStr">
        <is>
          <t>A 58009-2023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46296</v>
      </c>
      <c r="F32" t="inlineStr">
        <is>
          <t>DALARNAS LÄN</t>
        </is>
      </c>
      <c r="G32" t="inlineStr">
        <is>
          <t>VANSBRO</t>
        </is>
      </c>
      <c r="I32" t="n">
        <v>0.5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Sädesärla
Orre</t>
        </is>
      </c>
      <c r="W32">
        <f>HYPERLINK("https://klasma.github.io/Logging_2021/artfynd/A 58009-2023 artfynd.xlsx", "A 58009-2023")</f>
        <v/>
      </c>
      <c r="X32">
        <f>HYPERLINK("https://klasma.github.io/Logging_2021/kartor/A 58009-2023 karta.png", "A 58009-2023")</f>
        <v/>
      </c>
      <c r="Y32">
        <f>HYPERLINK("https://klasma.github.io/Logging_2021/kartor_geotiff/A 58009-2023 georefererad karta.tif", "A 58009-2023")</f>
        <v/>
      </c>
      <c r="AA32">
        <f>HYPERLINK("https://klasma.github.io/Logging_2021/klagomål/A 58009-2023 FSC-klagomål.docx", "A 58009-2023")</f>
        <v/>
      </c>
      <c r="AB32">
        <f>HYPERLINK("https://klasma.github.io/Logging_2021/klagomålsmail/A 58009-2023 FSC-klagomål mail.docx", "A 58009-2023")</f>
        <v/>
      </c>
      <c r="AC32">
        <f>HYPERLINK("https://klasma.github.io/Logging_2021/tillsyn/A 58009-2023 tillsynsbegäran.docx", "A 58009-2023")</f>
        <v/>
      </c>
      <c r="AD32">
        <f>HYPERLINK("https://klasma.github.io/Logging_2021/tillsynsmail/A 58009-2023 tillsynsbegäran mail.docx", "A 58009-2023")</f>
        <v/>
      </c>
      <c r="AE32">
        <f>HYPERLINK("https://klasma.github.io/Logging_2021/fåglar/A 58009-2023 prioriterade fågelarter.docx", "A 58009-2023")</f>
        <v/>
      </c>
    </row>
    <row r="33" ht="15" customHeight="1">
      <c r="A33" t="inlineStr">
        <is>
          <t>A 14475-2024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45394</v>
      </c>
      <c r="E33" s="1" t="n">
        <v>46296</v>
      </c>
      <c r="F33" t="inlineStr">
        <is>
          <t>DALARNAS LÄN</t>
        </is>
      </c>
      <c r="G33" t="inlineStr">
        <is>
          <t>VANSBRO</t>
        </is>
      </c>
      <c r="I33" t="n">
        <v>20.4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Dropptaggsvamp</t>
        </is>
      </c>
      <c r="W33">
        <f>HYPERLINK("https://klasma.github.io/Logging_2021/artfynd/A 14475-2024 artfynd.xlsx", "A 14475-2024")</f>
        <v/>
      </c>
      <c r="X33">
        <f>HYPERLINK("https://klasma.github.io/Logging_2021/kartor/A 14475-2024 karta.png", "A 14475-2024")</f>
        <v/>
      </c>
      <c r="Y33">
        <f>HYPERLINK("https://klasma.github.io/Logging_2021/kartor_geotiff/A 14475-2024 georefererad karta.tif", "A 14475-2024")</f>
        <v/>
      </c>
      <c r="AA33">
        <f>HYPERLINK("https://klasma.github.io/Logging_2021/klagomål/A 14475-2024 FSC-klagomål.docx", "A 14475-2024")</f>
        <v/>
      </c>
      <c r="AB33">
        <f>HYPERLINK("https://klasma.github.io/Logging_2021/klagomålsmail/A 14475-2024 FSC-klagomål mail.docx", "A 14475-2024")</f>
        <v/>
      </c>
      <c r="AC33">
        <f>HYPERLINK("https://klasma.github.io/Logging_2021/tillsyn/A 14475-2024 tillsynsbegäran.docx", "A 14475-2024")</f>
        <v/>
      </c>
      <c r="AD33">
        <f>HYPERLINK("https://klasma.github.io/Logging_2021/tillsynsmail/A 14475-2024 tillsynsbegäran mail.docx", "A 14475-2024")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46296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1691-2026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46296</v>
      </c>
      <c r="F35" t="inlineStr">
        <is>
          <t>DALARNAS LÄN</t>
        </is>
      </c>
      <c r="G35" t="inlineStr">
        <is>
          <t>VANSBRO</t>
        </is>
      </c>
      <c r="I35" t="n">
        <v>6.3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Motaggsvamp</t>
        </is>
      </c>
      <c r="W35">
        <f>HYPERLINK("https://klasma.github.io/Logging_2021/artfynd/A 1691-2026 artfynd.xlsx", "A 1691-2026")</f>
        <v/>
      </c>
      <c r="X35">
        <f>HYPERLINK("https://klasma.github.io/Logging_2021/kartor/A 1691-2026 karta.png", "A 1691-2026")</f>
        <v/>
      </c>
      <c r="Y35">
        <f>HYPERLINK("https://klasma.github.io/Logging_2021/kartor_geotiff/A 1691-2026 georefererad karta.tif", "A 1691-2026")</f>
        <v/>
      </c>
      <c r="AA35">
        <f>HYPERLINK("https://klasma.github.io/Logging_2021/klagomål/A 1691-2026 FSC-klagomål.docx", "A 1691-2026")</f>
        <v/>
      </c>
      <c r="AB35">
        <f>HYPERLINK("https://klasma.github.io/Logging_2021/klagomålsmail/A 1691-2026 FSC-klagomål mail.docx", "A 1691-2026")</f>
        <v/>
      </c>
      <c r="AC35">
        <f>HYPERLINK("https://klasma.github.io/Logging_2021/tillsyn/A 1691-2026 tillsynsbegäran.docx", "A 1691-2026")</f>
        <v/>
      </c>
      <c r="AD35">
        <f>HYPERLINK("https://klasma.github.io/Logging_2021/tillsynsmail/A 1691-2026 tillsynsbegäran mail.docx", "A 1691-2026")</f>
        <v/>
      </c>
    </row>
    <row r="36" ht="15" customHeight="1">
      <c r="A36" t="inlineStr">
        <is>
          <t>A 19656-2026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46296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18.2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Ängsblåvinge
Berggräsfjäril</t>
        </is>
      </c>
      <c r="W36">
        <f>HYPERLINK("https://klasma.github.io/Logging_2021/artfynd/A 19656-2026 artfynd.xlsx", "A 19656-2026")</f>
        <v/>
      </c>
      <c r="X36">
        <f>HYPERLINK("https://klasma.github.io/Logging_2021/kartor/A 19656-2026 karta.png", "A 19656-2026")</f>
        <v/>
      </c>
      <c r="Y36">
        <f>HYPERLINK("https://klasma.github.io/Logging_2021/kartor_geotiff/A 19656-2026 georefererad karta.tif", "A 19656-2026")</f>
        <v/>
      </c>
      <c r="AA36">
        <f>HYPERLINK("https://klasma.github.io/Logging_2021/klagomål/A 19656-2026 FSC-klagomål.docx", "A 19656-2026")</f>
        <v/>
      </c>
      <c r="AB36">
        <f>HYPERLINK("https://klasma.github.io/Logging_2021/klagomålsmail/A 19656-2026 FSC-klagomål mail.docx", "A 19656-2026")</f>
        <v/>
      </c>
      <c r="AC36">
        <f>HYPERLINK("https://klasma.github.io/Logging_2021/tillsyn/A 19656-2026 tillsynsbegäran.docx", "A 19656-2026")</f>
        <v/>
      </c>
      <c r="AD36">
        <f>HYPERLINK("https://klasma.github.io/Logging_2021/tillsynsmail/A 19656-2026 tillsynsbegäran mail.docx", "A 19656-2026")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46296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37219-2024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46296</v>
      </c>
      <c r="F38" t="inlineStr">
        <is>
          <t>DALARNAS LÄN</t>
        </is>
      </c>
      <c r="G38" t="inlineStr">
        <is>
          <t>VANSBRO</t>
        </is>
      </c>
      <c r="I38" t="n">
        <v>5.3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Tjäder</t>
        </is>
      </c>
      <c r="W38">
        <f>HYPERLINK("https://klasma.github.io/Logging_2021/artfynd/A 37219-2024 artfynd.xlsx", "A 37219-2024")</f>
        <v/>
      </c>
      <c r="X38">
        <f>HYPERLINK("https://klasma.github.io/Logging_2021/kartor/A 37219-2024 karta.png", "A 37219-2024")</f>
        <v/>
      </c>
      <c r="Y38">
        <f>HYPERLINK("https://klasma.github.io/Logging_2021/kartor_geotiff/A 37219-2024 georefererad karta.tif", "A 37219-2024")</f>
        <v/>
      </c>
      <c r="AA38">
        <f>HYPERLINK("https://klasma.github.io/Logging_2021/klagomål/A 37219-2024 FSC-klagomål.docx", "A 37219-2024")</f>
        <v/>
      </c>
      <c r="AB38">
        <f>HYPERLINK("https://klasma.github.io/Logging_2021/klagomålsmail/A 37219-2024 FSC-klagomål mail.docx", "A 37219-2024")</f>
        <v/>
      </c>
      <c r="AC38">
        <f>HYPERLINK("https://klasma.github.io/Logging_2021/tillsyn/A 37219-2024 tillsynsbegäran.docx", "A 37219-2024")</f>
        <v/>
      </c>
      <c r="AD38">
        <f>HYPERLINK("https://klasma.github.io/Logging_2021/tillsynsmail/A 37219-2024 tillsynsbegäran mail.docx", "A 37219-2024")</f>
        <v/>
      </c>
      <c r="AE38">
        <f>HYPERLINK("https://klasma.github.io/Logging_2021/fåglar/A 37219-2024 prioriterade fågelarter.docx", "A 37219-2024")</f>
        <v/>
      </c>
    </row>
    <row r="39" ht="15" customHeight="1">
      <c r="A39" t="inlineStr">
        <is>
          <t>A 54453-2024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45617</v>
      </c>
      <c r="E39" s="1" t="n">
        <v>46296</v>
      </c>
      <c r="F39" t="inlineStr">
        <is>
          <t>DALARNAS LÄN</t>
        </is>
      </c>
      <c r="G39" t="inlineStr">
        <is>
          <t>VANSBRO</t>
        </is>
      </c>
      <c r="I39" t="n">
        <v>0.4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Skarp dropptaggsvamp</t>
        </is>
      </c>
      <c r="W39">
        <f>HYPERLINK("https://klasma.github.io/Logging_2021/artfynd/A 54453-2024 artfynd.xlsx", "A 54453-2024")</f>
        <v/>
      </c>
      <c r="X39">
        <f>HYPERLINK("https://klasma.github.io/Logging_2021/kartor/A 54453-2024 karta.png", "A 54453-2024")</f>
        <v/>
      </c>
      <c r="Y39">
        <f>HYPERLINK("https://klasma.github.io/Logging_2021/kartor_geotiff/A 54453-2024 georefererad karta.tif", "A 54453-2024")</f>
        <v/>
      </c>
      <c r="AA39">
        <f>HYPERLINK("https://klasma.github.io/Logging_2021/klagomål/A 54453-2024 FSC-klagomål.docx", "A 54453-2024")</f>
        <v/>
      </c>
      <c r="AB39">
        <f>HYPERLINK("https://klasma.github.io/Logging_2021/klagomålsmail/A 54453-2024 FSC-klagomål mail.docx", "A 54453-2024")</f>
        <v/>
      </c>
      <c r="AC39">
        <f>HYPERLINK("https://klasma.github.io/Logging_2021/tillsyn/A 54453-2024 tillsynsbegäran.docx", "A 54453-2024")</f>
        <v/>
      </c>
      <c r="AD39">
        <f>HYPERLINK("https://klasma.github.io/Logging_2021/tillsynsmail/A 54453-2024 tillsynsbegäran mail.docx", "A 54453-2024")</f>
        <v/>
      </c>
    </row>
    <row r="40" ht="15" customHeight="1">
      <c r="A40" t="inlineStr">
        <is>
          <t>A 33250-2024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46296</v>
      </c>
      <c r="F40" t="inlineStr">
        <is>
          <t>DALARNAS LÄN</t>
        </is>
      </c>
      <c r="G40" t="inlineStr">
        <is>
          <t>VANSBRO</t>
        </is>
      </c>
      <c r="I40" t="n">
        <v>6.8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Reliktbock</t>
        </is>
      </c>
      <c r="W40">
        <f>HYPERLINK("https://klasma.github.io/Logging_2021/artfynd/A 33250-2024 artfynd.xlsx", "A 33250-2024")</f>
        <v/>
      </c>
      <c r="X40">
        <f>HYPERLINK("https://klasma.github.io/Logging_2021/kartor/A 33250-2024 karta.png", "A 33250-2024")</f>
        <v/>
      </c>
      <c r="Y40">
        <f>HYPERLINK("https://klasma.github.io/Logging_2021/kartor_geotiff/A 33250-2024 georefererad karta.tif", "A 33250-2024")</f>
        <v/>
      </c>
      <c r="AA40">
        <f>HYPERLINK("https://klasma.github.io/Logging_2021/klagomål/A 33250-2024 FSC-klagomål.docx", "A 33250-2024")</f>
        <v/>
      </c>
      <c r="AB40">
        <f>HYPERLINK("https://klasma.github.io/Logging_2021/klagomålsmail/A 33250-2024 FSC-klagomål mail.docx", "A 33250-2024")</f>
        <v/>
      </c>
      <c r="AC40">
        <f>HYPERLINK("https://klasma.github.io/Logging_2021/tillsyn/A 33250-2024 tillsynsbegäran.docx", "A 33250-2024")</f>
        <v/>
      </c>
      <c r="AD40">
        <f>HYPERLINK("https://klasma.github.io/Logging_2021/tillsynsmail/A 33250-2024 tillsynsbegäran mail.docx", "A 33250-2024")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46296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57810-2023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46296</v>
      </c>
      <c r="F42" t="inlineStr">
        <is>
          <t>DALARNAS LÄN</t>
        </is>
      </c>
      <c r="G42" t="inlineStr">
        <is>
          <t>VANSBRO</t>
        </is>
      </c>
      <c r="I42" t="n">
        <v>0.6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Järnsparv</t>
        </is>
      </c>
      <c r="W42">
        <f>HYPERLINK("https://klasma.github.io/Logging_2021/artfynd/A 57810-2023 artfynd.xlsx", "A 57810-2023")</f>
        <v/>
      </c>
      <c r="X42">
        <f>HYPERLINK("https://klasma.github.io/Logging_2021/kartor/A 57810-2023 karta.png", "A 57810-2023")</f>
        <v/>
      </c>
      <c r="Y42">
        <f>HYPERLINK("https://klasma.github.io/Logging_2021/kartor_geotiff/A 57810-2023 georefererad karta.tif", "A 57810-2023")</f>
        <v/>
      </c>
      <c r="AA42">
        <f>HYPERLINK("https://klasma.github.io/Logging_2021/klagomål/A 57810-2023 FSC-klagomål.docx", "A 57810-2023")</f>
        <v/>
      </c>
      <c r="AB42">
        <f>HYPERLINK("https://klasma.github.io/Logging_2021/klagomålsmail/A 57810-2023 FSC-klagomål mail.docx", "A 57810-2023")</f>
        <v/>
      </c>
      <c r="AC42">
        <f>HYPERLINK("https://klasma.github.io/Logging_2021/tillsyn/A 57810-2023 tillsynsbegäran.docx", "A 57810-2023")</f>
        <v/>
      </c>
      <c r="AD42">
        <f>HYPERLINK("https://klasma.github.io/Logging_2021/tillsynsmail/A 57810-2023 tillsynsbegäran mail.docx", "A 57810-2023")</f>
        <v/>
      </c>
      <c r="AE42">
        <f>HYPERLINK("https://klasma.github.io/Logging_2021/fåglar/A 57810-2023 prioriterade fågelarter.docx", "A 57810-2023")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46296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48109-2025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46296</v>
      </c>
      <c r="F44" t="inlineStr">
        <is>
          <t>DALARNAS LÄN</t>
        </is>
      </c>
      <c r="G44" t="inlineStr">
        <is>
          <t>VANSBRO</t>
        </is>
      </c>
      <c r="I44" t="n">
        <v>0.8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Gränsticka</t>
        </is>
      </c>
      <c r="W44">
        <f>HYPERLINK("https://klasma.github.io/Logging_2021/artfynd/A 48109-2025 artfynd.xlsx", "A 48109-2025")</f>
        <v/>
      </c>
      <c r="X44">
        <f>HYPERLINK("https://klasma.github.io/Logging_2021/kartor/A 48109-2025 karta.png", "A 48109-2025")</f>
        <v/>
      </c>
      <c r="Y44">
        <f>HYPERLINK("https://klasma.github.io/Logging_2021/kartor_geotiff/A 48109-2025 georefererad karta.tif", "A 48109-2025")</f>
        <v/>
      </c>
      <c r="AA44">
        <f>HYPERLINK("https://klasma.github.io/Logging_2021/klagomål/A 48109-2025 FSC-klagomål.docx", "A 48109-2025")</f>
        <v/>
      </c>
      <c r="AB44">
        <f>HYPERLINK("https://klasma.github.io/Logging_2021/klagomålsmail/A 48109-2025 FSC-klagomål mail.docx", "A 48109-2025")</f>
        <v/>
      </c>
      <c r="AC44">
        <f>HYPERLINK("https://klasma.github.io/Logging_2021/tillsyn/A 48109-2025 tillsynsbegäran.docx", "A 48109-2025")</f>
        <v/>
      </c>
      <c r="AD44">
        <f>HYPERLINK("https://klasma.github.io/Logging_2021/tillsynsmail/A 48109-2025 tillsynsbegäran mail.docx", "A 48109-2025")</f>
        <v/>
      </c>
    </row>
    <row r="45" ht="15" customHeight="1">
      <c r="A45" t="inlineStr">
        <is>
          <t>A 3918-2026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46296</v>
      </c>
      <c r="F45" t="inlineStr">
        <is>
          <t>DALARNAS LÄN</t>
        </is>
      </c>
      <c r="G45" t="inlineStr">
        <is>
          <t>VANSBRO</t>
        </is>
      </c>
      <c r="I45" t="n">
        <v>6.2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Duvhök</t>
        </is>
      </c>
      <c r="W45">
        <f>HYPERLINK("https://klasma.github.io/Logging_2021/artfynd/A 3918-2026 artfynd.xlsx", "A 3918-2026")</f>
        <v/>
      </c>
      <c r="X45">
        <f>HYPERLINK("https://klasma.github.io/Logging_2021/kartor/A 3918-2026 karta.png", "A 3918-2026")</f>
        <v/>
      </c>
      <c r="Y45">
        <f>HYPERLINK("https://klasma.github.io/Logging_2021/kartor_geotiff/A 3918-2026 georefererad karta.tif", "A 3918-2026")</f>
        <v/>
      </c>
      <c r="AA45">
        <f>HYPERLINK("https://klasma.github.io/Logging_2021/klagomål/A 3918-2026 FSC-klagomål.docx", "A 3918-2026")</f>
        <v/>
      </c>
      <c r="AB45">
        <f>HYPERLINK("https://klasma.github.io/Logging_2021/klagomålsmail/A 3918-2026 FSC-klagomål mail.docx", "A 3918-2026")</f>
        <v/>
      </c>
      <c r="AC45">
        <f>HYPERLINK("https://klasma.github.io/Logging_2021/tillsyn/A 3918-2026 tillsynsbegäran.docx", "A 3918-2026")</f>
        <v/>
      </c>
      <c r="AD45">
        <f>HYPERLINK("https://klasma.github.io/Logging_2021/tillsynsmail/A 3918-2026 tillsynsbegäran mail.docx", "A 3918-2026")</f>
        <v/>
      </c>
      <c r="AE45">
        <f>HYPERLINK("https://klasma.github.io/Logging_2021/fåglar/A 3918-2026 prioriterade fågelarter.docx", "A 3918-2026")</f>
        <v/>
      </c>
    </row>
    <row r="46" ht="15" customHeight="1">
      <c r="A46" t="inlineStr">
        <is>
          <t>A 5659-2026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46051</v>
      </c>
      <c r="E46" s="1" t="n">
        <v>46296</v>
      </c>
      <c r="F46" t="inlineStr">
        <is>
          <t>DALARNAS LÄN</t>
        </is>
      </c>
      <c r="G46" t="inlineStr">
        <is>
          <t>VANSBRO</t>
        </is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rörsvepemossa</t>
        </is>
      </c>
      <c r="W46">
        <f>HYPERLINK("https://klasma.github.io/Logging_2021/artfynd/A 5659-2026 artfynd.xlsx", "A 5659-2026")</f>
        <v/>
      </c>
      <c r="X46">
        <f>HYPERLINK("https://klasma.github.io/Logging_2021/kartor/A 5659-2026 karta.png", "A 5659-2026")</f>
        <v/>
      </c>
      <c r="Y46">
        <f>HYPERLINK("https://klasma.github.io/Logging_2021/kartor_geotiff/A 5659-2026 georefererad karta.tif", "A 5659-2026")</f>
        <v/>
      </c>
      <c r="Z46">
        <f>HYPERLINK("https://klasma.github.io/Logging_2021/knärot/A 5659-2026 karta knärot.png", "A 5659-2026")</f>
        <v/>
      </c>
      <c r="AA46">
        <f>HYPERLINK("https://klasma.github.io/Logging_2021/klagomål/A 5659-2026 FSC-klagomål.docx", "A 5659-2026")</f>
        <v/>
      </c>
      <c r="AB46">
        <f>HYPERLINK("https://klasma.github.io/Logging_2021/klagomålsmail/A 5659-2026 FSC-klagomål mail.docx", "A 5659-2026")</f>
        <v/>
      </c>
      <c r="AC46">
        <f>HYPERLINK("https://klasma.github.io/Logging_2021/tillsyn/A 5659-2026 tillsynsbegäran.docx", "A 5659-2026")</f>
        <v/>
      </c>
      <c r="AD46">
        <f>HYPERLINK("https://klasma.github.io/Logging_2021/tillsynsmail/A 5659-2026 tillsynsbegäran mail.docx", "A 5659-2026")</f>
        <v/>
      </c>
    </row>
    <row r="47" ht="15" customHeight="1">
      <c r="A47" t="inlineStr">
        <is>
          <t>A 52675-2025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45956</v>
      </c>
      <c r="E47" s="1" t="n">
        <v>46296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Motaggsvamp</t>
        </is>
      </c>
      <c r="W47">
        <f>HYPERLINK("https://klasma.github.io/Logging_2021/artfynd/A 52675-2025 artfynd.xlsx", "A 52675-2025")</f>
        <v/>
      </c>
      <c r="X47">
        <f>HYPERLINK("https://klasma.github.io/Logging_2021/kartor/A 52675-2025 karta.png", "A 52675-2025")</f>
        <v/>
      </c>
      <c r="Y47">
        <f>HYPERLINK("https://klasma.github.io/Logging_2021/kartor_geotiff/A 52675-2025 georefererad karta.tif", "A 52675-2025")</f>
        <v/>
      </c>
      <c r="AA47">
        <f>HYPERLINK("https://klasma.github.io/Logging_2021/klagomål/A 52675-2025 FSC-klagomål.docx", "A 52675-2025")</f>
        <v/>
      </c>
      <c r="AB47">
        <f>HYPERLINK("https://klasma.github.io/Logging_2021/klagomålsmail/A 52675-2025 FSC-klagomål mail.docx", "A 52675-2025")</f>
        <v/>
      </c>
      <c r="AC47">
        <f>HYPERLINK("https://klasma.github.io/Logging_2021/tillsyn/A 52675-2025 tillsynsbegäran.docx", "A 52675-2025")</f>
        <v/>
      </c>
      <c r="AD47">
        <f>HYPERLINK("https://klasma.github.io/Logging_2021/tillsynsmail/A 52675-2025 tillsynsbegäran mail.docx", "A 52675-2025")</f>
        <v/>
      </c>
    </row>
    <row r="48" ht="15" customHeight="1">
      <c r="A48" t="inlineStr">
        <is>
          <t>A 20076-2026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46296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öst AB</t>
        </is>
      </c>
      <c r="I48" t="n">
        <v>13.2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Kransrams</t>
        </is>
      </c>
      <c r="W48">
        <f>HYPERLINK("https://klasma.github.io/Logging_2021/artfynd/A 20076-2026 artfynd.xlsx", "A 20076-2026")</f>
        <v/>
      </c>
      <c r="X48">
        <f>HYPERLINK("https://klasma.github.io/Logging_2021/kartor/A 20076-2026 karta.png", "A 20076-2026")</f>
        <v/>
      </c>
      <c r="Y48">
        <f>HYPERLINK("https://klasma.github.io/Logging_2021/kartor_geotiff/A 20076-2026 georefererad karta.tif", "A 20076-2026")</f>
        <v/>
      </c>
      <c r="AA48">
        <f>HYPERLINK("https://klasma.github.io/Logging_2021/klagomål/A 20076-2026 FSC-klagomål.docx", "A 20076-2026")</f>
        <v/>
      </c>
      <c r="AB48">
        <f>HYPERLINK("https://klasma.github.io/Logging_2021/klagomålsmail/A 20076-2026 FSC-klagomål mail.docx", "A 20076-2026")</f>
        <v/>
      </c>
      <c r="AC48">
        <f>HYPERLINK("https://klasma.github.io/Logging_2021/tillsyn/A 20076-2026 tillsynsbegäran.docx", "A 20076-2026")</f>
        <v/>
      </c>
      <c r="AD48">
        <f>HYPERLINK("https://klasma.github.io/Logging_2021/tillsynsmail/A 20076-2026 tillsynsbegäran mail.docx", "A 20076-2026")</f>
        <v/>
      </c>
    </row>
    <row r="49" ht="15" customHeight="1">
      <c r="A49" t="inlineStr">
        <is>
          <t>A 26756-2026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46296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11.4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HYPERLINK("https://klasma.github.io/Logging_2021/artfynd/A 26756-2026 artfynd.xlsx", "A 26756-2026")</f>
        <v/>
      </c>
      <c r="X49">
        <f>HYPERLINK("https://klasma.github.io/Logging_2021/kartor/A 26756-2026 karta.png", "A 26756-2026")</f>
        <v/>
      </c>
      <c r="Y49">
        <f>HYPERLINK("https://klasma.github.io/Logging_2021/kartor_geotiff/A 26756-2026 georefererad karta.tif", "A 26756-2026")</f>
        <v/>
      </c>
      <c r="AA49">
        <f>HYPERLINK("https://klasma.github.io/Logging_2021/klagomål/A 26756-2026 FSC-klagomål.docx", "A 26756-2026")</f>
        <v/>
      </c>
      <c r="AB49">
        <f>HYPERLINK("https://klasma.github.io/Logging_2021/klagomålsmail/A 26756-2026 FSC-klagomål mail.docx", "A 26756-2026")</f>
        <v/>
      </c>
      <c r="AC49">
        <f>HYPERLINK("https://klasma.github.io/Logging_2021/tillsyn/A 26756-2026 tillsynsbegäran.docx", "A 26756-2026")</f>
        <v/>
      </c>
      <c r="AD49">
        <f>HYPERLINK("https://klasma.github.io/Logging_2021/tillsynsmail/A 26756-2026 tillsynsbegäran mail.docx", "A 26756-2026")</f>
        <v/>
      </c>
      <c r="AE49">
        <f>HYPERLINK("https://klasma.github.io/Logging_2021/fåglar/A 26756-2026 prioriterade fågelarter.docx", "A 26756-2026")</f>
        <v/>
      </c>
    </row>
    <row r="50" ht="15" customHeight="1">
      <c r="A50" t="inlineStr">
        <is>
          <t>A 35533-2026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46262</v>
      </c>
      <c r="E50" s="1" t="n">
        <v>46296</v>
      </c>
      <c r="F50" t="inlineStr">
        <is>
          <t>DALARNAS LÄN</t>
        </is>
      </c>
      <c r="G50" t="inlineStr">
        <is>
          <t>VANSBRO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HYPERLINK("https://klasma.github.io/Logging_2021/artfynd/A 35533-2026 artfynd.xlsx", "A 35533-2026")</f>
        <v/>
      </c>
      <c r="X50">
        <f>HYPERLINK("https://klasma.github.io/Logging_2021/kartor/A 35533-2026 karta.png", "A 35533-2026")</f>
        <v/>
      </c>
      <c r="Y50">
        <f>HYPERLINK("https://klasma.github.io/Logging_2021/kartor_geotiff/A 35533-2026 georefererad karta.tif", "A 35533-2026")</f>
        <v/>
      </c>
      <c r="Z50">
        <f>HYPERLINK("https://klasma.github.io/Logging_2021/knärot/A 35533-2026 karta knärot.png", "A 35533-2026")</f>
        <v/>
      </c>
      <c r="AA50">
        <f>HYPERLINK("https://klasma.github.io/Logging_2021/klagomål/A 35533-2026 FSC-klagomål.docx", "A 35533-2026")</f>
        <v/>
      </c>
      <c r="AB50">
        <f>HYPERLINK("https://klasma.github.io/Logging_2021/klagomålsmail/A 35533-2026 FSC-klagomål mail.docx", "A 35533-2026")</f>
        <v/>
      </c>
      <c r="AC50">
        <f>HYPERLINK("https://klasma.github.io/Logging_2021/tillsyn/A 35533-2026 tillsynsbegäran.docx", "A 35533-2026")</f>
        <v/>
      </c>
      <c r="AD50">
        <f>HYPERLINK("https://klasma.github.io/Logging_2021/tillsynsmail/A 35533-2026 tillsynsbegäran mail.docx", "A 35533-2026")</f>
        <v/>
      </c>
    </row>
    <row r="51" ht="15" customHeight="1">
      <c r="A51" t="inlineStr">
        <is>
          <t>S 146-2023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44942</v>
      </c>
      <c r="E51" s="1" t="n">
        <v>46296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HYPERLINK("https://klasma.github.io/Logging_2021/artfynd/S 146-2023 artfynd.xlsx", "S 146-2023")</f>
        <v/>
      </c>
      <c r="X51">
        <f>HYPERLINK("https://klasma.github.io/Logging_2021/kartor/S 146-2023 karta.png", "S 146-2023")</f>
        <v/>
      </c>
      <c r="Y51">
        <f>HYPERLINK("https://klasma.github.io/Logging_2021/kartor_geotiff/S 146-2023 georefererad karta.tif", "S 146-2023")</f>
        <v/>
      </c>
      <c r="AA51">
        <f>HYPERLINK("https://klasma.github.io/Logging_2021/klagomål/S 146-2023 FSC-klagomål.docx", "S 146-2023")</f>
        <v/>
      </c>
      <c r="AB51">
        <f>HYPERLINK("https://klasma.github.io/Logging_2021/klagomålsmail/S 146-2023 FSC-klagomål mail.docx", "S 146-2023")</f>
        <v/>
      </c>
      <c r="AC51">
        <f>HYPERLINK("https://klasma.github.io/Logging_2021/tillsyn/S 146-2023 tillsynsbegäran.docx", "S 146-2023")</f>
        <v/>
      </c>
      <c r="AD51">
        <f>HYPERLINK("https://klasma.github.io/Logging_2021/tillsynsmail/S 146-2023 tillsynsbegäran mail.docx", "S 146-2023")</f>
        <v/>
      </c>
    </row>
    <row r="52" ht="15" customHeight="1">
      <c r="A52" t="inlineStr">
        <is>
          <t>S 940-2024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45377</v>
      </c>
      <c r="E52" s="1" t="n">
        <v>46296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158.9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HYPERLINK("https://klasma.github.io/Logging_2021/artfynd/S 940-2024 artfynd.xlsx", "S 940-2024")</f>
        <v/>
      </c>
      <c r="X52">
        <f>HYPERLINK("https://klasma.github.io/Logging_2021/kartor/S 940-2024 karta.png", "S 940-2024")</f>
        <v/>
      </c>
      <c r="Y52">
        <f>HYPERLINK("https://klasma.github.io/Logging_2021/kartor_geotiff/S 940-2024 georefererad karta.tif", "S 940-2024")</f>
        <v/>
      </c>
      <c r="AA52">
        <f>HYPERLINK("https://klasma.github.io/Logging_2021/klagomål/S 940-2024 FSC-klagomål.docx", "S 940-2024")</f>
        <v/>
      </c>
      <c r="AB52">
        <f>HYPERLINK("https://klasma.github.io/Logging_2021/klagomålsmail/S 940-2024 FSC-klagomål mail.docx", "S 940-2024")</f>
        <v/>
      </c>
      <c r="AC52">
        <f>HYPERLINK("https://klasma.github.io/Logging_2021/tillsyn/S 940-2024 tillsynsbegäran.docx", "S 940-2024")</f>
        <v/>
      </c>
      <c r="AD52">
        <f>HYPERLINK("https://klasma.github.io/Logging_2021/tillsynsmail/S 940-2024 tillsynsbegäran mail.docx", "S 940-2024")</f>
        <v/>
      </c>
    </row>
    <row r="53" ht="15" customHeight="1">
      <c r="A53" t="inlineStr">
        <is>
          <t>A 54023-2022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46296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46296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46296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66705-2021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44519</v>
      </c>
      <c r="E56" s="1" t="n">
        <v>46296</v>
      </c>
      <c r="F56" t="inlineStr">
        <is>
          <t>DALARNAS LÄN</t>
        </is>
      </c>
      <c r="G56" t="inlineStr">
        <is>
          <t>VANSBRO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46296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46296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46296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46296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46296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46296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46296</v>
      </c>
      <c r="F63" t="inlineStr">
        <is>
          <t>DALARNAS LÄN</t>
        </is>
      </c>
      <c r="G63" t="inlineStr">
        <is>
          <t>VANSBRO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46296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46296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46296</v>
      </c>
      <c r="F66" t="inlineStr">
        <is>
          <t>DALARNAS LÄN</t>
        </is>
      </c>
      <c r="G66" t="inlineStr">
        <is>
          <t>VANSBRO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46296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46296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46296</v>
      </c>
      <c r="F69" t="inlineStr">
        <is>
          <t>DALARNAS LÄN</t>
        </is>
      </c>
      <c r="G69" t="inlineStr">
        <is>
          <t>VANSBRO</t>
        </is>
      </c>
      <c r="H69" t="inlineStr">
        <is>
          <t>Övriga statliga verk och myndigheter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46296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55774-2021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44476</v>
      </c>
      <c r="E71" s="1" t="n">
        <v>46296</v>
      </c>
      <c r="F71" t="inlineStr">
        <is>
          <t>DALARNAS LÄN</t>
        </is>
      </c>
      <c r="G71" t="inlineStr">
        <is>
          <t>VANSBRO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46296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46296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44754</v>
      </c>
      <c r="E74" s="1" t="n">
        <v>46296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44754</v>
      </c>
      <c r="E75" s="1" t="n">
        <v>46296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38773-2022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46296</v>
      </c>
      <c r="F76" t="inlineStr">
        <is>
          <t>DALARNAS LÄN</t>
        </is>
      </c>
      <c r="G76" t="inlineStr">
        <is>
          <t>VANSBRO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21973-2024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45443</v>
      </c>
      <c r="E77" s="1" t="n">
        <v>46296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46296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56098-2021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44477</v>
      </c>
      <c r="E79" s="1" t="n">
        <v>46296</v>
      </c>
      <c r="F79" t="inlineStr">
        <is>
          <t>DALARNAS LÄN</t>
        </is>
      </c>
      <c r="G79" t="inlineStr">
        <is>
          <t>VANSBRO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46296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41709-2022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44827</v>
      </c>
      <c r="E81" s="1" t="n">
        <v>46296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55078-2022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44886</v>
      </c>
      <c r="E82" s="1" t="n">
        <v>46296</v>
      </c>
      <c r="F82" t="inlineStr">
        <is>
          <t>DALARNAS LÄN</t>
        </is>
      </c>
      <c r="G82" t="inlineStr">
        <is>
          <t>VANSBRO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44748</v>
      </c>
      <c r="E83" s="1" t="n">
        <v>46296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35288-2024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46296</v>
      </c>
      <c r="F84" t="inlineStr">
        <is>
          <t>DALARNAS LÄN</t>
        </is>
      </c>
      <c r="G84" t="inlineStr">
        <is>
          <t>VANSBRO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4680-2023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44957</v>
      </c>
      <c r="E85" s="1" t="n">
        <v>46296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45744</v>
      </c>
      <c r="E86" s="1" t="n">
        <v>46296</v>
      </c>
      <c r="F86" t="inlineStr">
        <is>
          <t>DALARNAS LÄN</t>
        </is>
      </c>
      <c r="G86" t="inlineStr">
        <is>
          <t>VANSBRO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45258</v>
      </c>
      <c r="E87" s="1" t="n">
        <v>46296</v>
      </c>
      <c r="F87" t="inlineStr">
        <is>
          <t>DALARNAS LÄN</t>
        </is>
      </c>
      <c r="G87" t="inlineStr">
        <is>
          <t>VANSBRO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45498</v>
      </c>
      <c r="E88" s="1" t="n">
        <v>46296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46296</v>
      </c>
      <c r="F89" t="inlineStr">
        <is>
          <t>DALARNAS LÄN</t>
        </is>
      </c>
      <c r="G89" t="inlineStr">
        <is>
          <t>VANSBRO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29492-2023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45106</v>
      </c>
      <c r="E90" s="1" t="n">
        <v>46296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43258-2023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46296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5420-2024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45331</v>
      </c>
      <c r="E92" s="1" t="n">
        <v>46296</v>
      </c>
      <c r="F92" t="inlineStr">
        <is>
          <t>DALARNAS LÄN</t>
        </is>
      </c>
      <c r="G92" t="inlineStr">
        <is>
          <t>VANSBRO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46296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46296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62398-2021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46296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22.1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46296</v>
      </c>
      <c r="F96" t="inlineStr">
        <is>
          <t>DALARNAS LÄN</t>
        </is>
      </c>
      <c r="G96" t="inlineStr">
        <is>
          <t>VANSBRO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45371</v>
      </c>
      <c r="E97" s="1" t="n">
        <v>46296</v>
      </c>
      <c r="F97" t="inlineStr">
        <is>
          <t>DALARNAS LÄN</t>
        </is>
      </c>
      <c r="G97" t="inlineStr">
        <is>
          <t>VANSBRO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44930</v>
      </c>
      <c r="E98" s="1" t="n">
        <v>46296</v>
      </c>
      <c r="F98" t="inlineStr">
        <is>
          <t>DALARNAS LÄN</t>
        </is>
      </c>
      <c r="G98" t="inlineStr">
        <is>
          <t>VANSBRO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46296</v>
      </c>
      <c r="F99" t="inlineStr">
        <is>
          <t>DALARNAS LÄN</t>
        </is>
      </c>
      <c r="G99" t="inlineStr">
        <is>
          <t>VANSBRO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46296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48111-2024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45589</v>
      </c>
      <c r="E101" s="1" t="n">
        <v>46296</v>
      </c>
      <c r="F101" t="inlineStr">
        <is>
          <t>DALARNAS LÄN</t>
        </is>
      </c>
      <c r="G101" t="inlineStr">
        <is>
          <t>VANSBRO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46296</v>
      </c>
      <c r="F102" t="inlineStr">
        <is>
          <t>DALARNAS LÄN</t>
        </is>
      </c>
      <c r="G102" t="inlineStr">
        <is>
          <t>VANSBRO</t>
        </is>
      </c>
      <c r="I102" t="n">
        <v>7.3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46296</v>
      </c>
      <c r="F103" t="inlineStr">
        <is>
          <t>DALARNAS LÄN</t>
        </is>
      </c>
      <c r="G103" t="inlineStr">
        <is>
          <t>VANSBRO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46296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35537-2024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46296</v>
      </c>
      <c r="F105" t="inlineStr">
        <is>
          <t>DALARNAS LÄN</t>
        </is>
      </c>
      <c r="G105" t="inlineStr">
        <is>
          <t>VANSBRO</t>
        </is>
      </c>
      <c r="H105" t="inlineStr">
        <is>
          <t>Övriga statliga verk och myndigheter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45646</v>
      </c>
      <c r="E106" s="1" t="n">
        <v>46296</v>
      </c>
      <c r="F106" t="inlineStr">
        <is>
          <t>DALARNAS LÄN</t>
        </is>
      </c>
      <c r="G106" t="inlineStr">
        <is>
          <t>VANSBRO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44960</v>
      </c>
      <c r="E107" s="1" t="n">
        <v>46296</v>
      </c>
      <c r="F107" t="inlineStr">
        <is>
          <t>DALARNAS LÄN</t>
        </is>
      </c>
      <c r="G107" t="inlineStr">
        <is>
          <t>VANSBRO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46296</v>
      </c>
      <c r="F108" t="inlineStr">
        <is>
          <t>DALARNAS LÄN</t>
        </is>
      </c>
      <c r="G108" t="inlineStr">
        <is>
          <t>VANSBRO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45617</v>
      </c>
      <c r="E109" s="1" t="n">
        <v>46296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25496-2024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45463</v>
      </c>
      <c r="E110" s="1" t="n">
        <v>46296</v>
      </c>
      <c r="F110" t="inlineStr">
        <is>
          <t>DALARNAS LÄN</t>
        </is>
      </c>
      <c r="G110" t="inlineStr">
        <is>
          <t>VANSBRO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46296</v>
      </c>
      <c r="F111" t="inlineStr">
        <is>
          <t>DALARNAS LÄN</t>
        </is>
      </c>
      <c r="G111" t="inlineStr">
        <is>
          <t>VANSBRO</t>
        </is>
      </c>
      <c r="H111" t="inlineStr">
        <is>
          <t>Kommuner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44960</v>
      </c>
      <c r="E112" s="1" t="n">
        <v>46296</v>
      </c>
      <c r="F112" t="inlineStr">
        <is>
          <t>DALARNAS LÄN</t>
        </is>
      </c>
      <c r="G112" t="inlineStr">
        <is>
          <t>VANSBRO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45204</v>
      </c>
      <c r="E113" s="1" t="n">
        <v>46296</v>
      </c>
      <c r="F113" t="inlineStr">
        <is>
          <t>DALARNAS LÄN</t>
        </is>
      </c>
      <c r="G113" t="inlineStr">
        <is>
          <t>VANSBRO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46296</v>
      </c>
      <c r="F114" t="inlineStr">
        <is>
          <t>DALARNAS LÄN</t>
        </is>
      </c>
      <c r="G114" t="inlineStr">
        <is>
          <t>VANSBRO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45078</v>
      </c>
      <c r="E115" s="1" t="n">
        <v>46296</v>
      </c>
      <c r="F115" t="inlineStr">
        <is>
          <t>DALARNAS LÄN</t>
        </is>
      </c>
      <c r="G115" t="inlineStr">
        <is>
          <t>VANSBRO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46296</v>
      </c>
      <c r="F116" t="inlineStr">
        <is>
          <t>DALARNAS LÄN</t>
        </is>
      </c>
      <c r="G116" t="inlineStr">
        <is>
          <t>VANSBRO</t>
        </is>
      </c>
      <c r="H116" t="inlineStr">
        <is>
          <t>Övriga statliga verk och myndigheter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11408-2025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45726</v>
      </c>
      <c r="E117" s="1" t="n">
        <v>46296</v>
      </c>
      <c r="F117" t="inlineStr">
        <is>
          <t>DALARNAS LÄN</t>
        </is>
      </c>
      <c r="G117" t="inlineStr">
        <is>
          <t>VANSBRO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45194</v>
      </c>
      <c r="E118" s="1" t="n">
        <v>46296</v>
      </c>
      <c r="F118" t="inlineStr">
        <is>
          <t>DALARNAS LÄN</t>
        </is>
      </c>
      <c r="G118" t="inlineStr">
        <is>
          <t>VANSBRO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45247</v>
      </c>
      <c r="E119" s="1" t="n">
        <v>46296</v>
      </c>
      <c r="F119" t="inlineStr">
        <is>
          <t>DALARNAS LÄN</t>
        </is>
      </c>
      <c r="G119" t="inlineStr">
        <is>
          <t>VANSBRO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44931</v>
      </c>
      <c r="E120" s="1" t="n">
        <v>46296</v>
      </c>
      <c r="F120" t="inlineStr">
        <is>
          <t>DALARNAS LÄN</t>
        </is>
      </c>
      <c r="G120" t="inlineStr">
        <is>
          <t>VANSBRO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45240</v>
      </c>
      <c r="E121" s="1" t="n">
        <v>46296</v>
      </c>
      <c r="F121" t="inlineStr">
        <is>
          <t>DALARNAS LÄN</t>
        </is>
      </c>
      <c r="G121" t="inlineStr">
        <is>
          <t>VANSBRO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45588</v>
      </c>
      <c r="E122" s="1" t="n">
        <v>46296</v>
      </c>
      <c r="F122" t="inlineStr">
        <is>
          <t>DALARNAS LÄN</t>
        </is>
      </c>
      <c r="G122" t="inlineStr">
        <is>
          <t>VANSBRO</t>
        </is>
      </c>
      <c r="H122" t="inlineStr">
        <is>
          <t>Övriga statliga verk och myndigheter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46296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46296</v>
      </c>
      <c r="F124" t="inlineStr">
        <is>
          <t>DALARNAS LÄN</t>
        </is>
      </c>
      <c r="G124" t="inlineStr">
        <is>
          <t>VANSBRO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46296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öst AB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46296</v>
      </c>
      <c r="F126" t="inlineStr">
        <is>
          <t>DALARNAS LÄN</t>
        </is>
      </c>
      <c r="G126" t="inlineStr">
        <is>
          <t>VANSBRO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40382-2023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45169</v>
      </c>
      <c r="E127" s="1" t="n">
        <v>46296</v>
      </c>
      <c r="F127" t="inlineStr">
        <is>
          <t>DALARNAS LÄN</t>
        </is>
      </c>
      <c r="G127" t="inlineStr">
        <is>
          <t>VANSBRO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46296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45691</v>
      </c>
      <c r="E129" s="1" t="n">
        <v>46296</v>
      </c>
      <c r="F129" t="inlineStr">
        <is>
          <t>DALARNAS LÄN</t>
        </is>
      </c>
      <c r="G129" t="inlineStr">
        <is>
          <t>VANSBRO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44546</v>
      </c>
      <c r="E130" s="1" t="n">
        <v>46296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45491</v>
      </c>
      <c r="E131" s="1" t="n">
        <v>46296</v>
      </c>
      <c r="F131" t="inlineStr">
        <is>
          <t>DALARNAS LÄN</t>
        </is>
      </c>
      <c r="G131" t="inlineStr">
        <is>
          <t>VANSBRO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35699-2023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45147</v>
      </c>
      <c r="E132" s="1" t="n">
        <v>46296</v>
      </c>
      <c r="F132" t="inlineStr">
        <is>
          <t>DALARNAS LÄN</t>
        </is>
      </c>
      <c r="G132" t="inlineStr">
        <is>
          <t>VANSBRO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46296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öst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44791</v>
      </c>
      <c r="E134" s="1" t="n">
        <v>46296</v>
      </c>
      <c r="F134" t="inlineStr">
        <is>
          <t>DALARNAS LÄN</t>
        </is>
      </c>
      <c r="G134" t="inlineStr">
        <is>
          <t>VANSBRO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46296</v>
      </c>
      <c r="F135" t="inlineStr">
        <is>
          <t>DALARNAS LÄN</t>
        </is>
      </c>
      <c r="G135" t="inlineStr">
        <is>
          <t>VANSBRO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45672</v>
      </c>
      <c r="E136" s="1" t="n">
        <v>46296</v>
      </c>
      <c r="F136" t="inlineStr">
        <is>
          <t>DALARNAS LÄN</t>
        </is>
      </c>
      <c r="G136" t="inlineStr">
        <is>
          <t>VANSBRO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45182</v>
      </c>
      <c r="E137" s="1" t="n">
        <v>46296</v>
      </c>
      <c r="F137" t="inlineStr">
        <is>
          <t>DALARNAS LÄN</t>
        </is>
      </c>
      <c r="G137" t="inlineStr">
        <is>
          <t>VANSBRO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45762</v>
      </c>
      <c r="E138" s="1" t="n">
        <v>46296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10886-2025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45722</v>
      </c>
      <c r="E139" s="1" t="n">
        <v>46296</v>
      </c>
      <c r="F139" t="inlineStr">
        <is>
          <t>DALARNAS LÄN</t>
        </is>
      </c>
      <c r="G139" t="inlineStr">
        <is>
          <t>VANSBRO</t>
        </is>
      </c>
      <c r="I139" t="n">
        <v>15.5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46296</v>
      </c>
      <c r="F140" t="inlineStr">
        <is>
          <t>DALARNAS LÄN</t>
        </is>
      </c>
      <c r="G140" t="inlineStr">
        <is>
          <t>VANSBRO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45443</v>
      </c>
      <c r="E141" s="1" t="n">
        <v>46296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44826</v>
      </c>
      <c r="E142" s="1" t="n">
        <v>46296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45689</v>
      </c>
      <c r="E143" s="1" t="n">
        <v>46296</v>
      </c>
      <c r="F143" t="inlineStr">
        <is>
          <t>DALARNAS LÄN</t>
        </is>
      </c>
      <c r="G143" t="inlineStr">
        <is>
          <t>VANSBRO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45166</v>
      </c>
      <c r="E144" s="1" t="n">
        <v>46296</v>
      </c>
      <c r="F144" t="inlineStr">
        <is>
          <t>DALARNAS LÄN</t>
        </is>
      </c>
      <c r="G144" t="inlineStr">
        <is>
          <t>VANSBRO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46296</v>
      </c>
      <c r="F145" t="inlineStr">
        <is>
          <t>DALARNAS LÄN</t>
        </is>
      </c>
      <c r="G145" t="inlineStr">
        <is>
          <t>VANSBRO</t>
        </is>
      </c>
      <c r="H145" t="inlineStr">
        <is>
          <t>Övriga statliga verk och myndigheter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46296</v>
      </c>
      <c r="F146" t="inlineStr">
        <is>
          <t>DALARNAS LÄN</t>
        </is>
      </c>
      <c r="G146" t="inlineStr">
        <is>
          <t>VANSBRO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32820-2024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45516</v>
      </c>
      <c r="E147" s="1" t="n">
        <v>46296</v>
      </c>
      <c r="F147" t="inlineStr">
        <is>
          <t>DALARNAS LÄN</t>
        </is>
      </c>
      <c r="G147" t="inlineStr">
        <is>
          <t>VANSBRO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44798</v>
      </c>
      <c r="E148" s="1" t="n">
        <v>46296</v>
      </c>
      <c r="F148" t="inlineStr">
        <is>
          <t>DALARNAS LÄN</t>
        </is>
      </c>
      <c r="G148" t="inlineStr">
        <is>
          <t>VANSBRO</t>
        </is>
      </c>
      <c r="H148" t="inlineStr">
        <is>
          <t>Kommuner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34882-2022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44796</v>
      </c>
      <c r="E149" s="1" t="n">
        <v>46296</v>
      </c>
      <c r="F149" t="inlineStr">
        <is>
          <t>DALARNAS LÄN</t>
        </is>
      </c>
      <c r="G149" t="inlineStr">
        <is>
          <t>VANSBRO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46296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61515-2022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44916</v>
      </c>
      <c r="E151" s="1" t="n">
        <v>46296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44739</v>
      </c>
      <c r="E152" s="1" t="n">
        <v>46296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45214</v>
      </c>
      <c r="E153" s="1" t="n">
        <v>46296</v>
      </c>
      <c r="F153" t="inlineStr">
        <is>
          <t>DALARNAS LÄN</t>
        </is>
      </c>
      <c r="G153" t="inlineStr">
        <is>
          <t>VANSBRO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46296</v>
      </c>
      <c r="F154" t="inlineStr">
        <is>
          <t>DALARNAS LÄN</t>
        </is>
      </c>
      <c r="G154" t="inlineStr">
        <is>
          <t>VANSBRO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46296</v>
      </c>
      <c r="F155" t="inlineStr">
        <is>
          <t>DALARNAS LÄN</t>
        </is>
      </c>
      <c r="G155" t="inlineStr">
        <is>
          <t>VANSBRO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51396-2022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44869</v>
      </c>
      <c r="E156" s="1" t="n">
        <v>46296</v>
      </c>
      <c r="F156" t="inlineStr">
        <is>
          <t>DALARNAS LÄN</t>
        </is>
      </c>
      <c r="G156" t="inlineStr">
        <is>
          <t>VANSBRO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45215</v>
      </c>
      <c r="E157" s="1" t="n">
        <v>46296</v>
      </c>
      <c r="F157" t="inlineStr">
        <is>
          <t>DALARNAS LÄN</t>
        </is>
      </c>
      <c r="G157" t="inlineStr">
        <is>
          <t>VANSBRO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46296</v>
      </c>
      <c r="F158" t="inlineStr">
        <is>
          <t>DALARNAS LÄN</t>
        </is>
      </c>
      <c r="G158" t="inlineStr">
        <is>
          <t>VANSBRO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46296</v>
      </c>
      <c r="F159" t="inlineStr">
        <is>
          <t>DALARNAS LÄN</t>
        </is>
      </c>
      <c r="G159" t="inlineStr">
        <is>
          <t>VANSBRO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46296</v>
      </c>
      <c r="F160" t="inlineStr">
        <is>
          <t>DALARNAS LÄN</t>
        </is>
      </c>
      <c r="G160" t="inlineStr">
        <is>
          <t>VANSBRO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46296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45.8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36855-2022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44805</v>
      </c>
      <c r="E162" s="1" t="n">
        <v>46296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45520</v>
      </c>
      <c r="E163" s="1" t="n">
        <v>46296</v>
      </c>
      <c r="F163" t="inlineStr">
        <is>
          <t>DALARNAS LÄN</t>
        </is>
      </c>
      <c r="G163" t="inlineStr">
        <is>
          <t>VANSBRO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46296</v>
      </c>
      <c r="F164" t="inlineStr">
        <is>
          <t>DALARNAS LÄN</t>
        </is>
      </c>
      <c r="G164" t="inlineStr">
        <is>
          <t>VANSBRO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35943-2024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46296</v>
      </c>
      <c r="F165" t="inlineStr">
        <is>
          <t>DALARNAS LÄN</t>
        </is>
      </c>
      <c r="G165" t="inlineStr">
        <is>
          <t>VANSBRO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45689</v>
      </c>
      <c r="E166" s="1" t="n">
        <v>46296</v>
      </c>
      <c r="F166" t="inlineStr">
        <is>
          <t>DALARNAS LÄN</t>
        </is>
      </c>
      <c r="G166" t="inlineStr">
        <is>
          <t>VANSBRO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45689</v>
      </c>
      <c r="E167" s="1" t="n">
        <v>46296</v>
      </c>
      <c r="F167" t="inlineStr">
        <is>
          <t>DALARNAS LÄN</t>
        </is>
      </c>
      <c r="G167" t="inlineStr">
        <is>
          <t>VANSBRO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45783</v>
      </c>
      <c r="E168" s="1" t="n">
        <v>46296</v>
      </c>
      <c r="F168" t="inlineStr">
        <is>
          <t>DALARNAS LÄN</t>
        </is>
      </c>
      <c r="G168" t="inlineStr">
        <is>
          <t>VANSBRO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46296</v>
      </c>
      <c r="F169" t="inlineStr">
        <is>
          <t>DALARNAS LÄN</t>
        </is>
      </c>
      <c r="G169" t="inlineStr">
        <is>
          <t>VANSBRO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45631</v>
      </c>
      <c r="E170" s="1" t="n">
        <v>46296</v>
      </c>
      <c r="F170" t="inlineStr">
        <is>
          <t>DALARNAS LÄN</t>
        </is>
      </c>
      <c r="G170" t="inlineStr">
        <is>
          <t>VANSBRO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45783</v>
      </c>
      <c r="E171" s="1" t="n">
        <v>46296</v>
      </c>
      <c r="F171" t="inlineStr">
        <is>
          <t>DALARNAS LÄN</t>
        </is>
      </c>
      <c r="G171" t="inlineStr">
        <is>
          <t>VANSBRO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45244</v>
      </c>
      <c r="E172" s="1" t="n">
        <v>46296</v>
      </c>
      <c r="F172" t="inlineStr">
        <is>
          <t>DALARNAS LÄN</t>
        </is>
      </c>
      <c r="G172" t="inlineStr">
        <is>
          <t>VANSBRO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46296</v>
      </c>
      <c r="F173" t="inlineStr">
        <is>
          <t>DALARNAS LÄN</t>
        </is>
      </c>
      <c r="G173" t="inlineStr">
        <is>
          <t>VANSBRO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59736-2022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44908</v>
      </c>
      <c r="E174" s="1" t="n">
        <v>46296</v>
      </c>
      <c r="F174" t="inlineStr">
        <is>
          <t>DALARNAS LÄN</t>
        </is>
      </c>
      <c r="G174" t="inlineStr">
        <is>
          <t>VANSBRO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921-2025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45665</v>
      </c>
      <c r="E175" s="1" t="n">
        <v>46296</v>
      </c>
      <c r="F175" t="inlineStr">
        <is>
          <t>DALARNAS LÄN</t>
        </is>
      </c>
      <c r="G175" t="inlineStr">
        <is>
          <t>VANSBRO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45492</v>
      </c>
      <c r="E176" s="1" t="n">
        <v>46296</v>
      </c>
      <c r="F176" t="inlineStr">
        <is>
          <t>DALARNAS LÄN</t>
        </is>
      </c>
      <c r="G176" t="inlineStr">
        <is>
          <t>VANSBRO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44980</v>
      </c>
      <c r="E177" s="1" t="n">
        <v>46296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45225</v>
      </c>
      <c r="E178" s="1" t="n">
        <v>46296</v>
      </c>
      <c r="F178" t="inlineStr">
        <is>
          <t>DALARNAS LÄN</t>
        </is>
      </c>
      <c r="G178" t="inlineStr">
        <is>
          <t>VANSBRO</t>
        </is>
      </c>
      <c r="H178" t="inlineStr">
        <is>
          <t>Övriga statliga verk och myndigheter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44719</v>
      </c>
      <c r="E179" s="1" t="n">
        <v>46296</v>
      </c>
      <c r="F179" t="inlineStr">
        <is>
          <t>DALARNAS LÄN</t>
        </is>
      </c>
      <c r="G179" t="inlineStr">
        <is>
          <t>VANSBRO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46296</v>
      </c>
      <c r="F180" t="inlineStr">
        <is>
          <t>DALARNAS LÄN</t>
        </is>
      </c>
      <c r="G180" t="inlineStr">
        <is>
          <t>VANSBRO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45169</v>
      </c>
      <c r="E181" s="1" t="n">
        <v>46296</v>
      </c>
      <c r="F181" t="inlineStr">
        <is>
          <t>DALARNAS LÄN</t>
        </is>
      </c>
      <c r="G181" t="inlineStr">
        <is>
          <t>VANSBRO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20931-2022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44701</v>
      </c>
      <c r="E182" s="1" t="n">
        <v>46296</v>
      </c>
      <c r="F182" t="inlineStr">
        <is>
          <t>DALARNAS LÄN</t>
        </is>
      </c>
      <c r="G182" t="inlineStr">
        <is>
          <t>VANSBRO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45238</v>
      </c>
      <c r="E183" s="1" t="n">
        <v>46296</v>
      </c>
      <c r="F183" t="inlineStr">
        <is>
          <t>DALARNAS LÄN</t>
        </is>
      </c>
      <c r="G183" t="inlineStr">
        <is>
          <t>VANSBRO</t>
        </is>
      </c>
      <c r="H183" t="inlineStr">
        <is>
          <t>Övriga statliga verk och myndigheter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44970</v>
      </c>
      <c r="E184" s="1" t="n">
        <v>46296</v>
      </c>
      <c r="F184" t="inlineStr">
        <is>
          <t>DALARNAS LÄN</t>
        </is>
      </c>
      <c r="G184" t="inlineStr">
        <is>
          <t>VANSBRO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45793</v>
      </c>
      <c r="E185" s="1" t="n">
        <v>46296</v>
      </c>
      <c r="F185" t="inlineStr">
        <is>
          <t>DALARNAS LÄN</t>
        </is>
      </c>
      <c r="G185" t="inlineStr">
        <is>
          <t>VANSBRO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45296</v>
      </c>
      <c r="E186" s="1" t="n">
        <v>46296</v>
      </c>
      <c r="F186" t="inlineStr">
        <is>
          <t>DALARNAS LÄN</t>
        </is>
      </c>
      <c r="G186" t="inlineStr">
        <is>
          <t>VANSBRO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45688</v>
      </c>
      <c r="E187" s="1" t="n">
        <v>46296</v>
      </c>
      <c r="F187" t="inlineStr">
        <is>
          <t>DALARNAS LÄN</t>
        </is>
      </c>
      <c r="G187" t="inlineStr">
        <is>
          <t>VANSBRO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29411-2024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45483</v>
      </c>
      <c r="E188" s="1" t="n">
        <v>46296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46296</v>
      </c>
      <c r="F189" t="inlineStr">
        <is>
          <t>DALARNAS LÄN</t>
        </is>
      </c>
      <c r="G189" t="inlineStr">
        <is>
          <t>VANSBRO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46296</v>
      </c>
      <c r="F190" t="inlineStr">
        <is>
          <t>DALARNAS LÄN</t>
        </is>
      </c>
      <c r="G190" t="inlineStr">
        <is>
          <t>VANSBRO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45689</v>
      </c>
      <c r="E191" s="1" t="n">
        <v>46296</v>
      </c>
      <c r="F191" t="inlineStr">
        <is>
          <t>DALARNAS LÄN</t>
        </is>
      </c>
      <c r="G191" t="inlineStr">
        <is>
          <t>VANSBRO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45775</v>
      </c>
      <c r="E192" s="1" t="n">
        <v>46296</v>
      </c>
      <c r="F192" t="inlineStr">
        <is>
          <t>DALARNAS LÄN</t>
        </is>
      </c>
      <c r="G192" t="inlineStr">
        <is>
          <t>VANSBRO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45637</v>
      </c>
      <c r="E193" s="1" t="n">
        <v>46296</v>
      </c>
      <c r="F193" t="inlineStr">
        <is>
          <t>DALARNAS LÄN</t>
        </is>
      </c>
      <c r="G193" t="inlineStr">
        <is>
          <t>VANSBRO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13639-2022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46296</v>
      </c>
      <c r="F194" t="inlineStr">
        <is>
          <t>DALARNAS LÄN</t>
        </is>
      </c>
      <c r="G194" t="inlineStr">
        <is>
          <t>VANSBRO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45008</v>
      </c>
      <c r="E195" s="1" t="n">
        <v>46296</v>
      </c>
      <c r="F195" t="inlineStr">
        <is>
          <t>DALARNAS LÄN</t>
        </is>
      </c>
      <c r="G195" t="inlineStr">
        <is>
          <t>VANSBRO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45448</v>
      </c>
      <c r="E196" s="1" t="n">
        <v>46296</v>
      </c>
      <c r="F196" t="inlineStr">
        <is>
          <t>DALARNAS LÄN</t>
        </is>
      </c>
      <c r="G196" t="inlineStr">
        <is>
          <t>VANSBRO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45646</v>
      </c>
      <c r="E197" s="1" t="n">
        <v>46296</v>
      </c>
      <c r="F197" t="inlineStr">
        <is>
          <t>DALARNAS LÄN</t>
        </is>
      </c>
      <c r="G197" t="inlineStr">
        <is>
          <t>VANSBRO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46296</v>
      </c>
      <c r="F198" t="inlineStr">
        <is>
          <t>DALARNAS LÄN</t>
        </is>
      </c>
      <c r="G198" t="inlineStr">
        <is>
          <t>VANSBRO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8694-2023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44972</v>
      </c>
      <c r="E199" s="1" t="n">
        <v>46296</v>
      </c>
      <c r="F199" t="inlineStr">
        <is>
          <t>DALARNAS LÄN</t>
        </is>
      </c>
      <c r="G199" t="inlineStr">
        <is>
          <t>VANSBRO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46296</v>
      </c>
      <c r="F200" t="inlineStr">
        <is>
          <t>DALARNAS LÄN</t>
        </is>
      </c>
      <c r="G200" t="inlineStr">
        <is>
          <t>VANSBRO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20185-2025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46296</v>
      </c>
      <c r="F201" t="inlineStr">
        <is>
          <t>DALARNAS LÄN</t>
        </is>
      </c>
      <c r="G201" t="inlineStr">
        <is>
          <t>VANSBRO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45512</v>
      </c>
      <c r="E202" s="1" t="n">
        <v>46296</v>
      </c>
      <c r="F202" t="inlineStr">
        <is>
          <t>DALARNAS LÄN</t>
        </is>
      </c>
      <c r="G202" t="inlineStr">
        <is>
          <t>VANSBRO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45520</v>
      </c>
      <c r="E203" s="1" t="n">
        <v>46296</v>
      </c>
      <c r="F203" t="inlineStr">
        <is>
          <t>DALARNAS LÄN</t>
        </is>
      </c>
      <c r="G203" t="inlineStr">
        <is>
          <t>VANSBRO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44930</v>
      </c>
      <c r="E204" s="1" t="n">
        <v>46296</v>
      </c>
      <c r="F204" t="inlineStr">
        <is>
          <t>DALARNAS LÄN</t>
        </is>
      </c>
      <c r="G204" t="inlineStr">
        <is>
          <t>VANSBRO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46296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46296</v>
      </c>
      <c r="F206" t="inlineStr">
        <is>
          <t>DALARNAS LÄN</t>
        </is>
      </c>
      <c r="G206" t="inlineStr">
        <is>
          <t>VANSBRO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45807</v>
      </c>
      <c r="E207" s="1" t="n">
        <v>46296</v>
      </c>
      <c r="F207" t="inlineStr">
        <is>
          <t>DALARNAS LÄN</t>
        </is>
      </c>
      <c r="G207" t="inlineStr">
        <is>
          <t>VANSBRO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45807</v>
      </c>
      <c r="E208" s="1" t="n">
        <v>46296</v>
      </c>
      <c r="F208" t="inlineStr">
        <is>
          <t>DALARNAS LÄN</t>
        </is>
      </c>
      <c r="G208" t="inlineStr">
        <is>
          <t>VANSBRO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45471</v>
      </c>
      <c r="E209" s="1" t="n">
        <v>46296</v>
      </c>
      <c r="F209" t="inlineStr">
        <is>
          <t>DALARNAS LÄN</t>
        </is>
      </c>
      <c r="G209" t="inlineStr">
        <is>
          <t>VANSBRO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46296</v>
      </c>
      <c r="F210" t="inlineStr">
        <is>
          <t>DALARNAS LÄN</t>
        </is>
      </c>
      <c r="G210" t="inlineStr">
        <is>
          <t>VANSBRO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46296</v>
      </c>
      <c r="F211" t="inlineStr">
        <is>
          <t>DALARNAS LÄN</t>
        </is>
      </c>
      <c r="G211" t="inlineStr">
        <is>
          <t>VANSBRO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45811</v>
      </c>
      <c r="E212" s="1" t="n">
        <v>46296</v>
      </c>
      <c r="F212" t="inlineStr">
        <is>
          <t>DALARNAS LÄN</t>
        </is>
      </c>
      <c r="G212" t="inlineStr">
        <is>
          <t>VANSBRO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45377</v>
      </c>
      <c r="E213" s="1" t="n">
        <v>46296</v>
      </c>
      <c r="F213" t="inlineStr">
        <is>
          <t>DALARNAS LÄN</t>
        </is>
      </c>
      <c r="G213" t="inlineStr">
        <is>
          <t>VANSBRO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44980</v>
      </c>
      <c r="E214" s="1" t="n">
        <v>46296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46296</v>
      </c>
      <c r="F215" t="inlineStr">
        <is>
          <t>DALARNAS LÄN</t>
        </is>
      </c>
      <c r="G215" t="inlineStr">
        <is>
          <t>VANSBRO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45689</v>
      </c>
      <c r="E216" s="1" t="n">
        <v>46296</v>
      </c>
      <c r="F216" t="inlineStr">
        <is>
          <t>DALARNAS LÄN</t>
        </is>
      </c>
      <c r="G216" t="inlineStr">
        <is>
          <t>VANSBRO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8447-2022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44612</v>
      </c>
      <c r="E217" s="1" t="n">
        <v>46296</v>
      </c>
      <c r="F217" t="inlineStr">
        <is>
          <t>DALARNAS LÄN</t>
        </is>
      </c>
      <c r="G217" t="inlineStr">
        <is>
          <t>VANSBRO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11485-2024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45372</v>
      </c>
      <c r="E218" s="1" t="n">
        <v>46296</v>
      </c>
      <c r="F218" t="inlineStr">
        <is>
          <t>DALARNAS LÄN</t>
        </is>
      </c>
      <c r="G218" t="inlineStr">
        <is>
          <t>VANSBRO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45691</v>
      </c>
      <c r="E219" s="1" t="n">
        <v>46296</v>
      </c>
      <c r="F219" t="inlineStr">
        <is>
          <t>DALARNAS LÄN</t>
        </is>
      </c>
      <c r="G219" t="inlineStr">
        <is>
          <t>VANSBRO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45819</v>
      </c>
      <c r="E220" s="1" t="n">
        <v>46296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46296</v>
      </c>
      <c r="F221" t="inlineStr">
        <is>
          <t>DALARNAS LÄN</t>
        </is>
      </c>
      <c r="G221" t="inlineStr">
        <is>
          <t>VANSBRO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35299-2024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45530</v>
      </c>
      <c r="E222" s="1" t="n">
        <v>46296</v>
      </c>
      <c r="F222" t="inlineStr">
        <is>
          <t>DALARNAS LÄN</t>
        </is>
      </c>
      <c r="G222" t="inlineStr">
        <is>
          <t>VANSBRO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46296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45322</v>
      </c>
      <c r="E224" s="1" t="n">
        <v>46296</v>
      </c>
      <c r="F224" t="inlineStr">
        <is>
          <t>DALARNAS LÄN</t>
        </is>
      </c>
      <c r="G224" t="inlineStr">
        <is>
          <t>VANSBRO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46296</v>
      </c>
      <c r="F225" t="inlineStr">
        <is>
          <t>DALARNAS LÄN</t>
        </is>
      </c>
      <c r="G225" t="inlineStr">
        <is>
          <t>VANSBRO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44837</v>
      </c>
      <c r="E226" s="1" t="n">
        <v>46296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45596</v>
      </c>
      <c r="E227" s="1" t="n">
        <v>46296</v>
      </c>
      <c r="F227" t="inlineStr">
        <is>
          <t>DALARNAS LÄN</t>
        </is>
      </c>
      <c r="G227" t="inlineStr">
        <is>
          <t>VANSBRO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62622-2022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44925</v>
      </c>
      <c r="E228" s="1" t="n">
        <v>46296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45824</v>
      </c>
      <c r="E229" s="1" t="n">
        <v>46296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2086-2024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45309</v>
      </c>
      <c r="E230" s="1" t="n">
        <v>46296</v>
      </c>
      <c r="F230" t="inlineStr">
        <is>
          <t>DALARNAS LÄN</t>
        </is>
      </c>
      <c r="G230" t="inlineStr">
        <is>
          <t>VANSBRO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45754</v>
      </c>
      <c r="E231" s="1" t="n">
        <v>46296</v>
      </c>
      <c r="F231" t="inlineStr">
        <is>
          <t>DALARNAS LÄN</t>
        </is>
      </c>
      <c r="G231" t="inlineStr">
        <is>
          <t>VANSBRO</t>
        </is>
      </c>
      <c r="I231" t="n">
        <v>9.9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17807-2022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46296</v>
      </c>
      <c r="F232" t="inlineStr">
        <is>
          <t>DALARNAS LÄN</t>
        </is>
      </c>
      <c r="G232" t="inlineStr">
        <is>
          <t>VANSBRO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45240</v>
      </c>
      <c r="E233" s="1" t="n">
        <v>46296</v>
      </c>
      <c r="F233" t="inlineStr">
        <is>
          <t>DALARNAS LÄN</t>
        </is>
      </c>
      <c r="G233" t="inlineStr">
        <is>
          <t>VANSBRO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46296</v>
      </c>
      <c r="F234" t="inlineStr">
        <is>
          <t>DALARNAS LÄN</t>
        </is>
      </c>
      <c r="G234" t="inlineStr">
        <is>
          <t>VANSBRO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49565-2022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44862</v>
      </c>
      <c r="E235" s="1" t="n">
        <v>46296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46296</v>
      </c>
      <c r="F236" t="inlineStr">
        <is>
          <t>DALARNAS LÄN</t>
        </is>
      </c>
      <c r="G236" t="inlineStr">
        <is>
          <t>VANSBRO</t>
        </is>
      </c>
      <c r="I236" t="n">
        <v>27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46296</v>
      </c>
      <c r="F237" t="inlineStr">
        <is>
          <t>DALARNAS LÄN</t>
        </is>
      </c>
      <c r="G237" t="inlineStr">
        <is>
          <t>VANSBRO</t>
        </is>
      </c>
      <c r="I237" t="n">
        <v>9.1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33520-2024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45519</v>
      </c>
      <c r="E238" s="1" t="n">
        <v>46296</v>
      </c>
      <c r="F238" t="inlineStr">
        <is>
          <t>DALARNAS LÄN</t>
        </is>
      </c>
      <c r="G238" t="inlineStr">
        <is>
          <t>VANSBRO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45169</v>
      </c>
      <c r="E239" s="1" t="n">
        <v>46296</v>
      </c>
      <c r="F239" t="inlineStr">
        <is>
          <t>DALARNAS LÄN</t>
        </is>
      </c>
      <c r="G239" t="inlineStr">
        <is>
          <t>VANSBRO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45471</v>
      </c>
      <c r="E240" s="1" t="n">
        <v>46296</v>
      </c>
      <c r="F240" t="inlineStr">
        <is>
          <t>DALARNAS LÄN</t>
        </is>
      </c>
      <c r="G240" t="inlineStr">
        <is>
          <t>VANSBRO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46296</v>
      </c>
      <c r="F241" t="inlineStr">
        <is>
          <t>DALARNAS LÄN</t>
        </is>
      </c>
      <c r="G241" t="inlineStr">
        <is>
          <t>VANSBRO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63816-2021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44509</v>
      </c>
      <c r="E242" s="1" t="n">
        <v>46296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17.6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46296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45712</v>
      </c>
      <c r="E244" s="1" t="n">
        <v>46296</v>
      </c>
      <c r="F244" t="inlineStr">
        <is>
          <t>DALARNAS LÄN</t>
        </is>
      </c>
      <c r="G244" t="inlineStr">
        <is>
          <t>VANSBRO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45604</v>
      </c>
      <c r="E245" s="1" t="n">
        <v>46296</v>
      </c>
      <c r="F245" t="inlineStr">
        <is>
          <t>DALARNAS LÄN</t>
        </is>
      </c>
      <c r="G245" t="inlineStr">
        <is>
          <t>VANSBRO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45840</v>
      </c>
      <c r="E246" s="1" t="n">
        <v>46296</v>
      </c>
      <c r="F246" t="inlineStr">
        <is>
          <t>DALARNAS LÄN</t>
        </is>
      </c>
      <c r="G246" t="inlineStr">
        <is>
          <t>VANSBRO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46296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öst AB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45840</v>
      </c>
      <c r="E248" s="1" t="n">
        <v>46296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öst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48005-2022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44855</v>
      </c>
      <c r="E249" s="1" t="n">
        <v>46296</v>
      </c>
      <c r="F249" t="inlineStr">
        <is>
          <t>DALARNAS LÄN</t>
        </is>
      </c>
      <c r="G249" t="inlineStr">
        <is>
          <t>VANSBRO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46296</v>
      </c>
      <c r="F250" t="inlineStr">
        <is>
          <t>DALARNAS LÄN</t>
        </is>
      </c>
      <c r="G250" t="inlineStr">
        <is>
          <t>VANSBRO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46296</v>
      </c>
      <c r="F251" t="inlineStr">
        <is>
          <t>DALARNAS LÄN</t>
        </is>
      </c>
      <c r="G251" t="inlineStr">
        <is>
          <t>VANSBRO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60031-2022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44909</v>
      </c>
      <c r="E252" s="1" t="n">
        <v>46296</v>
      </c>
      <c r="F252" t="inlineStr">
        <is>
          <t>DALARNAS LÄN</t>
        </is>
      </c>
      <c r="G252" t="inlineStr">
        <is>
          <t>VANSBRO</t>
        </is>
      </c>
      <c r="I252" t="n">
        <v>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45111</v>
      </c>
      <c r="E253" s="1" t="n">
        <v>46296</v>
      </c>
      <c r="F253" t="inlineStr">
        <is>
          <t>DALARNAS LÄN</t>
        </is>
      </c>
      <c r="G253" t="inlineStr">
        <is>
          <t>VANSBRO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45481</v>
      </c>
      <c r="E254" s="1" t="n">
        <v>46296</v>
      </c>
      <c r="F254" t="inlineStr">
        <is>
          <t>DALARNAS LÄN</t>
        </is>
      </c>
      <c r="G254" t="inlineStr">
        <is>
          <t>VANSBRO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45846</v>
      </c>
      <c r="E255" s="1" t="n">
        <v>46296</v>
      </c>
      <c r="F255" t="inlineStr">
        <is>
          <t>DALARNAS LÄN</t>
        </is>
      </c>
      <c r="G255" t="inlineStr">
        <is>
          <t>VANSBRO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45854</v>
      </c>
      <c r="E256" s="1" t="n">
        <v>46296</v>
      </c>
      <c r="F256" t="inlineStr">
        <is>
          <t>DALARNAS LÄN</t>
        </is>
      </c>
      <c r="G256" t="inlineStr">
        <is>
          <t>VANSBRO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46296</v>
      </c>
      <c r="F257" t="inlineStr">
        <is>
          <t>DALARNAS LÄN</t>
        </is>
      </c>
      <c r="G257" t="inlineStr">
        <is>
          <t>VANSBRO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45457</v>
      </c>
      <c r="E258" s="1" t="n">
        <v>46296</v>
      </c>
      <c r="F258" t="inlineStr">
        <is>
          <t>DALARNAS LÄN</t>
        </is>
      </c>
      <c r="G258" t="inlineStr">
        <is>
          <t>VANSBRO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35782-2025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45860</v>
      </c>
      <c r="E259" s="1" t="n">
        <v>46296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13062-2023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45002</v>
      </c>
      <c r="E260" s="1" t="n">
        <v>46296</v>
      </c>
      <c r="F260" t="inlineStr">
        <is>
          <t>DALARNAS LÄN</t>
        </is>
      </c>
      <c r="G260" t="inlineStr">
        <is>
          <t>VANSBRO</t>
        </is>
      </c>
      <c r="H260" t="inlineStr">
        <is>
          <t>Övriga statliga verk och myndigheter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45576</v>
      </c>
      <c r="E261" s="1" t="n">
        <v>46296</v>
      </c>
      <c r="F261" t="inlineStr">
        <is>
          <t>DALARNAS LÄN</t>
        </is>
      </c>
      <c r="G261" t="inlineStr">
        <is>
          <t>VANSBRO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45754</v>
      </c>
      <c r="E262" s="1" t="n">
        <v>46296</v>
      </c>
      <c r="F262" t="inlineStr">
        <is>
          <t>DALARNAS LÄN</t>
        </is>
      </c>
      <c r="G262" t="inlineStr">
        <is>
          <t>VANSBRO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45868</v>
      </c>
      <c r="E263" s="1" t="n">
        <v>46296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öst AB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53498-2024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46296</v>
      </c>
      <c r="F264" t="inlineStr">
        <is>
          <t>DALARNAS LÄN</t>
        </is>
      </c>
      <c r="G264" t="inlineStr">
        <is>
          <t>VANSBRO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46296</v>
      </c>
      <c r="F265" t="inlineStr">
        <is>
          <t>DALARNAS LÄN</t>
        </is>
      </c>
      <c r="G265" t="inlineStr">
        <is>
          <t>VANSBRO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46296</v>
      </c>
      <c r="F266" t="inlineStr">
        <is>
          <t>DALARNAS LÄN</t>
        </is>
      </c>
      <c r="G266" t="inlineStr">
        <is>
          <t>VANSBRO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38670-2025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45884</v>
      </c>
      <c r="E267" s="1" t="n">
        <v>46296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46296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24827-2022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44728</v>
      </c>
      <c r="E269" s="1" t="n">
        <v>46296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24839-2022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44728</v>
      </c>
      <c r="E270" s="1" t="n">
        <v>46296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öst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48840-2025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45937</v>
      </c>
      <c r="E271" s="1" t="n">
        <v>46296</v>
      </c>
      <c r="F271" t="inlineStr">
        <is>
          <t>DALARNAS LÄN</t>
        </is>
      </c>
      <c r="G271" t="inlineStr">
        <is>
          <t>VANSBRO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46296</v>
      </c>
      <c r="F272" t="inlineStr">
        <is>
          <t>DALARNAS LÄN</t>
        </is>
      </c>
      <c r="G272" t="inlineStr">
        <is>
          <t>VANSBRO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45939</v>
      </c>
      <c r="E273" s="1" t="n">
        <v>46296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öst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49679-2025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46296</v>
      </c>
      <c r="F274" t="inlineStr">
        <is>
          <t>DALARNAS LÄN</t>
        </is>
      </c>
      <c r="G274" t="inlineStr">
        <is>
          <t>VANSBRO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45939</v>
      </c>
      <c r="E275" s="1" t="n">
        <v>46296</v>
      </c>
      <c r="F275" t="inlineStr">
        <is>
          <t>DALARNAS LÄN</t>
        </is>
      </c>
      <c r="G275" t="inlineStr">
        <is>
          <t>VANSBRO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46296</v>
      </c>
      <c r="F276" t="inlineStr">
        <is>
          <t>DALARNAS LÄN</t>
        </is>
      </c>
      <c r="G276" t="inlineStr">
        <is>
          <t>VANSBRO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46296</v>
      </c>
      <c r="F277" t="inlineStr">
        <is>
          <t>DALARNAS LÄN</t>
        </is>
      </c>
      <c r="G277" t="inlineStr">
        <is>
          <t>VANSBRO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37285-2025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45876</v>
      </c>
      <c r="E278" s="1" t="n">
        <v>46296</v>
      </c>
      <c r="F278" t="inlineStr">
        <is>
          <t>DALARNAS LÄN</t>
        </is>
      </c>
      <c r="G278" t="inlineStr">
        <is>
          <t>VANSBRO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46296</v>
      </c>
      <c r="F279" t="inlineStr">
        <is>
          <t>DALARNAS LÄN</t>
        </is>
      </c>
      <c r="G279" t="inlineStr">
        <is>
          <t>VANSBRO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37287-2025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45876</v>
      </c>
      <c r="E280" s="1" t="n">
        <v>46296</v>
      </c>
      <c r="F280" t="inlineStr">
        <is>
          <t>DALARNAS LÄN</t>
        </is>
      </c>
      <c r="G280" t="inlineStr">
        <is>
          <t>VANSBRO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46296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45890</v>
      </c>
      <c r="E282" s="1" t="n">
        <v>46296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46296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46296</v>
      </c>
      <c r="F284" t="inlineStr">
        <is>
          <t>DALARNAS LÄN</t>
        </is>
      </c>
      <c r="G284" t="inlineStr">
        <is>
          <t>VANSBRO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46296</v>
      </c>
      <c r="F285" t="inlineStr">
        <is>
          <t>DALARNAS LÄN</t>
        </is>
      </c>
      <c r="G285" t="inlineStr">
        <is>
          <t>VANSBRO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46296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51414-2025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46296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51855-2025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45952</v>
      </c>
      <c r="E288" s="1" t="n">
        <v>46296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10.2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52676-2025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45956</v>
      </c>
      <c r="E289" s="1" t="n">
        <v>46296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45956</v>
      </c>
      <c r="E290" s="1" t="n">
        <v>46296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46296</v>
      </c>
      <c r="F291" t="inlineStr">
        <is>
          <t>DALARNAS LÄN</t>
        </is>
      </c>
      <c r="G291" t="inlineStr">
        <is>
          <t>VANSBRO</t>
        </is>
      </c>
      <c r="I291" t="n">
        <v>12.6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45904</v>
      </c>
      <c r="E292" s="1" t="n">
        <v>46296</v>
      </c>
      <c r="F292" t="inlineStr">
        <is>
          <t>DALARNAS LÄN</t>
        </is>
      </c>
      <c r="G292" t="inlineStr">
        <is>
          <t>VANSBRO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46296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45961</v>
      </c>
      <c r="E294" s="1" t="n">
        <v>46296</v>
      </c>
      <c r="F294" t="inlineStr">
        <is>
          <t>DALARNAS LÄN</t>
        </is>
      </c>
      <c r="G294" t="inlineStr">
        <is>
          <t>VANSBRO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45909</v>
      </c>
      <c r="E295" s="1" t="n">
        <v>46296</v>
      </c>
      <c r="F295" t="inlineStr">
        <is>
          <t>DALARNAS LÄN</t>
        </is>
      </c>
      <c r="G295" t="inlineStr">
        <is>
          <t>VANSBRO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46296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46296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46296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46296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8.4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54736-2025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45966</v>
      </c>
      <c r="E300" s="1" t="n">
        <v>46296</v>
      </c>
      <c r="F300" t="inlineStr">
        <is>
          <t>DALARNAS LÄN</t>
        </is>
      </c>
      <c r="G300" t="inlineStr">
        <is>
          <t>VANSBRO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56043-2025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46296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46296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56280-2025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45974</v>
      </c>
      <c r="E303" s="1" t="n">
        <v>46296</v>
      </c>
      <c r="F303" t="inlineStr">
        <is>
          <t>DALARNAS LÄN</t>
        </is>
      </c>
      <c r="G303" t="inlineStr">
        <is>
          <t>VANSBRO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46296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46296</v>
      </c>
      <c r="F305" t="inlineStr">
        <is>
          <t>DALARNAS LÄN</t>
        </is>
      </c>
      <c r="G305" t="inlineStr">
        <is>
          <t>VANSBRO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46296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46296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58874-2025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45987</v>
      </c>
      <c r="E308" s="1" t="n">
        <v>46296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46296</v>
      </c>
      <c r="F309" t="inlineStr">
        <is>
          <t>DALARNAS LÄN</t>
        </is>
      </c>
      <c r="G309" t="inlineStr">
        <is>
          <t>VANSBRO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61598-2025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46002</v>
      </c>
      <c r="E310" s="1" t="n">
        <v>46296</v>
      </c>
      <c r="F310" t="inlineStr">
        <is>
          <t>DALARNAS LÄN</t>
        </is>
      </c>
      <c r="G310" t="inlineStr">
        <is>
          <t>VANSBRO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46296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46033</v>
      </c>
      <c r="E312" s="1" t="n">
        <v>46296</v>
      </c>
      <c r="F312" t="inlineStr">
        <is>
          <t>DALARNAS LÄN</t>
        </is>
      </c>
      <c r="G312" t="inlineStr">
        <is>
          <t>VANSBRO</t>
        </is>
      </c>
      <c r="I312" t="n">
        <v>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46034</v>
      </c>
      <c r="E313" s="1" t="n">
        <v>46296</v>
      </c>
      <c r="F313" t="inlineStr">
        <is>
          <t>DALARNAS LÄN</t>
        </is>
      </c>
      <c r="G313" t="inlineStr">
        <is>
          <t>VANSBRO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46296</v>
      </c>
      <c r="F314" t="inlineStr">
        <is>
          <t>DALARNAS LÄN</t>
        </is>
      </c>
      <c r="G314" t="inlineStr">
        <is>
          <t>VANSBRO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46036</v>
      </c>
      <c r="E315" s="1" t="n">
        <v>46296</v>
      </c>
      <c r="F315" t="inlineStr">
        <is>
          <t>DALARNAS LÄN</t>
        </is>
      </c>
      <c r="G315" t="inlineStr">
        <is>
          <t>VANSBRO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46296</v>
      </c>
      <c r="F316" t="inlineStr">
        <is>
          <t>DALARNAS LÄN</t>
        </is>
      </c>
      <c r="G316" t="inlineStr">
        <is>
          <t>VANSBRO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46296</v>
      </c>
      <c r="F317" t="inlineStr">
        <is>
          <t>DALARNAS LÄN</t>
        </is>
      </c>
      <c r="G317" t="inlineStr">
        <is>
          <t>VANSBRO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46296</v>
      </c>
      <c r="F318" t="inlineStr">
        <is>
          <t>DALARNAS LÄN</t>
        </is>
      </c>
      <c r="G318" t="inlineStr">
        <is>
          <t>VANSBRO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46049</v>
      </c>
      <c r="E319" s="1" t="n">
        <v>46296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46296</v>
      </c>
      <c r="F320" t="inlineStr">
        <is>
          <t>DALARNAS LÄN</t>
        </is>
      </c>
      <c r="G320" t="inlineStr">
        <is>
          <t>VANSBRO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46296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46051</v>
      </c>
      <c r="E322" s="1" t="n">
        <v>46296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46296</v>
      </c>
      <c r="F323" t="inlineStr">
        <is>
          <t>DALARNAS LÄN</t>
        </is>
      </c>
      <c r="G323" t="inlineStr">
        <is>
          <t>VANSBRO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46296</v>
      </c>
      <c r="F324" t="inlineStr">
        <is>
          <t>DALARNAS LÄN</t>
        </is>
      </c>
      <c r="G324" t="inlineStr">
        <is>
          <t>VANSBRO</t>
        </is>
      </c>
      <c r="I324" t="n">
        <v>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46296</v>
      </c>
      <c r="F325" t="inlineStr">
        <is>
          <t>DALARNAS LÄN</t>
        </is>
      </c>
      <c r="G325" t="inlineStr">
        <is>
          <t>VANSBRO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46296</v>
      </c>
      <c r="F326" t="inlineStr">
        <is>
          <t>DALARNAS LÄN</t>
        </is>
      </c>
      <c r="G326" t="inlineStr">
        <is>
          <t>VANSBRO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46466-2024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45582</v>
      </c>
      <c r="E327" s="1" t="n">
        <v>46296</v>
      </c>
      <c r="F327" t="inlineStr">
        <is>
          <t>DALARNAS LÄN</t>
        </is>
      </c>
      <c r="G327" t="inlineStr">
        <is>
          <t>VANSBRO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46296</v>
      </c>
      <c r="F328" t="inlineStr">
        <is>
          <t>DALARNAS LÄN</t>
        </is>
      </c>
      <c r="G328" t="inlineStr">
        <is>
          <t>VANSBRO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46296</v>
      </c>
      <c r="F329" t="inlineStr">
        <is>
          <t>DALARNAS LÄN</t>
        </is>
      </c>
      <c r="G329" t="inlineStr">
        <is>
          <t>VANSBRO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46041</v>
      </c>
      <c r="E330" s="1" t="n">
        <v>46296</v>
      </c>
      <c r="F330" t="inlineStr">
        <is>
          <t>DALARNAS LÄN</t>
        </is>
      </c>
      <c r="G330" t="inlineStr">
        <is>
          <t>VANSBRO</t>
        </is>
      </c>
      <c r="I330" t="n">
        <v>15.1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45666</v>
      </c>
      <c r="E331" s="1" t="n">
        <v>46296</v>
      </c>
      <c r="F331" t="inlineStr">
        <is>
          <t>DALARNAS LÄN</t>
        </is>
      </c>
      <c r="G331" t="inlineStr">
        <is>
          <t>VANSBRO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64072-2025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46021</v>
      </c>
      <c r="E332" s="1" t="n">
        <v>46296</v>
      </c>
      <c r="F332" t="inlineStr">
        <is>
          <t>DALARNAS LÄN</t>
        </is>
      </c>
      <c r="G332" t="inlineStr">
        <is>
          <t>VANSBRO</t>
        </is>
      </c>
      <c r="I332" t="n">
        <v>19.1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45240</v>
      </c>
      <c r="E333" s="1" t="n">
        <v>46296</v>
      </c>
      <c r="F333" t="inlineStr">
        <is>
          <t>DALARNAS LÄN</t>
        </is>
      </c>
      <c r="G333" t="inlineStr">
        <is>
          <t>VANSBRO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45639</v>
      </c>
      <c r="E334" s="1" t="n">
        <v>46296</v>
      </c>
      <c r="F334" t="inlineStr">
        <is>
          <t>DALARNAS LÄN</t>
        </is>
      </c>
      <c r="G334" t="inlineStr">
        <is>
          <t>VANSBRO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45673</v>
      </c>
      <c r="E335" s="1" t="n">
        <v>46296</v>
      </c>
      <c r="F335" t="inlineStr">
        <is>
          <t>DALARNAS LÄN</t>
        </is>
      </c>
      <c r="G335" t="inlineStr">
        <is>
          <t>VANSBRO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25916-2022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44734</v>
      </c>
      <c r="E336" s="1" t="n">
        <v>46296</v>
      </c>
      <c r="F336" t="inlineStr">
        <is>
          <t>DALARNAS LÄN</t>
        </is>
      </c>
      <c r="G336" t="inlineStr">
        <is>
          <t>VANSBRO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46296</v>
      </c>
      <c r="F337" t="inlineStr">
        <is>
          <t>DALARNAS LÄN</t>
        </is>
      </c>
      <c r="G337" t="inlineStr">
        <is>
          <t>VANSBRO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7764-2026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46296</v>
      </c>
      <c r="F338" t="inlineStr">
        <is>
          <t>DALARNAS LÄN</t>
        </is>
      </c>
      <c r="G338" t="inlineStr">
        <is>
          <t>VANSBRO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46296</v>
      </c>
      <c r="F339" t="inlineStr">
        <is>
          <t>DALARNAS LÄN</t>
        </is>
      </c>
      <c r="G339" t="inlineStr">
        <is>
          <t>VANSBRO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11349-2026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46082</v>
      </c>
      <c r="E340" s="1" t="n">
        <v>46296</v>
      </c>
      <c r="F340" t="inlineStr">
        <is>
          <t>DALARNAS LÄN</t>
        </is>
      </c>
      <c r="G340" t="inlineStr">
        <is>
          <t>VANSBRO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46082</v>
      </c>
      <c r="E341" s="1" t="n">
        <v>46296</v>
      </c>
      <c r="F341" t="inlineStr">
        <is>
          <t>DALARNAS LÄN</t>
        </is>
      </c>
      <c r="G341" t="inlineStr">
        <is>
          <t>VANSBRO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12475-2026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46296</v>
      </c>
      <c r="F342" t="inlineStr">
        <is>
          <t>DALARNAS LÄN</t>
        </is>
      </c>
      <c r="G342" t="inlineStr">
        <is>
          <t>VANSBRO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13392-2026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46296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13495-2026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46296</v>
      </c>
      <c r="F344" t="inlineStr">
        <is>
          <t>DALARNAS LÄN</t>
        </is>
      </c>
      <c r="G344" t="inlineStr">
        <is>
          <t>VANSBRO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46296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46296</v>
      </c>
      <c r="F346" t="inlineStr">
        <is>
          <t>DALARNAS LÄN</t>
        </is>
      </c>
      <c r="G346" t="inlineStr">
        <is>
          <t>VANSBRO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46296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46296</v>
      </c>
      <c r="F348" t="inlineStr">
        <is>
          <t>DALARNAS LÄN</t>
        </is>
      </c>
      <c r="G348" t="inlineStr">
        <is>
          <t>VANSBRO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46296</v>
      </c>
      <c r="F349" t="inlineStr">
        <is>
          <t>DALARNAS LÄN</t>
        </is>
      </c>
      <c r="G349" t="inlineStr">
        <is>
          <t>VANSBRO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16134-2026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46296</v>
      </c>
      <c r="F350" t="inlineStr">
        <is>
          <t>DALARNAS LÄN</t>
        </is>
      </c>
      <c r="G350" t="inlineStr">
        <is>
          <t>VANSBRO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46296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16952-2026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46114</v>
      </c>
      <c r="E352" s="1" t="n">
        <v>46296</v>
      </c>
      <c r="F352" t="inlineStr">
        <is>
          <t>DALARNAS LÄN</t>
        </is>
      </c>
      <c r="G352" t="inlineStr">
        <is>
          <t>VANSBRO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16948-2026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46296</v>
      </c>
      <c r="F353" t="inlineStr">
        <is>
          <t>DALARNAS LÄN</t>
        </is>
      </c>
      <c r="G353" t="inlineStr">
        <is>
          <t>VANSBRO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46119</v>
      </c>
      <c r="E354" s="1" t="n">
        <v>46296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46121</v>
      </c>
      <c r="E355" s="1" t="n">
        <v>46296</v>
      </c>
      <c r="F355" t="inlineStr">
        <is>
          <t>DALARNAS LÄN</t>
        </is>
      </c>
      <c r="G355" t="inlineStr">
        <is>
          <t>VANSBRO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46120</v>
      </c>
      <c r="E356" s="1" t="n">
        <v>46296</v>
      </c>
      <c r="F356" t="inlineStr">
        <is>
          <t>DALARNAS LÄN</t>
        </is>
      </c>
      <c r="G356" t="inlineStr">
        <is>
          <t>VANSBRO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46121</v>
      </c>
      <c r="E357" s="1" t="n">
        <v>46296</v>
      </c>
      <c r="F357" t="inlineStr">
        <is>
          <t>DALARNAS LÄN</t>
        </is>
      </c>
      <c r="G357" t="inlineStr">
        <is>
          <t>VANSBRO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46120</v>
      </c>
      <c r="E358" s="1" t="n">
        <v>46296</v>
      </c>
      <c r="F358" t="inlineStr">
        <is>
          <t>DALARNAS LÄN</t>
        </is>
      </c>
      <c r="G358" t="inlineStr">
        <is>
          <t>VANSBRO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17609-2026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46121</v>
      </c>
      <c r="E359" s="1" t="n">
        <v>46296</v>
      </c>
      <c r="F359" t="inlineStr">
        <is>
          <t>DALARNAS LÄN</t>
        </is>
      </c>
      <c r="G359" t="inlineStr">
        <is>
          <t>VANSBRO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46296</v>
      </c>
      <c r="F360" t="inlineStr">
        <is>
          <t>DALARNAS LÄN</t>
        </is>
      </c>
      <c r="G360" t="inlineStr">
        <is>
          <t>VANSBRO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17998-2026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46124</v>
      </c>
      <c r="E361" s="1" t="n">
        <v>46296</v>
      </c>
      <c r="F361" t="inlineStr">
        <is>
          <t>DALARNAS LÄN</t>
        </is>
      </c>
      <c r="G361" t="inlineStr">
        <is>
          <t>VANSBRO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18140-2026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46125</v>
      </c>
      <c r="E362" s="1" t="n">
        <v>46296</v>
      </c>
      <c r="F362" t="inlineStr">
        <is>
          <t>DALARNAS LÄN</t>
        </is>
      </c>
      <c r="G362" t="inlineStr">
        <is>
          <t>VANSBRO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46128</v>
      </c>
      <c r="E363" s="1" t="n">
        <v>46296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18709-2026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46128</v>
      </c>
      <c r="E364" s="1" t="n">
        <v>46296</v>
      </c>
      <c r="F364" t="inlineStr">
        <is>
          <t>DALARNAS LÄN</t>
        </is>
      </c>
      <c r="G364" t="inlineStr">
        <is>
          <t>VANSBRO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46296</v>
      </c>
      <c r="F365" t="inlineStr">
        <is>
          <t>DALARNAS LÄN</t>
        </is>
      </c>
      <c r="G365" t="inlineStr">
        <is>
          <t>VANSBRO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18586-2026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46127</v>
      </c>
      <c r="E366" s="1" t="n">
        <v>46296</v>
      </c>
      <c r="F366" t="inlineStr">
        <is>
          <t>DALARNAS LÄN</t>
        </is>
      </c>
      <c r="G366" t="inlineStr">
        <is>
          <t>VANSBRO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18588-2026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46127</v>
      </c>
      <c r="E367" s="1" t="n">
        <v>46296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18823-2026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46128</v>
      </c>
      <c r="E368" s="1" t="n">
        <v>46296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46296</v>
      </c>
      <c r="F369" t="inlineStr">
        <is>
          <t>DALARNAS LÄN</t>
        </is>
      </c>
      <c r="G369" t="inlineStr">
        <is>
          <t>VANSBRO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19809-2026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46296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45817</v>
      </c>
      <c r="E371" s="1" t="n">
        <v>46296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46139</v>
      </c>
      <c r="E372" s="1" t="n">
        <v>46296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45940</v>
      </c>
      <c r="E373" s="1" t="n">
        <v>46296</v>
      </c>
      <c r="F373" t="inlineStr">
        <is>
          <t>DALARNAS LÄN</t>
        </is>
      </c>
      <c r="G373" t="inlineStr">
        <is>
          <t>VANSBRO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45440</v>
      </c>
      <c r="E374" s="1" t="n">
        <v>46296</v>
      </c>
      <c r="F374" t="inlineStr">
        <is>
          <t>DALARNAS LÄN</t>
        </is>
      </c>
      <c r="G374" t="inlineStr">
        <is>
          <t>VANSBRO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45811</v>
      </c>
      <c r="E375" s="1" t="n">
        <v>46296</v>
      </c>
      <c r="F375" t="inlineStr">
        <is>
          <t>DALARNAS LÄN</t>
        </is>
      </c>
      <c r="G375" t="inlineStr">
        <is>
          <t>VANSBRO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45727</v>
      </c>
      <c r="E376" s="1" t="n">
        <v>46296</v>
      </c>
      <c r="F376" t="inlineStr">
        <is>
          <t>DALARNAS LÄN</t>
        </is>
      </c>
      <c r="G376" t="inlineStr">
        <is>
          <t>VANSBRO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20669-2025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45776</v>
      </c>
      <c r="E377" s="1" t="n">
        <v>46296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26387-2025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45806</v>
      </c>
      <c r="E378" s="1" t="n">
        <v>46296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46296</v>
      </c>
      <c r="F379" t="inlineStr">
        <is>
          <t>DALARNAS LÄN</t>
        </is>
      </c>
      <c r="G379" t="inlineStr">
        <is>
          <t>VANSBRO</t>
        </is>
      </c>
      <c r="I379" t="n">
        <v>13.9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46296</v>
      </c>
      <c r="F380" t="inlineStr">
        <is>
          <t>DALARNAS LÄN</t>
        </is>
      </c>
      <c r="G380" t="inlineStr">
        <is>
          <t>VANSBRO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10013-2024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45363</v>
      </c>
      <c r="E381" s="1" t="n">
        <v>46296</v>
      </c>
      <c r="F381" t="inlineStr">
        <is>
          <t>DALARNAS LÄN</t>
        </is>
      </c>
      <c r="G381" t="inlineStr">
        <is>
          <t>VANSBRO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45817</v>
      </c>
      <c r="E382" s="1" t="n">
        <v>46296</v>
      </c>
      <c r="F382" t="inlineStr">
        <is>
          <t>DALARNAS LÄN</t>
        </is>
      </c>
      <c r="G382" t="inlineStr">
        <is>
          <t>VANSBRO</t>
        </is>
      </c>
      <c r="I382" t="n">
        <v>15.8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20732-2026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46141</v>
      </c>
      <c r="E383" s="1" t="n">
        <v>46296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46021</v>
      </c>
      <c r="E384" s="1" t="n">
        <v>46296</v>
      </c>
      <c r="F384" t="inlineStr">
        <is>
          <t>DALARNAS LÄN</t>
        </is>
      </c>
      <c r="G384" t="inlineStr">
        <is>
          <t>VANSBRO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46296</v>
      </c>
      <c r="F385" t="inlineStr">
        <is>
          <t>DALARNAS LÄN</t>
        </is>
      </c>
      <c r="G385" t="inlineStr">
        <is>
          <t>VANSBRO</t>
        </is>
      </c>
      <c r="H385" t="inlineStr">
        <is>
          <t>Övriga statliga verk och myndigheter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21744-2026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46149</v>
      </c>
      <c r="E386" s="1" t="n">
        <v>46296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7864-2024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45350</v>
      </c>
      <c r="E387" s="1" t="n">
        <v>46296</v>
      </c>
      <c r="F387" t="inlineStr">
        <is>
          <t>DALARNAS LÄN</t>
        </is>
      </c>
      <c r="G387" t="inlineStr">
        <is>
          <t>VANSBRO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22384-2026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46154</v>
      </c>
      <c r="E388" s="1" t="n">
        <v>46296</v>
      </c>
      <c r="F388" t="inlineStr">
        <is>
          <t>DALARNAS LÄN</t>
        </is>
      </c>
      <c r="G388" t="inlineStr">
        <is>
          <t>VANSBRO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22379-2026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46296</v>
      </c>
      <c r="F389" t="inlineStr">
        <is>
          <t>DALARNAS LÄN</t>
        </is>
      </c>
      <c r="G389" t="inlineStr">
        <is>
          <t>VANSBRO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39484-2025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45890</v>
      </c>
      <c r="E390" s="1" t="n">
        <v>46296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46161</v>
      </c>
      <c r="E391" s="1" t="n">
        <v>46296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5386-2024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45331</v>
      </c>
      <c r="E392" s="1" t="n">
        <v>46296</v>
      </c>
      <c r="F392" t="inlineStr">
        <is>
          <t>DALARNAS LÄN</t>
        </is>
      </c>
      <c r="G392" t="inlineStr">
        <is>
          <t>VANSBRO</t>
        </is>
      </c>
      <c r="I392" t="n">
        <v>11.4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23752-2026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46164</v>
      </c>
      <c r="E393" s="1" t="n">
        <v>46296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23780-2026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46164</v>
      </c>
      <c r="E394" s="1" t="n">
        <v>46296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öst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25045-2026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46296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46169</v>
      </c>
      <c r="E396" s="1" t="n">
        <v>46296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24202-2026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46296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46296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26542-2026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46183</v>
      </c>
      <c r="E399" s="1" t="n">
        <v>46296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46184</v>
      </c>
      <c r="E400" s="1" t="n">
        <v>46296</v>
      </c>
      <c r="F400" t="inlineStr">
        <is>
          <t>DALARNAS LÄN</t>
        </is>
      </c>
      <c r="G400" t="inlineStr">
        <is>
          <t>VANSBRO</t>
        </is>
      </c>
      <c r="H400" t="inlineStr">
        <is>
          <t>Övriga statliga verk och myndigheter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46296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27195-2026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46296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46296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27629-2026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46296</v>
      </c>
      <c r="F404" t="inlineStr">
        <is>
          <t>DALARNAS LÄN</t>
        </is>
      </c>
      <c r="G404" t="inlineStr">
        <is>
          <t>VANSBRO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46296</v>
      </c>
      <c r="F405" t="inlineStr">
        <is>
          <t>DALARNAS LÄN</t>
        </is>
      </c>
      <c r="G405" t="inlineStr">
        <is>
          <t>VANSBRO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46184</v>
      </c>
      <c r="E406" s="1" t="n">
        <v>46296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46296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10.5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46296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46191</v>
      </c>
      <c r="E409" s="1" t="n">
        <v>46296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27937-2026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46191</v>
      </c>
      <c r="E410" s="1" t="n">
        <v>46296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27930-2026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46191</v>
      </c>
      <c r="E411" s="1" t="n">
        <v>46296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46296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10.7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46197</v>
      </c>
      <c r="E413" s="1" t="n">
        <v>46296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29035-2026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46296</v>
      </c>
      <c r="F414" t="inlineStr">
        <is>
          <t>DALARNAS LÄN</t>
        </is>
      </c>
      <c r="G414" t="inlineStr">
        <is>
          <t>VANSBRO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29174-2026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46202</v>
      </c>
      <c r="E415" s="1" t="n">
        <v>46296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öst AB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46296</v>
      </c>
      <c r="F416" t="inlineStr">
        <is>
          <t>DALARNAS LÄN</t>
        </is>
      </c>
      <c r="G416" t="inlineStr">
        <is>
          <t>VANSBRO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46296</v>
      </c>
      <c r="F417" t="inlineStr">
        <is>
          <t>DALARNAS LÄN</t>
        </is>
      </c>
      <c r="G417" t="inlineStr">
        <is>
          <t>VANSBRO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46296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öst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46203</v>
      </c>
      <c r="E419" s="1" t="n">
        <v>46296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öst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46296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29630-2026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46204</v>
      </c>
      <c r="E421" s="1" t="n">
        <v>46296</v>
      </c>
      <c r="F421" t="inlineStr">
        <is>
          <t>DALARNAS LÄN</t>
        </is>
      </c>
      <c r="G421" t="inlineStr">
        <is>
          <t>VANSBRO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30509-2026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46210</v>
      </c>
      <c r="E422" s="1" t="n">
        <v>46296</v>
      </c>
      <c r="F422" t="inlineStr">
        <is>
          <t>DALARNAS LÄN</t>
        </is>
      </c>
      <c r="G422" t="inlineStr">
        <is>
          <t>VANSBRO</t>
        </is>
      </c>
      <c r="H422" t="inlineStr">
        <is>
          <t>Övriga statliga verk och myndigheter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46210</v>
      </c>
      <c r="E423" s="1" t="n">
        <v>46296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30784-2026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46212</v>
      </c>
      <c r="E424" s="1" t="n">
        <v>46296</v>
      </c>
      <c r="F424" t="inlineStr">
        <is>
          <t>DALARNAS LÄN</t>
        </is>
      </c>
      <c r="G424" t="inlineStr">
        <is>
          <t>VANSBRO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34374-2026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46254</v>
      </c>
      <c r="E425" s="1" t="n">
        <v>46296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46296</v>
      </c>
      <c r="F426" t="inlineStr">
        <is>
          <t>DALARNAS LÄN</t>
        </is>
      </c>
      <c r="G426" t="inlineStr">
        <is>
          <t>VANSBRO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46296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46296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46259</v>
      </c>
      <c r="E429" s="1" t="n">
        <v>46296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öst AB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35050-2026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46259</v>
      </c>
      <c r="E430" s="1" t="n">
        <v>46296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öst AB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46261</v>
      </c>
      <c r="E431" s="1" t="n">
        <v>46296</v>
      </c>
      <c r="F431" t="inlineStr">
        <is>
          <t>DALARNAS LÄN</t>
        </is>
      </c>
      <c r="G431" t="inlineStr">
        <is>
          <t>VANSBRO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35579-2026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46262</v>
      </c>
      <c r="E432" s="1" t="n">
        <v>46296</v>
      </c>
      <c r="F432" t="inlineStr">
        <is>
          <t>DALARNAS LÄN</t>
        </is>
      </c>
      <c r="G432" t="inlineStr">
        <is>
          <t>VANSBRO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35752-2026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46296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46266</v>
      </c>
      <c r="E434" s="1" t="n">
        <v>46296</v>
      </c>
      <c r="F434" t="inlineStr">
        <is>
          <t>DALARNAS LÄN</t>
        </is>
      </c>
      <c r="G434" t="inlineStr">
        <is>
          <t>VANSBRO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46296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46268</v>
      </c>
      <c r="E436" s="1" t="n">
        <v>46296</v>
      </c>
      <c r="F436" t="inlineStr">
        <is>
          <t>DALARNAS LÄN</t>
        </is>
      </c>
      <c r="G436" t="inlineStr">
        <is>
          <t>VANSBRO</t>
        </is>
      </c>
      <c r="H436" t="inlineStr">
        <is>
          <t>Kyrkan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36377-2026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46268</v>
      </c>
      <c r="E437" s="1" t="n">
        <v>46296</v>
      </c>
      <c r="F437" t="inlineStr">
        <is>
          <t>DALARNAS LÄN</t>
        </is>
      </c>
      <c r="G437" t="inlineStr">
        <is>
          <t>VANSBRO</t>
        </is>
      </c>
      <c r="H437" t="inlineStr">
        <is>
          <t>Kyrkan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36379-2026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46296</v>
      </c>
      <c r="F438" t="inlineStr">
        <is>
          <t>DALARNAS LÄN</t>
        </is>
      </c>
      <c r="G438" t="inlineStr">
        <is>
          <t>VANSBRO</t>
        </is>
      </c>
      <c r="H438" t="inlineStr">
        <is>
          <t>Kyrkan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36710-2026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46272</v>
      </c>
      <c r="E439" s="1" t="n">
        <v>46296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46272</v>
      </c>
      <c r="E440" s="1" t="n">
        <v>46296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46272</v>
      </c>
      <c r="E441" s="1" t="n">
        <v>46296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37433-2026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46275</v>
      </c>
      <c r="E442" s="1" t="n">
        <v>46296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37443-2026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46275</v>
      </c>
      <c r="E443" s="1" t="n">
        <v>46296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37467-2026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46275</v>
      </c>
      <c r="E444" s="1" t="n">
        <v>46296</v>
      </c>
      <c r="F444" t="inlineStr">
        <is>
          <t>DALARNAS LÄN</t>
        </is>
      </c>
      <c r="G444" t="inlineStr">
        <is>
          <t>VANSBRO</t>
        </is>
      </c>
      <c r="H444" t="inlineStr">
        <is>
          <t>Kommuner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46275</v>
      </c>
      <c r="E445" s="1" t="n">
        <v>46296</v>
      </c>
      <c r="F445" t="inlineStr">
        <is>
          <t>DALARNAS LÄN</t>
        </is>
      </c>
      <c r="G445" t="inlineStr">
        <is>
          <t>VANSBRO</t>
        </is>
      </c>
      <c r="H445" t="inlineStr">
        <is>
          <t>Kyrkan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37247-2026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46274</v>
      </c>
      <c r="E446" s="1" t="n">
        <v>46296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46231</v>
      </c>
      <c r="E447" s="1" t="n">
        <v>46296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20.2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37596-2026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46276</v>
      </c>
      <c r="E448" s="1" t="n">
        <v>46296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37593-2026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46276</v>
      </c>
      <c r="E449" s="1" t="n">
        <v>46296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38253-2026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46281</v>
      </c>
      <c r="E450" s="1" t="n">
        <v>46296</v>
      </c>
      <c r="F450" t="inlineStr">
        <is>
          <t>DALARNAS LÄN</t>
        </is>
      </c>
      <c r="G450" t="inlineStr">
        <is>
          <t>VANSBRO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37964-2026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46280</v>
      </c>
      <c r="E451" s="1" t="n">
        <v>46296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46280</v>
      </c>
      <c r="E452" s="1" t="n">
        <v>46296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öst AB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37966-2026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46280</v>
      </c>
      <c r="E453" s="1" t="n">
        <v>46296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46280</v>
      </c>
      <c r="E454" s="1" t="n">
        <v>46296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46238</v>
      </c>
      <c r="E455" s="1" t="n">
        <v>46296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46281</v>
      </c>
      <c r="E456" s="1" t="n">
        <v>46296</v>
      </c>
      <c r="F456" t="inlineStr">
        <is>
          <t>DALARNAS LÄN</t>
        </is>
      </c>
      <c r="G456" t="inlineStr">
        <is>
          <t>VANSBRO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38248-2026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46281</v>
      </c>
      <c r="E457" s="1" t="n">
        <v>46296</v>
      </c>
      <c r="F457" t="inlineStr">
        <is>
          <t>DALARNAS LÄN</t>
        </is>
      </c>
      <c r="G457" t="inlineStr">
        <is>
          <t>VANSBRO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38231-2026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46281</v>
      </c>
      <c r="E458" s="1" t="n">
        <v>46296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38644-2026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46283</v>
      </c>
      <c r="E459" s="1" t="n">
        <v>46296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öst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38627-2026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46283</v>
      </c>
      <c r="E460" s="1" t="n">
        <v>46296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öst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38797-2026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46286</v>
      </c>
      <c r="E461" s="1" t="n">
        <v>46296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39352-2026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46288</v>
      </c>
      <c r="E462" s="1" t="n">
        <v>46296</v>
      </c>
      <c r="F462" t="inlineStr">
        <is>
          <t>DALARNAS LÄN</t>
        </is>
      </c>
      <c r="G462" t="inlineStr">
        <is>
          <t>VANSBRO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46289</v>
      </c>
      <c r="E463" s="1" t="n">
        <v>46296</v>
      </c>
      <c r="F463" t="inlineStr">
        <is>
          <t>DALARNAS LÄN</t>
        </is>
      </c>
      <c r="G463" t="inlineStr">
        <is>
          <t>VANSBRO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39871-2026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46290</v>
      </c>
      <c r="E464" s="1" t="n">
        <v>46296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40012-2026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46293</v>
      </c>
      <c r="E465" s="1" t="n">
        <v>46296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46253</v>
      </c>
      <c r="E466" s="1" t="n">
        <v>46296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46296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34216-2026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46253</v>
      </c>
      <c r="E468" s="1" t="n">
        <v>46296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33953-2026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46252</v>
      </c>
      <c r="E469" s="1" t="n">
        <v>46296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46252</v>
      </c>
      <c r="E470" s="1" t="n">
        <v>46296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väst AB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40447-2026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46294</v>
      </c>
      <c r="E471" s="1" t="n">
        <v>46296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34211-2026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46296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13.3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34209-2026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46253</v>
      </c>
      <c r="E473" s="1" t="n">
        <v>46296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34214-2026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46253</v>
      </c>
      <c r="E474" s="1" t="n">
        <v>46296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17.3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40367-2026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46294</v>
      </c>
      <c r="E475" s="1" t="n">
        <v>46296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40143-2026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46293</v>
      </c>
      <c r="E476" s="1" t="n">
        <v>46296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väst AB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46252</v>
      </c>
      <c r="E477" s="1" t="n">
        <v>46296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40424-2026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46294</v>
      </c>
      <c r="E478" s="1" t="n">
        <v>46296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10.1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40343-2026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46294</v>
      </c>
      <c r="E479" s="1" t="n">
        <v>46296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40391-2026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46294</v>
      </c>
      <c r="E480" s="1" t="n">
        <v>46296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öst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1286-2024</t>
        </is>
      </c>
      <c r="B481" t="inlineStr">
        <is>
          <t>samrådsanmälan</t>
        </is>
      </c>
      <c r="C481" t="inlineStr">
        <is>
          <t>Skogsgödsling</t>
        </is>
      </c>
      <c r="D481" s="1" t="n">
        <v>45401</v>
      </c>
      <c r="E481" s="1" t="n">
        <v>46296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220.8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4782-2022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44802</v>
      </c>
      <c r="E482" s="1" t="n">
        <v>46296</v>
      </c>
      <c r="F482" t="inlineStr">
        <is>
          <t>DALARNAS LÄN</t>
        </is>
      </c>
      <c r="G482" t="inlineStr">
        <is>
          <t>VANSBRO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3514-2023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45208</v>
      </c>
      <c r="E483" s="1" t="n">
        <v>46296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37.8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409-2025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45699</v>
      </c>
      <c r="E484" s="1" t="n">
        <v>46296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277.1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91-2026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46035</v>
      </c>
      <c r="E485" s="1" t="n">
        <v>46296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väst AB</t>
        </is>
      </c>
      <c r="I485" t="n">
        <v>153.5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747-2026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46089</v>
      </c>
      <c r="E486" s="1" t="n">
        <v>46296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öst AB</t>
        </is>
      </c>
      <c r="I486" t="n">
        <v>82.40000000000001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2026-10-01T02:05:04Z</dcterms:created>
  <dcterms:modified xmlns:dcterms="http://purl.org/dc/terms/" xmlns:xsi="http://www.w3.org/2001/XMLSchema-instance" xsi:type="dcterms:W3CDTF">2026-10-01T02:05:05Z</dcterms:modified>
</cp:coreProperties>
</file>