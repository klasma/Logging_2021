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46254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46254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46254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46254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46254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46254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46254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46254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46254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46254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46254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46254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46254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46254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46254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46254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46254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46254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46254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46254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46254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46254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46254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11433-2025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46254</v>
      </c>
      <c r="F29" t="inlineStr">
        <is>
          <t>DALARNAS LÄN</t>
        </is>
      </c>
      <c r="G29" t="inlineStr">
        <is>
          <t>VANSBRO</t>
        </is>
      </c>
      <c r="I29" t="n">
        <v>7.5</v>
      </c>
      <c r="J29" t="n">
        <v>1</v>
      </c>
      <c r="K29" t="n">
        <v>1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24</v>
      </c>
      <c r="U29" t="n">
        <v>24</v>
      </c>
      <c r="V29" s="2" t="inlineStr">
        <is>
          <t>Garnlav
Knärot
Bollvitmossa</t>
        </is>
      </c>
      <c r="W29">
        <f>HYPERLINK("https://klasma.github.io/Logging_2021/artfynd/A 11433-2025 artfynd.xlsx", "A 11433-2025")</f>
        <v/>
      </c>
      <c r="X29">
        <f>HYPERLINK("https://klasma.github.io/Logging_2021/kartor/A 11433-2025 karta.png", "A 11433-2025")</f>
        <v/>
      </c>
      <c r="Y29">
        <f>HYPERLINK("https://klasma.github.io/Logging_2021/kartor_geotiff/A 11433-2025 georefererad karta.tif", "A 11433-2025")</f>
        <v/>
      </c>
      <c r="Z29">
        <f>HYPERLINK("https://klasma.github.io/Logging_2021/knärot/A 11433-2025 karta knärot.png", "A 11433-2025")</f>
        <v/>
      </c>
      <c r="AA29">
        <f>HYPERLINK("https://klasma.github.io/Logging_2021/klagomål/A 11433-2025 FSC-klagomål.docx", "A 11433-2025")</f>
        <v/>
      </c>
      <c r="AB29">
        <f>HYPERLINK("https://klasma.github.io/Logging_2021/klagomålsmail/A 11433-2025 FSC-klagomål mail.docx", "A 11433-2025")</f>
        <v/>
      </c>
      <c r="AC29">
        <f>HYPERLINK("https://klasma.github.io/Logging_2021/tillsyn/A 11433-2025 tillsynsbegäran.docx", "A 11433-2025")</f>
        <v/>
      </c>
      <c r="AD29">
        <f>HYPERLINK("https://klasma.github.io/Logging_2021/tillsynsmail/A 11433-2025 tillsynsbegäran mail.docx", "A 11433-2025")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46254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46254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46254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46254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33793-2026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46254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0.9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Nästlav</t>
        </is>
      </c>
      <c r="W34">
        <f>HYPERLINK("https://klasma.github.io/Logging_2021/artfynd/A 33793-2026 artfynd.xlsx", "A 33793-2026")</f>
        <v/>
      </c>
      <c r="X34">
        <f>HYPERLINK("https://klasma.github.io/Logging_2021/kartor/A 33793-2026 karta.png", "A 33793-2026")</f>
        <v/>
      </c>
      <c r="Y34">
        <f>HYPERLINK("https://klasma.github.io/Logging_2021/kartor_geotiff/A 33793-2026 georefererad karta.tif", "A 33793-2026")</f>
        <v/>
      </c>
      <c r="AA34">
        <f>HYPERLINK("https://klasma.github.io/Logging_2021/klagomål/A 33793-2026 FSC-klagomål.docx", "A 33793-2026")</f>
        <v/>
      </c>
      <c r="AB34">
        <f>HYPERLINK("https://klasma.github.io/Logging_2021/klagomålsmail/A 33793-2026 FSC-klagomål mail.docx", "A 33793-2026")</f>
        <v/>
      </c>
      <c r="AC34">
        <f>HYPERLINK("https://klasma.github.io/Logging_2021/tillsyn/A 33793-2026 tillsynsbegäran.docx", "A 33793-2026")</f>
        <v/>
      </c>
      <c r="AD34">
        <f>HYPERLINK("https://klasma.github.io/Logging_2021/tillsynsmail/A 33793-2026 tillsynsbegäran mail.docx", "A 33793-2026")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46254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46254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46254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46254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46254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46254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20076-2026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46254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13.2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HYPERLINK("https://klasma.github.io/Logging_2021/artfynd/A 20076-2026 artfynd.xlsx", "A 20076-2026")</f>
        <v/>
      </c>
      <c r="X41">
        <f>HYPERLINK("https://klasma.github.io/Logging_2021/kartor/A 20076-2026 karta.png", "A 20076-2026")</f>
        <v/>
      </c>
      <c r="Y41">
        <f>HYPERLINK("https://klasma.github.io/Logging_2021/kartor_geotiff/A 20076-2026 georefererad karta.tif", "A 20076-2026")</f>
        <v/>
      </c>
      <c r="AA41">
        <f>HYPERLINK("https://klasma.github.io/Logging_2021/klagomål/A 20076-2026 FSC-klagomål.docx", "A 20076-2026")</f>
        <v/>
      </c>
      <c r="AB41">
        <f>HYPERLINK("https://klasma.github.io/Logging_2021/klagomålsmail/A 20076-2026 FSC-klagomål mail.docx", "A 20076-2026")</f>
        <v/>
      </c>
      <c r="AC41">
        <f>HYPERLINK("https://klasma.github.io/Logging_2021/tillsyn/A 20076-2026 tillsynsbegäran.docx", "A 20076-2026")</f>
        <v/>
      </c>
      <c r="AD41">
        <f>HYPERLINK("https://klasma.github.io/Logging_2021/tillsynsmail/A 20076-2026 tillsynsbegäran mail.docx", "A 20076-2026")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46254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26756-2026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46254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HYPERLINK("https://klasma.github.io/Logging_2021/artfynd/A 26756-2026 artfynd.xlsx", "A 26756-2026")</f>
        <v/>
      </c>
      <c r="X43">
        <f>HYPERLINK("https://klasma.github.io/Logging_2021/kartor/A 26756-2026 karta.png", "A 26756-2026")</f>
        <v/>
      </c>
      <c r="Y43">
        <f>HYPERLINK("https://klasma.github.io/Logging_2021/kartor_geotiff/A 26756-2026 georefererad karta.tif", "A 26756-2026")</f>
        <v/>
      </c>
      <c r="AA43">
        <f>HYPERLINK("https://klasma.github.io/Logging_2021/klagomål/A 26756-2026 FSC-klagomål.docx", "A 26756-2026")</f>
        <v/>
      </c>
      <c r="AB43">
        <f>HYPERLINK("https://klasma.github.io/Logging_2021/klagomålsmail/A 26756-2026 FSC-klagomål mail.docx", "A 26756-2026")</f>
        <v/>
      </c>
      <c r="AC43">
        <f>HYPERLINK("https://klasma.github.io/Logging_2021/tillsyn/A 26756-2026 tillsynsbegäran.docx", "A 26756-2026")</f>
        <v/>
      </c>
      <c r="AD43">
        <f>HYPERLINK("https://klasma.github.io/Logging_2021/tillsynsmail/A 26756-2026 tillsynsbegäran mail.docx", "A 26756-2026")</f>
        <v/>
      </c>
      <c r="AE43">
        <f>HYPERLINK("https://klasma.github.io/Logging_2021/fåglar/A 26756-2026 prioriterade fågelarter.docx", "A 26756-2026")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46254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54453-2024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46254</v>
      </c>
      <c r="F45" t="inlineStr">
        <is>
          <t>DALARNAS LÄN</t>
        </is>
      </c>
      <c r="G45" t="inlineStr">
        <is>
          <t>VANSBRO</t>
        </is>
      </c>
      <c r="I45" t="n">
        <v>0.4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Skarp dropptaggsvamp</t>
        </is>
      </c>
      <c r="W45">
        <f>HYPERLINK("https://klasma.github.io/Logging_2021/artfynd/A 54453-2024 artfynd.xlsx", "A 54453-2024")</f>
        <v/>
      </c>
      <c r="X45">
        <f>HYPERLINK("https://klasma.github.io/Logging_2021/kartor/A 54453-2024 karta.png", "A 54453-2024")</f>
        <v/>
      </c>
      <c r="Y45">
        <f>HYPERLINK("https://klasma.github.io/Logging_2021/kartor_geotiff/A 54453-2024 georefererad karta.tif", "A 54453-2024")</f>
        <v/>
      </c>
      <c r="AA45">
        <f>HYPERLINK("https://klasma.github.io/Logging_2021/klagomål/A 54453-2024 FSC-klagomål.docx", "A 54453-2024")</f>
        <v/>
      </c>
      <c r="AB45">
        <f>HYPERLINK("https://klasma.github.io/Logging_2021/klagomålsmail/A 54453-2024 FSC-klagomål mail.docx", "A 54453-2024")</f>
        <v/>
      </c>
      <c r="AC45">
        <f>HYPERLINK("https://klasma.github.io/Logging_2021/tillsyn/A 54453-2024 tillsynsbegäran.docx", "A 54453-2024")</f>
        <v/>
      </c>
      <c r="AD45">
        <f>HYPERLINK("https://klasma.github.io/Logging_2021/tillsynsmail/A 54453-2024 tillsynsbegäran mail.docx", "A 54453-2024")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46254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46254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46254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51579-2021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46254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Kolflarnlav</t>
        </is>
      </c>
      <c r="W49">
        <f>HYPERLINK("https://klasma.github.io/Logging_2021/artfynd/A 51579-2021 artfynd.xlsx", "A 51579-2021")</f>
        <v/>
      </c>
      <c r="X49">
        <f>HYPERLINK("https://klasma.github.io/Logging_2021/kartor/A 51579-2021 karta.png", "A 51579-2021")</f>
        <v/>
      </c>
      <c r="Y49">
        <f>HYPERLINK("https://klasma.github.io/Logging_2021/kartor_geotiff/A 51579-2021 georefererad karta.tif", "A 51579-2021")</f>
        <v/>
      </c>
      <c r="AA49">
        <f>HYPERLINK("https://klasma.github.io/Logging_2021/klagomål/A 51579-2021 FSC-klagomål.docx", "A 51579-2021")</f>
        <v/>
      </c>
      <c r="AB49">
        <f>HYPERLINK("https://klasma.github.io/Logging_2021/klagomålsmail/A 51579-2021 FSC-klagomål mail.docx", "A 51579-2021")</f>
        <v/>
      </c>
      <c r="AC49">
        <f>HYPERLINK("https://klasma.github.io/Logging_2021/tillsyn/A 51579-2021 tillsynsbegäran.docx", "A 51579-2021")</f>
        <v/>
      </c>
      <c r="AD49">
        <f>HYPERLINK("https://klasma.github.io/Logging_2021/tillsynsmail/A 51579-2021 tillsynsbegäran mail.docx", "A 51579-2021")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46254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52675-2025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45956</v>
      </c>
      <c r="E51" s="1" t="n">
        <v>46254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Motaggsvamp</t>
        </is>
      </c>
      <c r="W51">
        <f>HYPERLINK("https://klasma.github.io/Logging_2021/artfynd/A 52675-2025 artfynd.xlsx", "A 52675-2025")</f>
        <v/>
      </c>
      <c r="X51">
        <f>HYPERLINK("https://klasma.github.io/Logging_2021/kartor/A 52675-2025 karta.png", "A 52675-2025")</f>
        <v/>
      </c>
      <c r="Y51">
        <f>HYPERLINK("https://klasma.github.io/Logging_2021/kartor_geotiff/A 52675-2025 georefererad karta.tif", "A 52675-2025")</f>
        <v/>
      </c>
      <c r="AA51">
        <f>HYPERLINK("https://klasma.github.io/Logging_2021/klagomål/A 52675-2025 FSC-klagomål.docx", "A 52675-2025")</f>
        <v/>
      </c>
      <c r="AB51">
        <f>HYPERLINK("https://klasma.github.io/Logging_2021/klagomålsmail/A 52675-2025 FSC-klagomål mail.docx", "A 52675-2025")</f>
        <v/>
      </c>
      <c r="AC51">
        <f>HYPERLINK("https://klasma.github.io/Logging_2021/tillsyn/A 52675-2025 tillsynsbegäran.docx", "A 52675-2025")</f>
        <v/>
      </c>
      <c r="AD51">
        <f>HYPERLINK("https://klasma.github.io/Logging_2021/tillsynsmail/A 52675-2025 tillsynsbegäran mail.docx", "A 52675-2025")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46254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46254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46254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46254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46254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46254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46254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46254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46254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46254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46254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46254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46254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46254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46254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46254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46254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46254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46254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46254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46254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46254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46254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46254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46254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46254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46254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46254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46254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46254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46254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46254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46254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46254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46254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35288-2024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46254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44957</v>
      </c>
      <c r="E90" s="1" t="n">
        <v>46254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46254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55078-2022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44886</v>
      </c>
      <c r="E92" s="1" t="n">
        <v>46254</v>
      </c>
      <c r="F92" t="inlineStr">
        <is>
          <t>DALARNAS LÄN</t>
        </is>
      </c>
      <c r="G92" t="inlineStr">
        <is>
          <t>VANSBRO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45498</v>
      </c>
      <c r="E93" s="1" t="n">
        <v>46254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44442</v>
      </c>
      <c r="E94" s="1" t="n">
        <v>46254</v>
      </c>
      <c r="F94" t="inlineStr">
        <is>
          <t>DALARNAS LÄN</t>
        </is>
      </c>
      <c r="G94" t="inlineStr">
        <is>
          <t>VANSBRO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46254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46254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11408-2025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45726</v>
      </c>
      <c r="E97" s="1" t="n">
        <v>46254</v>
      </c>
      <c r="F97" t="inlineStr">
        <is>
          <t>DALARNAS LÄN</t>
        </is>
      </c>
      <c r="G97" t="inlineStr">
        <is>
          <t>VANSBRO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46254</v>
      </c>
      <c r="F98" t="inlineStr">
        <is>
          <t>DALARNAS LÄN</t>
        </is>
      </c>
      <c r="G98" t="inlineStr">
        <is>
          <t>VANSBRO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46254</v>
      </c>
      <c r="F99" t="inlineStr">
        <is>
          <t>DALARNAS LÄN</t>
        </is>
      </c>
      <c r="G99" t="inlineStr">
        <is>
          <t>VANSBRO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46254</v>
      </c>
      <c r="F100" t="inlineStr">
        <is>
          <t>DALARNAS LÄN</t>
        </is>
      </c>
      <c r="G100" t="inlineStr">
        <is>
          <t>VANSBRO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46254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41371-2022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44826</v>
      </c>
      <c r="E102" s="1" t="n">
        <v>46254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46254</v>
      </c>
      <c r="F103" t="inlineStr">
        <is>
          <t>DALARNAS LÄN</t>
        </is>
      </c>
      <c r="G103" t="inlineStr">
        <is>
          <t>VANSBRO</t>
        </is>
      </c>
      <c r="H103" t="inlineStr">
        <is>
          <t>Övriga statliga verk och myndigheter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46254</v>
      </c>
      <c r="F104" t="inlineStr">
        <is>
          <t>DALARNAS LÄN</t>
        </is>
      </c>
      <c r="G104" t="inlineStr">
        <is>
          <t>VANSBRO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46254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46254</v>
      </c>
      <c r="F106" t="inlineStr">
        <is>
          <t>DALARNAS LÄN</t>
        </is>
      </c>
      <c r="G106" t="inlineStr">
        <is>
          <t>VANSBRO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46254</v>
      </c>
      <c r="F107" t="inlineStr">
        <is>
          <t>DALARNAS LÄN</t>
        </is>
      </c>
      <c r="G107" t="inlineStr">
        <is>
          <t>VANSBRO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45689</v>
      </c>
      <c r="E108" s="1" t="n">
        <v>46254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46254</v>
      </c>
      <c r="F109" t="inlineStr">
        <is>
          <t>DALARNAS LÄN</t>
        </is>
      </c>
      <c r="G109" t="inlineStr">
        <is>
          <t>VANSBRO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46254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46254</v>
      </c>
      <c r="F111" t="inlineStr">
        <is>
          <t>DALARNAS LÄN</t>
        </is>
      </c>
      <c r="G111" t="inlineStr">
        <is>
          <t>VANSBRO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46254</v>
      </c>
      <c r="F112" t="inlineStr">
        <is>
          <t>DALARNAS LÄN</t>
        </is>
      </c>
      <c r="G112" t="inlineStr">
        <is>
          <t>VANSBRO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46254</v>
      </c>
      <c r="F113" t="inlineStr">
        <is>
          <t>DALARNAS LÄN</t>
        </is>
      </c>
      <c r="G113" t="inlineStr">
        <is>
          <t>VANSBRO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45530</v>
      </c>
      <c r="E114" s="1" t="n">
        <v>46254</v>
      </c>
      <c r="F114" t="inlineStr">
        <is>
          <t>DALARNAS LÄN</t>
        </is>
      </c>
      <c r="G114" t="inlineStr">
        <is>
          <t>VANSBRO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44925</v>
      </c>
      <c r="E115" s="1" t="n">
        <v>46254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44862</v>
      </c>
      <c r="E116" s="1" t="n">
        <v>46254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46254</v>
      </c>
      <c r="F117" t="inlineStr">
        <is>
          <t>DALARNAS LÄN</t>
        </is>
      </c>
      <c r="G117" t="inlineStr">
        <is>
          <t>VANSBRO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45356-2024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45576</v>
      </c>
      <c r="E118" s="1" t="n">
        <v>46254</v>
      </c>
      <c r="F118" t="inlineStr">
        <is>
          <t>DALARNAS LÄN</t>
        </is>
      </c>
      <c r="G118" t="inlineStr">
        <is>
          <t>VANSBRO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53828-2021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46254</v>
      </c>
      <c r="F119" t="inlineStr">
        <is>
          <t>DALARNAS LÄN</t>
        </is>
      </c>
      <c r="G119" t="inlineStr">
        <is>
          <t>VANSBRO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44728</v>
      </c>
      <c r="E120" s="1" t="n">
        <v>46254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46254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46254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46254</v>
      </c>
      <c r="F123" t="inlineStr">
        <is>
          <t>DALARNAS LÄN</t>
        </is>
      </c>
      <c r="G123" t="inlineStr">
        <is>
          <t>VANSBRO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46254</v>
      </c>
      <c r="F124" t="inlineStr">
        <is>
          <t>DALARNAS LÄN</t>
        </is>
      </c>
      <c r="G124" t="inlineStr">
        <is>
          <t>VANSBRO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46254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46254</v>
      </c>
      <c r="F126" t="inlineStr">
        <is>
          <t>DALARNAS LÄN</t>
        </is>
      </c>
      <c r="G126" t="inlineStr">
        <is>
          <t>VANSBRO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46254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45764</v>
      </c>
      <c r="E128" s="1" t="n">
        <v>46254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46254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46254</v>
      </c>
      <c r="F130" t="inlineStr">
        <is>
          <t>DALARNAS LÄN</t>
        </is>
      </c>
      <c r="G130" t="inlineStr">
        <is>
          <t>VANSBRO</t>
        </is>
      </c>
      <c r="H130" t="inlineStr">
        <is>
          <t>Övriga statliga verk och myndigheter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46254</v>
      </c>
      <c r="F131" t="inlineStr">
        <is>
          <t>DALARNAS LÄN</t>
        </is>
      </c>
      <c r="G131" t="inlineStr">
        <is>
          <t>VANSBRO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46254</v>
      </c>
      <c r="F132" t="inlineStr">
        <is>
          <t>DALARNAS LÄN</t>
        </is>
      </c>
      <c r="G132" t="inlineStr">
        <is>
          <t>VANSBRO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46254</v>
      </c>
      <c r="F133" t="inlineStr">
        <is>
          <t>DALARNAS LÄN</t>
        </is>
      </c>
      <c r="G133" t="inlineStr">
        <is>
          <t>VANSBRO</t>
        </is>
      </c>
      <c r="H133" t="inlineStr">
        <is>
          <t>Övriga statliga verk och myndigheter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46254</v>
      </c>
      <c r="F134" t="inlineStr">
        <is>
          <t>DALARNAS LÄN</t>
        </is>
      </c>
      <c r="G134" t="inlineStr">
        <is>
          <t>VANSBRO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44811</v>
      </c>
      <c r="E135" s="1" t="n">
        <v>46254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46254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46254</v>
      </c>
      <c r="F137" t="inlineStr">
        <is>
          <t>DALARNAS LÄN</t>
        </is>
      </c>
      <c r="G137" t="inlineStr">
        <is>
          <t>VANSBRO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46254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46254</v>
      </c>
      <c r="F139" t="inlineStr">
        <is>
          <t>DALARNAS LÄN</t>
        </is>
      </c>
      <c r="G139" t="inlineStr">
        <is>
          <t>VANSBRO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45063</v>
      </c>
      <c r="E140" s="1" t="n">
        <v>46254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46254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45689</v>
      </c>
      <c r="E142" s="1" t="n">
        <v>46254</v>
      </c>
      <c r="F142" t="inlineStr">
        <is>
          <t>DALARNAS LÄN</t>
        </is>
      </c>
      <c r="G142" t="inlineStr">
        <is>
          <t>VANSBRO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38670-2025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45884</v>
      </c>
      <c r="E143" s="1" t="n">
        <v>46254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46254</v>
      </c>
      <c r="F144" t="inlineStr">
        <is>
          <t>DALARNAS LÄN</t>
        </is>
      </c>
      <c r="G144" t="inlineStr">
        <is>
          <t>VANSBRO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46254</v>
      </c>
      <c r="F145" t="inlineStr">
        <is>
          <t>DALARNAS LÄN</t>
        </is>
      </c>
      <c r="G145" t="inlineStr">
        <is>
          <t>VANSBRO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46254</v>
      </c>
      <c r="F146" t="inlineStr">
        <is>
          <t>DALARNAS LÄN</t>
        </is>
      </c>
      <c r="G146" t="inlineStr">
        <is>
          <t>VANSBRO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46254</v>
      </c>
      <c r="F147" t="inlineStr">
        <is>
          <t>DALARNAS LÄN</t>
        </is>
      </c>
      <c r="G147" t="inlineStr">
        <is>
          <t>VANSBRO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46254</v>
      </c>
      <c r="F148" t="inlineStr">
        <is>
          <t>DALARNAS LÄN</t>
        </is>
      </c>
      <c r="G148" t="inlineStr">
        <is>
          <t>VANSBRO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45516</v>
      </c>
      <c r="E149" s="1" t="n">
        <v>46254</v>
      </c>
      <c r="F149" t="inlineStr">
        <is>
          <t>DALARNAS LÄN</t>
        </is>
      </c>
      <c r="G149" t="inlineStr">
        <is>
          <t>VANSBRO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44798</v>
      </c>
      <c r="E150" s="1" t="n">
        <v>46254</v>
      </c>
      <c r="F150" t="inlineStr">
        <is>
          <t>DALARNAS LÄN</t>
        </is>
      </c>
      <c r="G150" t="inlineStr">
        <is>
          <t>VANSBRO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46254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45214</v>
      </c>
      <c r="E152" s="1" t="n">
        <v>46254</v>
      </c>
      <c r="F152" t="inlineStr">
        <is>
          <t>DALARNAS LÄN</t>
        </is>
      </c>
      <c r="G152" t="inlineStr">
        <is>
          <t>VANSBRO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46254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46254</v>
      </c>
      <c r="F154" t="inlineStr">
        <is>
          <t>DALARNAS LÄN</t>
        </is>
      </c>
      <c r="G154" t="inlineStr">
        <is>
          <t>VANSBRO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46254</v>
      </c>
      <c r="F155" t="inlineStr">
        <is>
          <t>DALARNAS LÄN</t>
        </is>
      </c>
      <c r="G155" t="inlineStr">
        <is>
          <t>VANSBRO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46254</v>
      </c>
      <c r="F156" t="inlineStr">
        <is>
          <t>DALARNAS LÄN</t>
        </is>
      </c>
      <c r="G156" t="inlineStr">
        <is>
          <t>VANSBRO</t>
        </is>
      </c>
      <c r="I156" t="n">
        <v>15.8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46254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45.8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46254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46254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46254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46254</v>
      </c>
      <c r="F161" t="inlineStr">
        <is>
          <t>DALARNAS LÄN</t>
        </is>
      </c>
      <c r="G161" t="inlineStr">
        <is>
          <t>VANSBRO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46254</v>
      </c>
      <c r="F162" t="inlineStr">
        <is>
          <t>DALARNAS LÄN</t>
        </is>
      </c>
      <c r="G162" t="inlineStr">
        <is>
          <t>VANSBRO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46254</v>
      </c>
      <c r="F163" t="inlineStr">
        <is>
          <t>DALARNAS LÄN</t>
        </is>
      </c>
      <c r="G163" t="inlineStr">
        <is>
          <t>VANSBRO</t>
        </is>
      </c>
      <c r="H163" t="inlineStr">
        <is>
          <t>Övriga statliga verk och myndigheter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45665</v>
      </c>
      <c r="E164" s="1" t="n">
        <v>46254</v>
      </c>
      <c r="F164" t="inlineStr">
        <is>
          <t>DALARNAS LÄN</t>
        </is>
      </c>
      <c r="G164" t="inlineStr">
        <is>
          <t>VANSBRO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44980</v>
      </c>
      <c r="E165" s="1" t="n">
        <v>46254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46254</v>
      </c>
      <c r="F166" t="inlineStr">
        <is>
          <t>DALARNAS LÄN</t>
        </is>
      </c>
      <c r="G166" t="inlineStr">
        <is>
          <t>VANSBRO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21744-2026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46254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46254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46254</v>
      </c>
      <c r="F169" t="inlineStr">
        <is>
          <t>DALARNAS LÄN</t>
        </is>
      </c>
      <c r="G169" t="inlineStr">
        <is>
          <t>VANSBRO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46254</v>
      </c>
      <c r="F170" t="inlineStr">
        <is>
          <t>DALARNAS LÄN</t>
        </is>
      </c>
      <c r="G170" t="inlineStr">
        <is>
          <t>VANSBRO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46254</v>
      </c>
      <c r="F171" t="inlineStr">
        <is>
          <t>DALARNAS LÄN</t>
        </is>
      </c>
      <c r="G171" t="inlineStr">
        <is>
          <t>VANSBRO</t>
        </is>
      </c>
      <c r="H171" t="inlineStr">
        <is>
          <t>Övriga statliga verk och myndigheter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46254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45772</v>
      </c>
      <c r="E173" s="1" t="n">
        <v>46254</v>
      </c>
      <c r="F173" t="inlineStr">
        <is>
          <t>DALARNAS LÄN</t>
        </is>
      </c>
      <c r="G173" t="inlineStr">
        <is>
          <t>VANSBRO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46254</v>
      </c>
      <c r="F174" t="inlineStr">
        <is>
          <t>DALARNAS LÄN</t>
        </is>
      </c>
      <c r="G174" t="inlineStr">
        <is>
          <t>VANSBRO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46254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46254</v>
      </c>
      <c r="F176" t="inlineStr">
        <is>
          <t>DALARNAS LÄN</t>
        </is>
      </c>
      <c r="G176" t="inlineStr">
        <is>
          <t>VANSBRO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46254</v>
      </c>
      <c r="F177" t="inlineStr">
        <is>
          <t>DALARNAS LÄN</t>
        </is>
      </c>
      <c r="G177" t="inlineStr">
        <is>
          <t>VANSBRO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46254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8694-2023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44972</v>
      </c>
      <c r="E179" s="1" t="n">
        <v>46254</v>
      </c>
      <c r="F179" t="inlineStr">
        <is>
          <t>DALARNAS LÄN</t>
        </is>
      </c>
      <c r="G179" t="inlineStr">
        <is>
          <t>VANSBRO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46254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46254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33829-2024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46254</v>
      </c>
      <c r="F182" t="inlineStr">
        <is>
          <t>DALARNAS LÄN</t>
        </is>
      </c>
      <c r="G182" t="inlineStr">
        <is>
          <t>VANSBRO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45331</v>
      </c>
      <c r="E183" s="1" t="n">
        <v>46254</v>
      </c>
      <c r="F183" t="inlineStr">
        <is>
          <t>DALARNAS LÄN</t>
        </is>
      </c>
      <c r="G183" t="inlineStr">
        <is>
          <t>VANSBRO</t>
        </is>
      </c>
      <c r="I183" t="n">
        <v>11.4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46254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46254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46254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46254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8447-2022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44612</v>
      </c>
      <c r="E188" s="1" t="n">
        <v>46254</v>
      </c>
      <c r="F188" t="inlineStr">
        <is>
          <t>DALARNAS LÄN</t>
        </is>
      </c>
      <c r="G188" t="inlineStr">
        <is>
          <t>VANSBRO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46254</v>
      </c>
      <c r="F189" t="inlineStr">
        <is>
          <t>DALARNAS LÄN</t>
        </is>
      </c>
      <c r="G189" t="inlineStr">
        <is>
          <t>VANSBRO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46212</v>
      </c>
      <c r="E190" s="1" t="n">
        <v>46254</v>
      </c>
      <c r="F190" t="inlineStr">
        <is>
          <t>DALARNAS LÄN</t>
        </is>
      </c>
      <c r="G190" t="inlineStr">
        <is>
          <t>VANSBRO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46212</v>
      </c>
      <c r="E191" s="1" t="n">
        <v>46254</v>
      </c>
      <c r="F191" t="inlineStr">
        <is>
          <t>DALARNAS LÄN</t>
        </is>
      </c>
      <c r="G191" t="inlineStr">
        <is>
          <t>VANSBRO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45322</v>
      </c>
      <c r="E192" s="1" t="n">
        <v>46254</v>
      </c>
      <c r="F192" t="inlineStr">
        <is>
          <t>DALARNAS LÄN</t>
        </is>
      </c>
      <c r="G192" t="inlineStr">
        <is>
          <t>VANSBRO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46254</v>
      </c>
      <c r="F193" t="inlineStr">
        <is>
          <t>DALARNAS LÄN</t>
        </is>
      </c>
      <c r="G193" t="inlineStr">
        <is>
          <t>VANSBRO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46254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45309</v>
      </c>
      <c r="E195" s="1" t="n">
        <v>46254</v>
      </c>
      <c r="F195" t="inlineStr">
        <is>
          <t>DALARNAS LÄN</t>
        </is>
      </c>
      <c r="G195" t="inlineStr">
        <is>
          <t>VANSBRO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46254</v>
      </c>
      <c r="F196" t="inlineStr">
        <is>
          <t>DALARNAS LÄN</t>
        </is>
      </c>
      <c r="G196" t="inlineStr">
        <is>
          <t>VANSBRO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46254</v>
      </c>
      <c r="F197" t="inlineStr">
        <is>
          <t>DALARNAS LÄN</t>
        </is>
      </c>
      <c r="G197" t="inlineStr">
        <is>
          <t>VANSBRO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46254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63816-2021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46254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46254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46254</v>
      </c>
      <c r="F201" t="inlineStr">
        <is>
          <t>DALARNAS LÄN</t>
        </is>
      </c>
      <c r="G201" t="inlineStr">
        <is>
          <t>VANSBRO</t>
        </is>
      </c>
      <c r="I201" t="n">
        <v>13.8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45604</v>
      </c>
      <c r="E202" s="1" t="n">
        <v>46254</v>
      </c>
      <c r="F202" t="inlineStr">
        <is>
          <t>DALARNAS LÄN</t>
        </is>
      </c>
      <c r="G202" t="inlineStr">
        <is>
          <t>VANSBRO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46254</v>
      </c>
      <c r="F203" t="inlineStr">
        <is>
          <t>DALARNAS LÄN</t>
        </is>
      </c>
      <c r="G203" t="inlineStr">
        <is>
          <t>VANSBRO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46254</v>
      </c>
      <c r="F204" t="inlineStr">
        <is>
          <t>DALARNAS LÄN</t>
        </is>
      </c>
      <c r="G204" t="inlineStr">
        <is>
          <t>VANSBRO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45481</v>
      </c>
      <c r="E205" s="1" t="n">
        <v>46254</v>
      </c>
      <c r="F205" t="inlineStr">
        <is>
          <t>DALARNAS LÄN</t>
        </is>
      </c>
      <c r="G205" t="inlineStr">
        <is>
          <t>VANSBRO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46254</v>
      </c>
      <c r="F206" t="inlineStr">
        <is>
          <t>DALARNAS LÄN</t>
        </is>
      </c>
      <c r="G206" t="inlineStr">
        <is>
          <t>VANSBRO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46254</v>
      </c>
      <c r="F207" t="inlineStr">
        <is>
          <t>DALARNAS LÄN</t>
        </is>
      </c>
      <c r="G207" t="inlineStr">
        <is>
          <t>VANSBRO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46254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45937</v>
      </c>
      <c r="E209" s="1" t="n">
        <v>46254</v>
      </c>
      <c r="F209" t="inlineStr">
        <is>
          <t>DALARNAS LÄN</t>
        </is>
      </c>
      <c r="G209" t="inlineStr">
        <is>
          <t>VANSBRO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46254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46254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46254</v>
      </c>
      <c r="F212" t="inlineStr">
        <is>
          <t>DALARNAS LÄN</t>
        </is>
      </c>
      <c r="G212" t="inlineStr">
        <is>
          <t>VANSBRO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45939</v>
      </c>
      <c r="E213" s="1" t="n">
        <v>46254</v>
      </c>
      <c r="F213" t="inlineStr">
        <is>
          <t>DALARNAS LÄN</t>
        </is>
      </c>
      <c r="G213" t="inlineStr">
        <is>
          <t>VANSBRO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46254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13062-2023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45002</v>
      </c>
      <c r="E215" s="1" t="n">
        <v>46254</v>
      </c>
      <c r="F215" t="inlineStr">
        <is>
          <t>DALARNAS LÄN</t>
        </is>
      </c>
      <c r="G215" t="inlineStr">
        <is>
          <t>VANSBRO</t>
        </is>
      </c>
      <c r="H215" t="inlineStr">
        <is>
          <t>Övriga statliga verk och myndigheter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46254</v>
      </c>
      <c r="F216" t="inlineStr">
        <is>
          <t>DALARNAS LÄN</t>
        </is>
      </c>
      <c r="G216" t="inlineStr">
        <is>
          <t>VANSBRO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46254</v>
      </c>
      <c r="F217" t="inlineStr">
        <is>
          <t>DALARNAS LÄN</t>
        </is>
      </c>
      <c r="G217" t="inlineStr">
        <is>
          <t>VANSBRO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46254</v>
      </c>
      <c r="F218" t="inlineStr">
        <is>
          <t>DALARNAS LÄN</t>
        </is>
      </c>
      <c r="G218" t="inlineStr">
        <is>
          <t>VANSBRO</t>
        </is>
      </c>
      <c r="H218" t="inlineStr">
        <is>
          <t>Övriga statliga verk och myndigheter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46231</v>
      </c>
      <c r="E219" s="1" t="n">
        <v>46254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46254</v>
      </c>
      <c r="F220" t="inlineStr">
        <is>
          <t>DALARNAS LÄN</t>
        </is>
      </c>
      <c r="G220" t="inlineStr">
        <is>
          <t>VANSBRO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46254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46254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46188</v>
      </c>
      <c r="E223" s="1" t="n">
        <v>46254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46254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46254</v>
      </c>
      <c r="F225" t="inlineStr">
        <is>
          <t>DALARNAS LÄN</t>
        </is>
      </c>
      <c r="G225" t="inlineStr">
        <is>
          <t>VANSBRO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46254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46254</v>
      </c>
      <c r="F227" t="inlineStr">
        <is>
          <t>DALARNAS LÄN</t>
        </is>
      </c>
      <c r="G227" t="inlineStr">
        <is>
          <t>VANSBRO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27631-2026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46190</v>
      </c>
      <c r="E228" s="1" t="n">
        <v>46254</v>
      </c>
      <c r="F228" t="inlineStr">
        <is>
          <t>DALARNAS LÄN</t>
        </is>
      </c>
      <c r="G228" t="inlineStr">
        <is>
          <t>VANSBRO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44503</v>
      </c>
      <c r="E229" s="1" t="n">
        <v>46254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22.1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46254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46254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10.5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46254</v>
      </c>
      <c r="F232" t="inlineStr">
        <is>
          <t>DALARNAS LÄN</t>
        </is>
      </c>
      <c r="G232" t="inlineStr">
        <is>
          <t>VANSBRO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46254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45315</v>
      </c>
      <c r="E234" s="1" t="n">
        <v>46254</v>
      </c>
      <c r="F234" t="inlineStr">
        <is>
          <t>DALARNAS LÄN</t>
        </is>
      </c>
      <c r="G234" t="inlineStr">
        <is>
          <t>VANSBRO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46254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46254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48111-2024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45589</v>
      </c>
      <c r="E237" s="1" t="n">
        <v>46254</v>
      </c>
      <c r="F237" t="inlineStr">
        <is>
          <t>DALARNAS LÄN</t>
        </is>
      </c>
      <c r="G237" t="inlineStr">
        <is>
          <t>VANSBRO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27930-2026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46254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46254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46254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46254</v>
      </c>
      <c r="F241" t="inlineStr">
        <is>
          <t>DALARNAS LÄN</t>
        </is>
      </c>
      <c r="G241" t="inlineStr">
        <is>
          <t>VANSBRO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46238</v>
      </c>
      <c r="E242" s="1" t="n">
        <v>46254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29.6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52676-2025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45956</v>
      </c>
      <c r="E243" s="1" t="n">
        <v>46254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52673-2025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45956</v>
      </c>
      <c r="E244" s="1" t="n">
        <v>46254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46195</v>
      </c>
      <c r="E245" s="1" t="n">
        <v>46254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46254</v>
      </c>
      <c r="F246" t="inlineStr">
        <is>
          <t>DALARNAS LÄN</t>
        </is>
      </c>
      <c r="G246" t="inlineStr">
        <is>
          <t>VANSBRO</t>
        </is>
      </c>
      <c r="I246" t="n">
        <v>12.6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46254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46254</v>
      </c>
      <c r="F248" t="inlineStr">
        <is>
          <t>DALARNAS LÄN</t>
        </is>
      </c>
      <c r="G248" t="inlineStr">
        <is>
          <t>VANSBRO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46254</v>
      </c>
      <c r="F249" t="inlineStr">
        <is>
          <t>DALARNAS LÄN</t>
        </is>
      </c>
      <c r="G249" t="inlineStr">
        <is>
          <t>VANSBRO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46254</v>
      </c>
      <c r="F250" t="inlineStr">
        <is>
          <t>DALARNAS LÄN</t>
        </is>
      </c>
      <c r="G250" t="inlineStr">
        <is>
          <t>VANSBRO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46197</v>
      </c>
      <c r="E251" s="1" t="n">
        <v>46254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46199</v>
      </c>
      <c r="E252" s="1" t="n">
        <v>46254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46254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46254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46254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46254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46254</v>
      </c>
      <c r="F257" t="inlineStr">
        <is>
          <t>DALARNAS LÄN</t>
        </is>
      </c>
      <c r="G257" t="inlineStr">
        <is>
          <t>VANSBRO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46254</v>
      </c>
      <c r="F258" t="inlineStr">
        <is>
          <t>DALARNAS LÄN</t>
        </is>
      </c>
      <c r="G258" t="inlineStr">
        <is>
          <t>VANSBRO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29174-2026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46202</v>
      </c>
      <c r="E259" s="1" t="n">
        <v>46254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46204</v>
      </c>
      <c r="E260" s="1" t="n">
        <v>46254</v>
      </c>
      <c r="F260" t="inlineStr">
        <is>
          <t>DALARNAS LÄN</t>
        </is>
      </c>
      <c r="G260" t="inlineStr">
        <is>
          <t>VANSBRO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46204</v>
      </c>
      <c r="E261" s="1" t="n">
        <v>46254</v>
      </c>
      <c r="F261" t="inlineStr">
        <is>
          <t>DALARNAS LÄN</t>
        </is>
      </c>
      <c r="G261" t="inlineStr">
        <is>
          <t>VANSBRO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46254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46254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46254</v>
      </c>
      <c r="F264" t="inlineStr">
        <is>
          <t>DALARNAS LÄN</t>
        </is>
      </c>
      <c r="G264" t="inlineStr">
        <is>
          <t>VANSBRO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46204</v>
      </c>
      <c r="E265" s="1" t="n">
        <v>46254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46203</v>
      </c>
      <c r="E266" s="1" t="n">
        <v>46254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29439-2026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46203</v>
      </c>
      <c r="E267" s="1" t="n">
        <v>46254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öst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46204</v>
      </c>
      <c r="E268" s="1" t="n">
        <v>46254</v>
      </c>
      <c r="F268" t="inlineStr">
        <is>
          <t>DALARNAS LÄN</t>
        </is>
      </c>
      <c r="G268" t="inlineStr">
        <is>
          <t>VANSBRO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46254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72635-2021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44546</v>
      </c>
      <c r="E270" s="1" t="n">
        <v>46254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46254</v>
      </c>
      <c r="F271" t="inlineStr">
        <is>
          <t>DALARNAS LÄN</t>
        </is>
      </c>
      <c r="G271" t="inlineStr">
        <is>
          <t>VANSBRO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46254</v>
      </c>
      <c r="F272" t="inlineStr">
        <is>
          <t>DALARNAS LÄN</t>
        </is>
      </c>
      <c r="G272" t="inlineStr">
        <is>
          <t>VANSBRO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46254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46252</v>
      </c>
      <c r="E274" s="1" t="n">
        <v>46254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33953-2026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46252</v>
      </c>
      <c r="E275" s="1" t="n">
        <v>46254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46254</v>
      </c>
      <c r="F276" t="inlineStr">
        <is>
          <t>DALARNAS LÄN</t>
        </is>
      </c>
      <c r="G276" t="inlineStr">
        <is>
          <t>VANSBRO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33949-2026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46252</v>
      </c>
      <c r="E277" s="1" t="n">
        <v>46254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46254</v>
      </c>
      <c r="F278" t="inlineStr">
        <is>
          <t>DALARNAS LÄN</t>
        </is>
      </c>
      <c r="G278" t="inlineStr">
        <is>
          <t>VANSBRO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46254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46254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46254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46254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46254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46254</v>
      </c>
      <c r="F284" t="inlineStr">
        <is>
          <t>DALARNAS LÄN</t>
        </is>
      </c>
      <c r="G284" t="inlineStr">
        <is>
          <t>VANSBRO</t>
        </is>
      </c>
      <c r="H284" t="inlineStr">
        <is>
          <t>Övriga statliga verk och myndigheter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46254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46254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46254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46210</v>
      </c>
      <c r="E288" s="1" t="n">
        <v>46254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46254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44739</v>
      </c>
      <c r="E290" s="1" t="n">
        <v>46254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46254</v>
      </c>
      <c r="F291" t="inlineStr">
        <is>
          <t>DALARNAS LÄN</t>
        </is>
      </c>
      <c r="G291" t="inlineStr">
        <is>
          <t>VANSBRO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51396-2022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44869</v>
      </c>
      <c r="E292" s="1" t="n">
        <v>46254</v>
      </c>
      <c r="F292" t="inlineStr">
        <is>
          <t>DALARNAS LÄN</t>
        </is>
      </c>
      <c r="G292" t="inlineStr">
        <is>
          <t>VANSBRO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46254</v>
      </c>
      <c r="F293" t="inlineStr">
        <is>
          <t>DALARNAS LÄN</t>
        </is>
      </c>
      <c r="G293" t="inlineStr">
        <is>
          <t>VANSBRO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36855-2022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44805</v>
      </c>
      <c r="E294" s="1" t="n">
        <v>46254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46254</v>
      </c>
      <c r="F295" t="inlineStr">
        <is>
          <t>DALARNAS LÄN</t>
        </is>
      </c>
      <c r="G295" t="inlineStr">
        <is>
          <t>VANSBRO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46254</v>
      </c>
      <c r="F296" t="inlineStr">
        <is>
          <t>DALARNAS LÄN</t>
        </is>
      </c>
      <c r="G296" t="inlineStr">
        <is>
          <t>VANSBRO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45689</v>
      </c>
      <c r="E297" s="1" t="n">
        <v>46254</v>
      </c>
      <c r="F297" t="inlineStr">
        <is>
          <t>DALARNAS LÄN</t>
        </is>
      </c>
      <c r="G297" t="inlineStr">
        <is>
          <t>VANSBRO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45689</v>
      </c>
      <c r="E298" s="1" t="n">
        <v>46254</v>
      </c>
      <c r="F298" t="inlineStr">
        <is>
          <t>DALARNAS LÄN</t>
        </is>
      </c>
      <c r="G298" t="inlineStr">
        <is>
          <t>VANSBRO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46254</v>
      </c>
      <c r="F299" t="inlineStr">
        <is>
          <t>DALARNAS LÄN</t>
        </is>
      </c>
      <c r="G299" t="inlineStr">
        <is>
          <t>VANSBRO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56988-2023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46254</v>
      </c>
      <c r="F300" t="inlineStr">
        <is>
          <t>DALARNAS LÄN</t>
        </is>
      </c>
      <c r="G300" t="inlineStr">
        <is>
          <t>VANSBRO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59736-2022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44908</v>
      </c>
      <c r="E301" s="1" t="n">
        <v>46254</v>
      </c>
      <c r="F301" t="inlineStr">
        <is>
          <t>DALARNAS LÄN</t>
        </is>
      </c>
      <c r="G301" t="inlineStr">
        <is>
          <t>VANSBRO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46254</v>
      </c>
      <c r="F302" t="inlineStr">
        <is>
          <t>DALARNAS LÄN</t>
        </is>
      </c>
      <c r="G302" t="inlineStr">
        <is>
          <t>VANSBRO</t>
        </is>
      </c>
      <c r="H302" t="inlineStr">
        <is>
          <t>Övriga statliga verk och myndigheter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51414-2021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46254</v>
      </c>
      <c r="F303" t="inlineStr">
        <is>
          <t>DALARNAS LÄN</t>
        </is>
      </c>
      <c r="G303" t="inlineStr">
        <is>
          <t>VANSBRO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46254</v>
      </c>
      <c r="F304" t="inlineStr">
        <is>
          <t>DALARNAS LÄN</t>
        </is>
      </c>
      <c r="G304" t="inlineStr">
        <is>
          <t>VANSBRO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46254</v>
      </c>
      <c r="F305" t="inlineStr">
        <is>
          <t>DALARNAS LÄN</t>
        </is>
      </c>
      <c r="G305" t="inlineStr">
        <is>
          <t>VANSBRO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20931-2022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44701</v>
      </c>
      <c r="E306" s="1" t="n">
        <v>46254</v>
      </c>
      <c r="F306" t="inlineStr">
        <is>
          <t>DALARNAS LÄN</t>
        </is>
      </c>
      <c r="G306" t="inlineStr">
        <is>
          <t>VANSBRO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45296</v>
      </c>
      <c r="E307" s="1" t="n">
        <v>46254</v>
      </c>
      <c r="F307" t="inlineStr">
        <is>
          <t>DALARNAS LÄN</t>
        </is>
      </c>
      <c r="G307" t="inlineStr">
        <is>
          <t>VANSBRO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45775</v>
      </c>
      <c r="E308" s="1" t="n">
        <v>46254</v>
      </c>
      <c r="F308" t="inlineStr">
        <is>
          <t>DALARNAS LÄN</t>
        </is>
      </c>
      <c r="G308" t="inlineStr">
        <is>
          <t>VANSBRO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46254</v>
      </c>
      <c r="F309" t="inlineStr">
        <is>
          <t>DALARNAS LÄN</t>
        </is>
      </c>
      <c r="G309" t="inlineStr">
        <is>
          <t>VANSBRO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45448</v>
      </c>
      <c r="E310" s="1" t="n">
        <v>46254</v>
      </c>
      <c r="F310" t="inlineStr">
        <is>
          <t>DALARNAS LÄN</t>
        </is>
      </c>
      <c r="G310" t="inlineStr">
        <is>
          <t>VANSBRO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46254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46033</v>
      </c>
      <c r="E312" s="1" t="n">
        <v>46254</v>
      </c>
      <c r="F312" t="inlineStr">
        <is>
          <t>DALARNAS LÄN</t>
        </is>
      </c>
      <c r="G312" t="inlineStr">
        <is>
          <t>VANSBRO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46254</v>
      </c>
      <c r="F313" t="inlineStr">
        <is>
          <t>DALARNAS LÄN</t>
        </is>
      </c>
      <c r="G313" t="inlineStr">
        <is>
          <t>VANSBRO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46254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46254</v>
      </c>
      <c r="F315" t="inlineStr">
        <is>
          <t>DALARNAS LÄN</t>
        </is>
      </c>
      <c r="G315" t="inlineStr">
        <is>
          <t>VANSBRO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46254</v>
      </c>
      <c r="F316" t="inlineStr">
        <is>
          <t>DALARNAS LÄN</t>
        </is>
      </c>
      <c r="G316" t="inlineStr">
        <is>
          <t>VANSBRO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45471</v>
      </c>
      <c r="E317" s="1" t="n">
        <v>46254</v>
      </c>
      <c r="F317" t="inlineStr">
        <is>
          <t>DALARNAS LÄN</t>
        </is>
      </c>
      <c r="G317" t="inlineStr">
        <is>
          <t>VANSBRO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46254</v>
      </c>
      <c r="F318" t="inlineStr">
        <is>
          <t>DALARNAS LÄN</t>
        </is>
      </c>
      <c r="G318" t="inlineStr">
        <is>
          <t>VANSBRO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46254</v>
      </c>
      <c r="F319" t="inlineStr">
        <is>
          <t>DALARNAS LÄN</t>
        </is>
      </c>
      <c r="G319" t="inlineStr">
        <is>
          <t>VANSBRO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46254</v>
      </c>
      <c r="F320" t="inlineStr">
        <is>
          <t>DALARNAS LÄN</t>
        </is>
      </c>
      <c r="G320" t="inlineStr">
        <is>
          <t>VANSBRO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46254</v>
      </c>
      <c r="F321" t="inlineStr">
        <is>
          <t>DALARNAS LÄN</t>
        </is>
      </c>
      <c r="G321" t="inlineStr">
        <is>
          <t>VANSBRO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46254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46254</v>
      </c>
      <c r="F323" t="inlineStr">
        <is>
          <t>DALARNAS LÄN</t>
        </is>
      </c>
      <c r="G323" t="inlineStr">
        <is>
          <t>VANSBRO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11485-2024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45372</v>
      </c>
      <c r="E324" s="1" t="n">
        <v>46254</v>
      </c>
      <c r="F324" t="inlineStr">
        <is>
          <t>DALARNAS LÄN</t>
        </is>
      </c>
      <c r="G324" t="inlineStr">
        <is>
          <t>VANSBRO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46254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45184</v>
      </c>
      <c r="E326" s="1" t="n">
        <v>46254</v>
      </c>
      <c r="F326" t="inlineStr">
        <is>
          <t>DALARNAS LÄN</t>
        </is>
      </c>
      <c r="G326" t="inlineStr">
        <is>
          <t>VANSBRO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46051</v>
      </c>
      <c r="E327" s="1" t="n">
        <v>46254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46254</v>
      </c>
      <c r="F328" t="inlineStr">
        <is>
          <t>DALARNAS LÄN</t>
        </is>
      </c>
      <c r="G328" t="inlineStr">
        <is>
          <t>VANSBRO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45082</v>
      </c>
      <c r="E329" s="1" t="n">
        <v>46254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50741-2022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46254</v>
      </c>
      <c r="F330" t="inlineStr">
        <is>
          <t>DALARNAS LÄN</t>
        </is>
      </c>
      <c r="G330" t="inlineStr">
        <is>
          <t>VANSBRO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44837</v>
      </c>
      <c r="E331" s="1" t="n">
        <v>46254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46254</v>
      </c>
      <c r="F332" t="inlineStr">
        <is>
          <t>DALARNAS LÄN</t>
        </is>
      </c>
      <c r="G332" t="inlineStr">
        <is>
          <t>VANSBRO</t>
        </is>
      </c>
      <c r="I332" t="n">
        <v>8.5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46254</v>
      </c>
      <c r="F333" t="inlineStr">
        <is>
          <t>DALARNAS LÄN</t>
        </is>
      </c>
      <c r="G333" t="inlineStr">
        <is>
          <t>VANSBRO</t>
        </is>
      </c>
      <c r="I333" t="n">
        <v>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46254</v>
      </c>
      <c r="F334" t="inlineStr">
        <is>
          <t>DALARNAS LÄN</t>
        </is>
      </c>
      <c r="G334" t="inlineStr">
        <is>
          <t>VANSBRO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46254</v>
      </c>
      <c r="F335" t="inlineStr">
        <is>
          <t>DALARNAS LÄN</t>
        </is>
      </c>
      <c r="G335" t="inlineStr">
        <is>
          <t>VANSBRO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45582</v>
      </c>
      <c r="E336" s="1" t="n">
        <v>46254</v>
      </c>
      <c r="F336" t="inlineStr">
        <is>
          <t>DALARNAS LÄN</t>
        </is>
      </c>
      <c r="G336" t="inlineStr">
        <is>
          <t>VANSBRO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44673</v>
      </c>
      <c r="E337" s="1" t="n">
        <v>46254</v>
      </c>
      <c r="F337" t="inlineStr">
        <is>
          <t>DALARNAS LÄN</t>
        </is>
      </c>
      <c r="G337" t="inlineStr">
        <is>
          <t>VANSBRO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46254</v>
      </c>
      <c r="F338" t="inlineStr">
        <is>
          <t>DALARNAS LÄN</t>
        </is>
      </c>
      <c r="G338" t="inlineStr">
        <is>
          <t>VANSBRO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46254</v>
      </c>
      <c r="F339" t="inlineStr">
        <is>
          <t>DALARNAS LÄN</t>
        </is>
      </c>
      <c r="G339" t="inlineStr">
        <is>
          <t>VANSBRO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46254</v>
      </c>
      <c r="F340" t="inlineStr">
        <is>
          <t>DALARNAS LÄN</t>
        </is>
      </c>
      <c r="G340" t="inlineStr">
        <is>
          <t>VANSBRO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33520-2024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45519</v>
      </c>
      <c r="E341" s="1" t="n">
        <v>46254</v>
      </c>
      <c r="F341" t="inlineStr">
        <is>
          <t>DALARNAS LÄN</t>
        </is>
      </c>
      <c r="G341" t="inlineStr">
        <is>
          <t>VANSBRO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46254</v>
      </c>
      <c r="F342" t="inlineStr">
        <is>
          <t>DALARNAS LÄN</t>
        </is>
      </c>
      <c r="G342" t="inlineStr">
        <is>
          <t>VANSBRO</t>
        </is>
      </c>
      <c r="I342" t="n">
        <v>15.1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1140-2025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45666</v>
      </c>
      <c r="E343" s="1" t="n">
        <v>46254</v>
      </c>
      <c r="F343" t="inlineStr">
        <is>
          <t>DALARNAS LÄN</t>
        </is>
      </c>
      <c r="G343" t="inlineStr">
        <is>
          <t>VANSBRO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46254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46254</v>
      </c>
      <c r="F345" t="inlineStr">
        <is>
          <t>DALARNAS LÄN</t>
        </is>
      </c>
      <c r="G345" t="inlineStr">
        <is>
          <t>VANSBRO</t>
        </is>
      </c>
      <c r="I345" t="n">
        <v>19.1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46254</v>
      </c>
      <c r="F346" t="inlineStr">
        <is>
          <t>DALARNAS LÄN</t>
        </is>
      </c>
      <c r="G346" t="inlineStr">
        <is>
          <t>VANSBRO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45639</v>
      </c>
      <c r="E347" s="1" t="n">
        <v>46254</v>
      </c>
      <c r="F347" t="inlineStr">
        <is>
          <t>DALARNAS LÄN</t>
        </is>
      </c>
      <c r="G347" t="inlineStr">
        <is>
          <t>VANSBRO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45673</v>
      </c>
      <c r="E348" s="1" t="n">
        <v>46254</v>
      </c>
      <c r="F348" t="inlineStr">
        <is>
          <t>DALARNAS LÄN</t>
        </is>
      </c>
      <c r="G348" t="inlineStr">
        <is>
          <t>VANSBRO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48005-2022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44855</v>
      </c>
      <c r="E349" s="1" t="n">
        <v>46254</v>
      </c>
      <c r="F349" t="inlineStr">
        <is>
          <t>DALARNAS LÄN</t>
        </is>
      </c>
      <c r="G349" t="inlineStr">
        <is>
          <t>VANSBRO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44734</v>
      </c>
      <c r="E350" s="1" t="n">
        <v>46254</v>
      </c>
      <c r="F350" t="inlineStr">
        <is>
          <t>DALARNAS LÄN</t>
        </is>
      </c>
      <c r="G350" t="inlineStr">
        <is>
          <t>VANSBRO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46254</v>
      </c>
      <c r="F351" t="inlineStr">
        <is>
          <t>DALARNAS LÄN</t>
        </is>
      </c>
      <c r="G351" t="inlineStr">
        <is>
          <t>VANSBRO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45244</v>
      </c>
      <c r="E352" s="1" t="n">
        <v>46254</v>
      </c>
      <c r="F352" t="inlineStr">
        <is>
          <t>DALARNAS LÄN</t>
        </is>
      </c>
      <c r="G352" t="inlineStr">
        <is>
          <t>VANSBRO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60031-2022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44909</v>
      </c>
      <c r="E353" s="1" t="n">
        <v>46254</v>
      </c>
      <c r="F353" t="inlineStr">
        <is>
          <t>DALARNAS LÄN</t>
        </is>
      </c>
      <c r="G353" t="inlineStr">
        <is>
          <t>VANSBRO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46254</v>
      </c>
      <c r="F354" t="inlineStr">
        <is>
          <t>DALARNAS LÄN</t>
        </is>
      </c>
      <c r="G354" t="inlineStr">
        <is>
          <t>VANSBRO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5420-2024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45331</v>
      </c>
      <c r="E355" s="1" t="n">
        <v>46254</v>
      </c>
      <c r="F355" t="inlineStr">
        <is>
          <t>DALARNAS LÄN</t>
        </is>
      </c>
      <c r="G355" t="inlineStr">
        <is>
          <t>VANSBRO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45254</v>
      </c>
      <c r="E356" s="1" t="n">
        <v>46254</v>
      </c>
      <c r="F356" t="inlineStr">
        <is>
          <t>DALARNAS LÄN</t>
        </is>
      </c>
      <c r="G356" t="inlineStr">
        <is>
          <t>VANSBRO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11274-2024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45371</v>
      </c>
      <c r="E357" s="1" t="n">
        <v>46254</v>
      </c>
      <c r="F357" t="inlineStr">
        <is>
          <t>DALARNAS LÄN</t>
        </is>
      </c>
      <c r="G357" t="inlineStr">
        <is>
          <t>VANSBRO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46254</v>
      </c>
      <c r="F358" t="inlineStr">
        <is>
          <t>DALARNAS LÄN</t>
        </is>
      </c>
      <c r="G358" t="inlineStr">
        <is>
          <t>VANSBRO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46254</v>
      </c>
      <c r="F359" t="inlineStr">
        <is>
          <t>DALARNAS LÄN</t>
        </is>
      </c>
      <c r="G359" t="inlineStr">
        <is>
          <t>VANSBRO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46082</v>
      </c>
      <c r="E360" s="1" t="n">
        <v>46254</v>
      </c>
      <c r="F360" t="inlineStr">
        <is>
          <t>DALARNAS LÄN</t>
        </is>
      </c>
      <c r="G360" t="inlineStr">
        <is>
          <t>VANSBRO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46082</v>
      </c>
      <c r="E361" s="1" t="n">
        <v>46254</v>
      </c>
      <c r="F361" t="inlineStr">
        <is>
          <t>DALARNAS LÄN</t>
        </is>
      </c>
      <c r="G361" t="inlineStr">
        <is>
          <t>VANSBRO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46254</v>
      </c>
      <c r="F362" t="inlineStr">
        <is>
          <t>DALARNAS LÄN</t>
        </is>
      </c>
      <c r="G362" t="inlineStr">
        <is>
          <t>VANSBRO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45631</v>
      </c>
      <c r="E363" s="1" t="n">
        <v>46254</v>
      </c>
      <c r="F363" t="inlineStr">
        <is>
          <t>DALARNAS LÄN</t>
        </is>
      </c>
      <c r="G363" t="inlineStr">
        <is>
          <t>VANSBRO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46254</v>
      </c>
      <c r="F364" t="inlineStr">
        <is>
          <t>DALARNAS LÄN</t>
        </is>
      </c>
      <c r="G364" t="inlineStr">
        <is>
          <t>VANSBRO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46254</v>
      </c>
      <c r="F365" t="inlineStr">
        <is>
          <t>DALARNAS LÄN</t>
        </is>
      </c>
      <c r="G365" t="inlineStr">
        <is>
          <t>VANSBRO</t>
        </is>
      </c>
      <c r="H365" t="inlineStr">
        <is>
          <t>Kommuner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44960</v>
      </c>
      <c r="E366" s="1" t="n">
        <v>46254</v>
      </c>
      <c r="F366" t="inlineStr">
        <is>
          <t>DALARNAS LÄN</t>
        </is>
      </c>
      <c r="G366" t="inlineStr">
        <is>
          <t>VANSBRO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46254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46254</v>
      </c>
      <c r="F368" t="inlineStr">
        <is>
          <t>DALARNAS LÄN</t>
        </is>
      </c>
      <c r="G368" t="inlineStr">
        <is>
          <t>VANSBRO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46254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46254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45247</v>
      </c>
      <c r="E371" s="1" t="n">
        <v>46254</v>
      </c>
      <c r="F371" t="inlineStr">
        <is>
          <t>DALARNAS LÄN</t>
        </is>
      </c>
      <c r="G371" t="inlineStr">
        <is>
          <t>VANSBRO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46254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44931</v>
      </c>
      <c r="E373" s="1" t="n">
        <v>46254</v>
      </c>
      <c r="F373" t="inlineStr">
        <is>
          <t>DALARNAS LÄN</t>
        </is>
      </c>
      <c r="G373" t="inlineStr">
        <is>
          <t>VANSBRO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46254</v>
      </c>
      <c r="F374" t="inlineStr">
        <is>
          <t>DALARNAS LÄN</t>
        </is>
      </c>
      <c r="G374" t="inlineStr">
        <is>
          <t>VANSBRO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47790-2024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46254</v>
      </c>
      <c r="F375" t="inlineStr">
        <is>
          <t>DALARNAS LÄN</t>
        </is>
      </c>
      <c r="G375" t="inlineStr">
        <is>
          <t>VANSBRO</t>
        </is>
      </c>
      <c r="H375" t="inlineStr">
        <is>
          <t>Övriga statliga verk och myndigheter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46254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46254</v>
      </c>
      <c r="F377" t="inlineStr">
        <is>
          <t>DALARNAS LÄN</t>
        </is>
      </c>
      <c r="G377" t="inlineStr">
        <is>
          <t>VANSBRO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40382-2023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45169</v>
      </c>
      <c r="E378" s="1" t="n">
        <v>46254</v>
      </c>
      <c r="F378" t="inlineStr">
        <is>
          <t>DALARNAS LÄN</t>
        </is>
      </c>
      <c r="G378" t="inlineStr">
        <is>
          <t>VANSBRO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46254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46254</v>
      </c>
      <c r="F380" t="inlineStr">
        <is>
          <t>DALARNAS LÄN</t>
        </is>
      </c>
      <c r="G380" t="inlineStr">
        <is>
          <t>VANSBRO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45491</v>
      </c>
      <c r="E381" s="1" t="n">
        <v>46254</v>
      </c>
      <c r="F381" t="inlineStr">
        <is>
          <t>DALARNAS LÄN</t>
        </is>
      </c>
      <c r="G381" t="inlineStr">
        <is>
          <t>VANSBRO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46254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16952-2026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46254</v>
      </c>
      <c r="F383" t="inlineStr">
        <is>
          <t>DALARNAS LÄN</t>
        </is>
      </c>
      <c r="G383" t="inlineStr">
        <is>
          <t>VANSBRO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45672</v>
      </c>
      <c r="E384" s="1" t="n">
        <v>46254</v>
      </c>
      <c r="F384" t="inlineStr">
        <is>
          <t>DALARNAS LÄN</t>
        </is>
      </c>
      <c r="G384" t="inlineStr">
        <is>
          <t>VANSBRO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45762</v>
      </c>
      <c r="E385" s="1" t="n">
        <v>46254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46113</v>
      </c>
      <c r="E386" s="1" t="n">
        <v>46254</v>
      </c>
      <c r="F386" t="inlineStr">
        <is>
          <t>DALARNAS LÄN</t>
        </is>
      </c>
      <c r="G386" t="inlineStr">
        <is>
          <t>VANSBRO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10886-2025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46254</v>
      </c>
      <c r="F387" t="inlineStr">
        <is>
          <t>DALARNAS LÄN</t>
        </is>
      </c>
      <c r="G387" t="inlineStr">
        <is>
          <t>VANSBRO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46254</v>
      </c>
      <c r="F388" t="inlineStr">
        <is>
          <t>DALARNAS LÄN</t>
        </is>
      </c>
      <c r="G388" t="inlineStr">
        <is>
          <t>VANSBRO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46254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46254</v>
      </c>
      <c r="F390" t="inlineStr">
        <is>
          <t>DALARNAS LÄN</t>
        </is>
      </c>
      <c r="G390" t="inlineStr">
        <is>
          <t>VANSBRO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46254</v>
      </c>
      <c r="F391" t="inlineStr">
        <is>
          <t>DALARNAS LÄN</t>
        </is>
      </c>
      <c r="G391" t="inlineStr">
        <is>
          <t>VANSBRO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46121</v>
      </c>
      <c r="E392" s="1" t="n">
        <v>46254</v>
      </c>
      <c r="F392" t="inlineStr">
        <is>
          <t>DALARNAS LÄN</t>
        </is>
      </c>
      <c r="G392" t="inlineStr">
        <is>
          <t>VANSBRO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46254</v>
      </c>
      <c r="F393" t="inlineStr">
        <is>
          <t>DALARNAS LÄN</t>
        </is>
      </c>
      <c r="G393" t="inlineStr">
        <is>
          <t>VANSBRO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46121</v>
      </c>
      <c r="E394" s="1" t="n">
        <v>46254</v>
      </c>
      <c r="F394" t="inlineStr">
        <is>
          <t>DALARNAS LÄN</t>
        </is>
      </c>
      <c r="G394" t="inlineStr">
        <is>
          <t>VANSBRO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46254</v>
      </c>
      <c r="F395" t="inlineStr">
        <is>
          <t>DALARNAS LÄN</t>
        </is>
      </c>
      <c r="G395" t="inlineStr">
        <is>
          <t>VANSBRO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17998-2026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46124</v>
      </c>
      <c r="E396" s="1" t="n">
        <v>46254</v>
      </c>
      <c r="F396" t="inlineStr">
        <is>
          <t>DALARNAS LÄN</t>
        </is>
      </c>
      <c r="G396" t="inlineStr">
        <is>
          <t>VANSBRO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46254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46125</v>
      </c>
      <c r="E398" s="1" t="n">
        <v>46254</v>
      </c>
      <c r="F398" t="inlineStr">
        <is>
          <t>DALARNAS LÄN</t>
        </is>
      </c>
      <c r="G398" t="inlineStr">
        <is>
          <t>VANSBRO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46254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61515-2022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44916</v>
      </c>
      <c r="E400" s="1" t="n">
        <v>46254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46254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18709-2026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46128</v>
      </c>
      <c r="E402" s="1" t="n">
        <v>46254</v>
      </c>
      <c r="F402" t="inlineStr">
        <is>
          <t>DALARNAS LÄN</t>
        </is>
      </c>
      <c r="G402" t="inlineStr">
        <is>
          <t>VANSBRO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46254</v>
      </c>
      <c r="F403" t="inlineStr">
        <is>
          <t>DALARNAS LÄN</t>
        </is>
      </c>
      <c r="G403" t="inlineStr">
        <is>
          <t>VANSBRO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46254</v>
      </c>
      <c r="F404" t="inlineStr">
        <is>
          <t>DALARNAS LÄN</t>
        </is>
      </c>
      <c r="G404" t="inlineStr">
        <is>
          <t>VANSBRO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46254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46128</v>
      </c>
      <c r="E406" s="1" t="n">
        <v>46254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46254</v>
      </c>
      <c r="F407" t="inlineStr">
        <is>
          <t>DALARNAS LÄN</t>
        </is>
      </c>
      <c r="G407" t="inlineStr">
        <is>
          <t>VANSBRO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46254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46254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46254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46254</v>
      </c>
      <c r="F411" t="inlineStr">
        <is>
          <t>DALARNAS LÄN</t>
        </is>
      </c>
      <c r="G411" t="inlineStr">
        <is>
          <t>VANSBRO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45674</v>
      </c>
      <c r="E412" s="1" t="n">
        <v>46254</v>
      </c>
      <c r="F412" t="inlineStr">
        <is>
          <t>DALARNAS LÄN</t>
        </is>
      </c>
      <c r="G412" t="inlineStr">
        <is>
          <t>VANSBRO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45817</v>
      </c>
      <c r="E413" s="1" t="n">
        <v>46254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45783</v>
      </c>
      <c r="E414" s="1" t="n">
        <v>46254</v>
      </c>
      <c r="F414" t="inlineStr">
        <is>
          <t>DALARNAS LÄN</t>
        </is>
      </c>
      <c r="G414" t="inlineStr">
        <is>
          <t>VANSBRO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45483</v>
      </c>
      <c r="E415" s="1" t="n">
        <v>46254</v>
      </c>
      <c r="F415" t="inlineStr">
        <is>
          <t>DALARNAS LÄN</t>
        </is>
      </c>
      <c r="G415" t="inlineStr">
        <is>
          <t>VANSBRO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46254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45940</v>
      </c>
      <c r="E417" s="1" t="n">
        <v>46254</v>
      </c>
      <c r="F417" t="inlineStr">
        <is>
          <t>DALARNAS LÄN</t>
        </is>
      </c>
      <c r="G417" t="inlineStr">
        <is>
          <t>VANSBRO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45492</v>
      </c>
      <c r="E418" s="1" t="n">
        <v>46254</v>
      </c>
      <c r="F418" t="inlineStr">
        <is>
          <t>DALARNAS LÄN</t>
        </is>
      </c>
      <c r="G418" t="inlineStr">
        <is>
          <t>VANSBRO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44719</v>
      </c>
      <c r="E419" s="1" t="n">
        <v>46254</v>
      </c>
      <c r="F419" t="inlineStr">
        <is>
          <t>DALARNAS LÄN</t>
        </is>
      </c>
      <c r="G419" t="inlineStr">
        <is>
          <t>VANSBRO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45440</v>
      </c>
      <c r="E420" s="1" t="n">
        <v>46254</v>
      </c>
      <c r="F420" t="inlineStr">
        <is>
          <t>DALARNAS LÄN</t>
        </is>
      </c>
      <c r="G420" t="inlineStr">
        <is>
          <t>VANSBRO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45811</v>
      </c>
      <c r="E421" s="1" t="n">
        <v>46254</v>
      </c>
      <c r="F421" t="inlineStr">
        <is>
          <t>DALARNAS LÄN</t>
        </is>
      </c>
      <c r="G421" t="inlineStr">
        <is>
          <t>VANSBRO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46254</v>
      </c>
      <c r="F422" t="inlineStr">
        <is>
          <t>DALARNAS LÄN</t>
        </is>
      </c>
      <c r="G422" t="inlineStr">
        <is>
          <t>VANSBRO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20669-2025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45776</v>
      </c>
      <c r="E423" s="1" t="n">
        <v>46254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45806</v>
      </c>
      <c r="E424" s="1" t="n">
        <v>46254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45793</v>
      </c>
      <c r="E425" s="1" t="n">
        <v>46254</v>
      </c>
      <c r="F425" t="inlineStr">
        <is>
          <t>DALARNAS LÄN</t>
        </is>
      </c>
      <c r="G425" t="inlineStr">
        <is>
          <t>VANSBRO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46254</v>
      </c>
      <c r="F426" t="inlineStr">
        <is>
          <t>DALARNAS LÄN</t>
        </is>
      </c>
      <c r="G426" t="inlineStr">
        <is>
          <t>VANSBRO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29411-2024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45483</v>
      </c>
      <c r="E427" s="1" t="n">
        <v>46254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46254</v>
      </c>
      <c r="F428" t="inlineStr">
        <is>
          <t>DALARNAS LÄN</t>
        </is>
      </c>
      <c r="G428" t="inlineStr">
        <is>
          <t>VANSBRO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45798</v>
      </c>
      <c r="E429" s="1" t="n">
        <v>46254</v>
      </c>
      <c r="F429" t="inlineStr">
        <is>
          <t>DALARNAS LÄN</t>
        </is>
      </c>
      <c r="G429" t="inlineStr">
        <is>
          <t>VANSBRO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45807</v>
      </c>
      <c r="E430" s="1" t="n">
        <v>46254</v>
      </c>
      <c r="F430" t="inlineStr">
        <is>
          <t>DALARNAS LÄN</t>
        </is>
      </c>
      <c r="G430" t="inlineStr">
        <is>
          <t>VANSBRO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46254</v>
      </c>
      <c r="F431" t="inlineStr">
        <is>
          <t>DALARNAS LÄN</t>
        </is>
      </c>
      <c r="G431" t="inlineStr">
        <is>
          <t>VANSBRO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45811</v>
      </c>
      <c r="E432" s="1" t="n">
        <v>46254</v>
      </c>
      <c r="F432" t="inlineStr">
        <is>
          <t>DALARNAS LÄN</t>
        </is>
      </c>
      <c r="G432" t="inlineStr">
        <is>
          <t>VANSBRO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45811</v>
      </c>
      <c r="E433" s="1" t="n">
        <v>46254</v>
      </c>
      <c r="F433" t="inlineStr">
        <is>
          <t>DALARNAS LÄN</t>
        </is>
      </c>
      <c r="G433" t="inlineStr">
        <is>
          <t>VANSBRO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45695</v>
      </c>
      <c r="E434" s="1" t="n">
        <v>46254</v>
      </c>
      <c r="F434" t="inlineStr">
        <is>
          <t>DALARNAS LÄN</t>
        </is>
      </c>
      <c r="G434" t="inlineStr">
        <is>
          <t>VANSBRO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46254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46254</v>
      </c>
      <c r="F436" t="inlineStr">
        <is>
          <t>DALARNAS LÄN</t>
        </is>
      </c>
      <c r="G436" t="inlineStr">
        <is>
          <t>VANSBRO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46254</v>
      </c>
      <c r="F437" t="inlineStr">
        <is>
          <t>DALARNAS LÄN</t>
        </is>
      </c>
      <c r="G437" t="inlineStr">
        <is>
          <t>VANSBRO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46254</v>
      </c>
      <c r="F438" t="inlineStr">
        <is>
          <t>DALARNAS LÄN</t>
        </is>
      </c>
      <c r="G438" t="inlineStr">
        <is>
          <t>VANSBRO</t>
        </is>
      </c>
      <c r="I438" t="n">
        <v>27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45833</v>
      </c>
      <c r="E439" s="1" t="n">
        <v>46254</v>
      </c>
      <c r="F439" t="inlineStr">
        <is>
          <t>DALARNAS LÄN</t>
        </is>
      </c>
      <c r="G439" t="inlineStr">
        <is>
          <t>VANSBRO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46254</v>
      </c>
      <c r="F440" t="inlineStr">
        <is>
          <t>DALARNAS LÄN</t>
        </is>
      </c>
      <c r="G440" t="inlineStr">
        <is>
          <t>VANSBRO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46254</v>
      </c>
      <c r="F441" t="inlineStr">
        <is>
          <t>DALARNAS LÄN</t>
        </is>
      </c>
      <c r="G441" t="inlineStr">
        <is>
          <t>VANSBRO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46254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46254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34440-2025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46254</v>
      </c>
      <c r="F444" t="inlineStr">
        <is>
          <t>DALARNAS LÄN</t>
        </is>
      </c>
      <c r="G444" t="inlineStr">
        <is>
          <t>VANSBRO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35284-2025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45854</v>
      </c>
      <c r="E445" s="1" t="n">
        <v>46254</v>
      </c>
      <c r="F445" t="inlineStr">
        <is>
          <t>DALARNAS LÄN</t>
        </is>
      </c>
      <c r="G445" t="inlineStr">
        <is>
          <t>VANSBRO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46254</v>
      </c>
      <c r="F446" t="inlineStr">
        <is>
          <t>DALARNAS LÄN</t>
        </is>
      </c>
      <c r="G446" t="inlineStr">
        <is>
          <t>VANSBRO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45860</v>
      </c>
      <c r="E447" s="1" t="n">
        <v>46254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46254</v>
      </c>
      <c r="F448" t="inlineStr">
        <is>
          <t>DALARNAS LÄN</t>
        </is>
      </c>
      <c r="G448" t="inlineStr">
        <is>
          <t>VANSBRO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36382-2025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45868</v>
      </c>
      <c r="E449" s="1" t="n">
        <v>46254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45876</v>
      </c>
      <c r="E450" s="1" t="n">
        <v>46254</v>
      </c>
      <c r="F450" t="inlineStr">
        <is>
          <t>DALARNAS LÄN</t>
        </is>
      </c>
      <c r="G450" t="inlineStr">
        <is>
          <t>VANSBRO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37287-2025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45876</v>
      </c>
      <c r="E451" s="1" t="n">
        <v>46254</v>
      </c>
      <c r="F451" t="inlineStr">
        <is>
          <t>DALARNAS LÄN</t>
        </is>
      </c>
      <c r="G451" t="inlineStr">
        <is>
          <t>VANSBRO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46254</v>
      </c>
      <c r="F452" t="inlineStr">
        <is>
          <t>DALARNAS LÄN</t>
        </is>
      </c>
      <c r="G452" t="inlineStr">
        <is>
          <t>VANSBRO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1286-2024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45401</v>
      </c>
      <c r="E453" s="1" t="n">
        <v>46254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220.8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4782-2022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44802</v>
      </c>
      <c r="E454" s="1" t="n">
        <v>46254</v>
      </c>
      <c r="F454" t="inlineStr">
        <is>
          <t>DALARNAS LÄN</t>
        </is>
      </c>
      <c r="G454" t="inlineStr">
        <is>
          <t>VANSBRO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3514-2023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45208</v>
      </c>
      <c r="E455" s="1" t="n">
        <v>46254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37.8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409-2025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45699</v>
      </c>
      <c r="E456" s="1" t="n">
        <v>46254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öst AB</t>
        </is>
      </c>
      <c r="I456" t="n">
        <v>277.1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46035</v>
      </c>
      <c r="E457" s="1" t="n">
        <v>46254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153.5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747-2026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46089</v>
      </c>
      <c r="E458" s="1" t="n">
        <v>46254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82.40000000000001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2026-08-20T01:51:37Z</dcterms:created>
  <dcterms:modified xmlns:dcterms="http://purl.org/dc/terms/" xmlns:xsi="http://www.w3.org/2001/XMLSchema-instance" xsi:type="dcterms:W3CDTF">2026-08-20T01:51:37Z</dcterms:modified>
</cp:coreProperties>
</file>