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46237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46237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46237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46237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46237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46237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46237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46237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46237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46237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46237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46237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46237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46237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21</v>
      </c>
      <c r="U18" t="n">
        <v>21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46237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34</v>
      </c>
      <c r="U19" t="n">
        <v>34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46237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46237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46237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46237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46237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3854-2024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46237</v>
      </c>
      <c r="F25" t="inlineStr">
        <is>
          <t>DALARNAS LÄN</t>
        </is>
      </c>
      <c r="G25" t="inlineStr">
        <is>
          <t>VANSBRO</t>
        </is>
      </c>
      <c r="H25" t="inlineStr">
        <is>
          <t>Kyrkan</t>
        </is>
      </c>
      <c r="I25" t="n">
        <v>4.6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3</v>
      </c>
      <c r="V25" s="2" t="inlineStr">
        <is>
          <t>Garnlav
Tretåig hackspett
Björksplintborre
Utter</t>
        </is>
      </c>
      <c r="W25">
        <f>HYPERLINK("https://klasma.github.io/Logging_2021/artfynd/A 3854-2024 artfynd.xlsx", "A 3854-2024")</f>
        <v/>
      </c>
      <c r="X25">
        <f>HYPERLINK("https://klasma.github.io/Logging_2021/kartor/A 3854-2024 karta.png", "A 3854-2024")</f>
        <v/>
      </c>
      <c r="Y25">
        <f>HYPERLINK("https://klasma.github.io/Logging_2021/kartor_geotiff/A 3854-2024 georefererad karta.tif", "A 3854-2024")</f>
        <v/>
      </c>
      <c r="AA25">
        <f>HYPERLINK("https://klasma.github.io/Logging_2021/klagomål/A 3854-2024 FSC-klagomål.docx", "A 3854-2024")</f>
        <v/>
      </c>
      <c r="AB25">
        <f>HYPERLINK("https://klasma.github.io/Logging_2021/klagomålsmail/A 3854-2024 FSC-klagomål mail.docx", "A 3854-2024")</f>
        <v/>
      </c>
      <c r="AC25">
        <f>HYPERLINK("https://klasma.github.io/Logging_2021/tillsyn/A 3854-2024 tillsynsbegäran.docx", "A 3854-2024")</f>
        <v/>
      </c>
      <c r="AD25">
        <f>HYPERLINK("https://klasma.github.io/Logging_2021/tillsynsmail/A 3854-2024 tillsynsbegäran mail.docx", "A 3854-2024")</f>
        <v/>
      </c>
      <c r="AE25">
        <f>HYPERLINK("https://klasma.github.io/Logging_2021/fåglar/A 3854-2024 prioriterade fågelarter.docx", "A 3854-2024")</f>
        <v/>
      </c>
    </row>
    <row r="26" ht="15" customHeight="1">
      <c r="A26" t="inlineStr">
        <is>
          <t>A 27504-2025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46237</v>
      </c>
      <c r="F26" t="inlineStr">
        <is>
          <t>DALARNAS LÄN</t>
        </is>
      </c>
      <c r="G26" t="inlineStr">
        <is>
          <t>VANSBRO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Garnlav
Kortskaftad ärgspik
Vedticka</t>
        </is>
      </c>
      <c r="W26">
        <f>HYPERLINK("https://klasma.github.io/Logging_2021/artfynd/A 27504-2025 artfynd.xlsx", "A 27504-2025")</f>
        <v/>
      </c>
      <c r="X26">
        <f>HYPERLINK("https://klasma.github.io/Logging_2021/kartor/A 27504-2025 karta.png", "A 27504-2025")</f>
        <v/>
      </c>
      <c r="Y26">
        <f>HYPERLINK("https://klasma.github.io/Logging_2021/kartor_geotiff/A 27504-2025 georefererad karta.tif", "A 27504-2025")</f>
        <v/>
      </c>
      <c r="AA26">
        <f>HYPERLINK("https://klasma.github.io/Logging_2021/klagomål/A 27504-2025 FSC-klagomål.docx", "A 27504-2025")</f>
        <v/>
      </c>
      <c r="AB26">
        <f>HYPERLINK("https://klasma.github.io/Logging_2021/klagomålsmail/A 27504-2025 FSC-klagomål mail.docx", "A 27504-2025")</f>
        <v/>
      </c>
      <c r="AC26">
        <f>HYPERLINK("https://klasma.github.io/Logging_2021/tillsyn/A 27504-2025 tillsynsbegäran.docx", "A 27504-2025")</f>
        <v/>
      </c>
      <c r="AD26">
        <f>HYPERLINK("https://klasma.github.io/Logging_2021/tillsynsmail/A 27504-2025 tillsynsbegäran mail.docx", "A 27504-2025")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46237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46237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33005-2025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46237</v>
      </c>
      <c r="F29" t="inlineStr">
        <is>
          <t>DALARNAS LÄN</t>
        </is>
      </c>
      <c r="G29" t="inlineStr">
        <is>
          <t>VANSBRO</t>
        </is>
      </c>
      <c r="I29" t="n">
        <v>5.5</v>
      </c>
      <c r="J29" t="n">
        <v>2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5</v>
      </c>
      <c r="U29" t="n">
        <v>5</v>
      </c>
      <c r="V29" s="2" t="inlineStr">
        <is>
          <t>Knärot
Kolflarnlav
Tretåig hackspett</t>
        </is>
      </c>
      <c r="W29">
        <f>HYPERLINK("https://klasma.github.io/Logging_2021/artfynd/A 33005-2025 artfynd.xlsx", "A 33005-2025")</f>
        <v/>
      </c>
      <c r="X29">
        <f>HYPERLINK("https://klasma.github.io/Logging_2021/kartor/A 33005-2025 karta.png", "A 33005-2025")</f>
        <v/>
      </c>
      <c r="Y29">
        <f>HYPERLINK("https://klasma.github.io/Logging_2021/kartor_geotiff/A 33005-2025 georefererad karta.tif", "A 33005-2025")</f>
        <v/>
      </c>
      <c r="Z29">
        <f>HYPERLINK("https://klasma.github.io/Logging_2021/knärot/A 33005-2025 karta knärot.png", "A 33005-2025")</f>
        <v/>
      </c>
      <c r="AA29">
        <f>HYPERLINK("https://klasma.github.io/Logging_2021/klagomål/A 33005-2025 FSC-klagomål.docx", "A 33005-2025")</f>
        <v/>
      </c>
      <c r="AB29">
        <f>HYPERLINK("https://klasma.github.io/Logging_2021/klagomålsmail/A 33005-2025 FSC-klagomål mail.docx", "A 33005-2025")</f>
        <v/>
      </c>
      <c r="AC29">
        <f>HYPERLINK("https://klasma.github.io/Logging_2021/tillsyn/A 33005-2025 tillsynsbegäran.docx", "A 33005-2025")</f>
        <v/>
      </c>
      <c r="AD29">
        <f>HYPERLINK("https://klasma.github.io/Logging_2021/tillsynsmail/A 33005-2025 tillsynsbegäran mail.docx", "A 33005-2025")</f>
        <v/>
      </c>
      <c r="AE29">
        <f>HYPERLINK("https://klasma.github.io/Logging_2021/fåglar/A 33005-2025 prioriterade fågelarter.docx", "A 33005-2025")</f>
        <v/>
      </c>
    </row>
    <row r="30" ht="15" customHeight="1">
      <c r="A30" t="inlineStr">
        <is>
          <t>A 33898-2022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46237</v>
      </c>
      <c r="F30" t="inlineStr">
        <is>
          <t>DALARNAS LÄN</t>
        </is>
      </c>
      <c r="G30" t="inlineStr">
        <is>
          <t>VANSBRO</t>
        </is>
      </c>
      <c r="I30" t="n">
        <v>2.8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Kungsfågel</t>
        </is>
      </c>
      <c r="W30">
        <f>HYPERLINK("https://klasma.github.io/Logging_2021/artfynd/A 33898-2022 artfynd.xlsx", "A 33898-2022")</f>
        <v/>
      </c>
      <c r="X30">
        <f>HYPERLINK("https://klasma.github.io/Logging_2021/kartor/A 33898-2022 karta.png", "A 33898-2022")</f>
        <v/>
      </c>
      <c r="Y30">
        <f>HYPERLINK("https://klasma.github.io/Logging_2021/kartor_geotiff/A 33898-2022 georefererad karta.tif", "A 33898-2022")</f>
        <v/>
      </c>
      <c r="Z30">
        <f>HYPERLINK("https://klasma.github.io/Logging_2021/knärot/A 33898-2022 karta knärot.png", "A 33898-2022")</f>
        <v/>
      </c>
      <c r="AA30">
        <f>HYPERLINK("https://klasma.github.io/Logging_2021/klagomål/A 33898-2022 FSC-klagomål.docx", "A 33898-2022")</f>
        <v/>
      </c>
      <c r="AB30">
        <f>HYPERLINK("https://klasma.github.io/Logging_2021/klagomålsmail/A 33898-2022 FSC-klagomål mail.docx", "A 33898-2022")</f>
        <v/>
      </c>
      <c r="AC30">
        <f>HYPERLINK("https://klasma.github.io/Logging_2021/tillsyn/A 33898-2022 tillsynsbegäran.docx", "A 33898-2022")</f>
        <v/>
      </c>
      <c r="AD30">
        <f>HYPERLINK("https://klasma.github.io/Logging_2021/tillsynsmail/A 33898-2022 tillsynsbegäran mail.docx", "A 33898-2022")</f>
        <v/>
      </c>
    </row>
    <row r="31" ht="15" customHeight="1">
      <c r="A31" t="inlineStr">
        <is>
          <t>A 13323-2025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45735</v>
      </c>
      <c r="E31" s="1" t="n">
        <v>46237</v>
      </c>
      <c r="F31" t="inlineStr">
        <is>
          <t>DALARNAS LÄN</t>
        </is>
      </c>
      <c r="G31" t="inlineStr">
        <is>
          <t>VANSBRO</t>
        </is>
      </c>
      <c r="I31" t="n">
        <v>2.1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4</v>
      </c>
      <c r="V31" s="2" t="inlineStr">
        <is>
          <t>Knärot
Ullticka</t>
        </is>
      </c>
      <c r="W31">
        <f>HYPERLINK("https://klasma.github.io/Logging_2021/artfynd/A 13323-2025 artfynd.xlsx", "A 13323-2025")</f>
        <v/>
      </c>
      <c r="X31">
        <f>HYPERLINK("https://klasma.github.io/Logging_2021/kartor/A 13323-2025 karta.png", "A 13323-2025")</f>
        <v/>
      </c>
      <c r="Y31">
        <f>HYPERLINK("https://klasma.github.io/Logging_2021/kartor_geotiff/A 13323-2025 georefererad karta.tif", "A 13323-2025")</f>
        <v/>
      </c>
      <c r="Z31">
        <f>HYPERLINK("https://klasma.github.io/Logging_2021/knärot/A 13323-2025 karta knärot.png", "A 13323-2025")</f>
        <v/>
      </c>
      <c r="AA31">
        <f>HYPERLINK("https://klasma.github.io/Logging_2021/klagomål/A 13323-2025 FSC-klagomål.docx", "A 13323-2025")</f>
        <v/>
      </c>
      <c r="AB31">
        <f>HYPERLINK("https://klasma.github.io/Logging_2021/klagomålsmail/A 13323-2025 FSC-klagomål mail.docx", "A 13323-2025")</f>
        <v/>
      </c>
      <c r="AC31">
        <f>HYPERLINK("https://klasma.github.io/Logging_2021/tillsyn/A 13323-2025 tillsynsbegäran.docx", "A 13323-2025")</f>
        <v/>
      </c>
      <c r="AD31">
        <f>HYPERLINK("https://klasma.github.io/Logging_2021/tillsynsmail/A 13323-2025 tillsynsbegäran mail.docx", "A 13323-2025")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46237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14475-2024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45394</v>
      </c>
      <c r="E33" s="1" t="n">
        <v>46237</v>
      </c>
      <c r="F33" t="inlineStr">
        <is>
          <t>DALARNAS LÄN</t>
        </is>
      </c>
      <c r="G33" t="inlineStr">
        <is>
          <t>VANSBRO</t>
        </is>
      </c>
      <c r="I33" t="n">
        <v>20.4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Dropptaggsvamp</t>
        </is>
      </c>
      <c r="W33">
        <f>HYPERLINK("https://klasma.github.io/Logging_2021/artfynd/A 14475-2024 artfynd.xlsx", "A 14475-2024")</f>
        <v/>
      </c>
      <c r="X33">
        <f>HYPERLINK("https://klasma.github.io/Logging_2021/kartor/A 14475-2024 karta.png", "A 14475-2024")</f>
        <v/>
      </c>
      <c r="Y33">
        <f>HYPERLINK("https://klasma.github.io/Logging_2021/kartor_geotiff/A 14475-2024 georefererad karta.tif", "A 14475-2024")</f>
        <v/>
      </c>
      <c r="AA33">
        <f>HYPERLINK("https://klasma.github.io/Logging_2021/klagomål/A 14475-2024 FSC-klagomål.docx", "A 14475-2024")</f>
        <v/>
      </c>
      <c r="AB33">
        <f>HYPERLINK("https://klasma.github.io/Logging_2021/klagomålsmail/A 14475-2024 FSC-klagomål mail.docx", "A 14475-2024")</f>
        <v/>
      </c>
      <c r="AC33">
        <f>HYPERLINK("https://klasma.github.io/Logging_2021/tillsyn/A 14475-2024 tillsynsbegäran.docx", "A 14475-2024")</f>
        <v/>
      </c>
      <c r="AD33">
        <f>HYPERLINK("https://klasma.github.io/Logging_2021/tillsynsmail/A 14475-2024 tillsynsbegäran mail.docx", "A 14475-2024")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46237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46237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45205-2021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46237</v>
      </c>
      <c r="F36" t="inlineStr">
        <is>
          <t>DALARNAS LÄN</t>
        </is>
      </c>
      <c r="G36" t="inlineStr">
        <is>
          <t>VANSBRO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HYPERLINK("https://klasma.github.io/Logging_2021/artfynd/A 45205-2021 artfynd.xlsx", "A 45205-2021")</f>
        <v/>
      </c>
      <c r="X36">
        <f>HYPERLINK("https://klasma.github.io/Logging_2021/kartor/A 45205-2021 karta.png", "A 45205-2021")</f>
        <v/>
      </c>
      <c r="Y36">
        <f>HYPERLINK("https://klasma.github.io/Logging_2021/kartor_geotiff/A 45205-2021 georefererad karta.tif", "A 45205-2021")</f>
        <v/>
      </c>
      <c r="AA36">
        <f>HYPERLINK("https://klasma.github.io/Logging_2021/klagomål/A 45205-2021 FSC-klagomål.docx", "A 45205-2021")</f>
        <v/>
      </c>
      <c r="AB36">
        <f>HYPERLINK("https://klasma.github.io/Logging_2021/klagomålsmail/A 45205-2021 FSC-klagomål mail.docx", "A 45205-2021")</f>
        <v/>
      </c>
      <c r="AC36">
        <f>HYPERLINK("https://klasma.github.io/Logging_2021/tillsyn/A 45205-2021 tillsynsbegäran.docx", "A 45205-2021")</f>
        <v/>
      </c>
      <c r="AD36">
        <f>HYPERLINK("https://klasma.github.io/Logging_2021/tillsynsmail/A 45205-2021 tillsynsbegäran mail.docx", "A 45205-2021")</f>
        <v/>
      </c>
    </row>
    <row r="37" ht="15" customHeight="1">
      <c r="A37" t="inlineStr">
        <is>
          <t>A 50688-2021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46237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Rynkskinn</t>
        </is>
      </c>
      <c r="W37">
        <f>HYPERLINK("https://klasma.github.io/Logging_2021/artfynd/A 50688-2021 artfynd.xlsx", "A 50688-2021")</f>
        <v/>
      </c>
      <c r="X37">
        <f>HYPERLINK("https://klasma.github.io/Logging_2021/kartor/A 50688-2021 karta.png", "A 50688-2021")</f>
        <v/>
      </c>
      <c r="Y37">
        <f>HYPERLINK("https://klasma.github.io/Logging_2021/kartor_geotiff/A 50688-2021 georefererad karta.tif", "A 50688-2021")</f>
        <v/>
      </c>
      <c r="AA37">
        <f>HYPERLINK("https://klasma.github.io/Logging_2021/klagomål/A 50688-2021 FSC-klagomål.docx", "A 50688-2021")</f>
        <v/>
      </c>
      <c r="AB37">
        <f>HYPERLINK("https://klasma.github.io/Logging_2021/klagomålsmail/A 50688-2021 FSC-klagomål mail.docx", "A 50688-2021")</f>
        <v/>
      </c>
      <c r="AC37">
        <f>HYPERLINK("https://klasma.github.io/Logging_2021/tillsyn/A 50688-2021 tillsynsbegäran.docx", "A 50688-2021")</f>
        <v/>
      </c>
      <c r="AD37">
        <f>HYPERLINK("https://klasma.github.io/Logging_2021/tillsynsmail/A 50688-2021 tillsynsbegäran mail.docx", "A 50688-2021")</f>
        <v/>
      </c>
    </row>
    <row r="38" ht="15" customHeight="1">
      <c r="A38" t="inlineStr">
        <is>
          <t>A 51579-2021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46237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14.3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Kolflarnlav</t>
        </is>
      </c>
      <c r="W38">
        <f>HYPERLINK("https://klasma.github.io/Logging_2021/artfynd/A 51579-2021 artfynd.xlsx", "A 51579-2021")</f>
        <v/>
      </c>
      <c r="X38">
        <f>HYPERLINK("https://klasma.github.io/Logging_2021/kartor/A 51579-2021 karta.png", "A 51579-2021")</f>
        <v/>
      </c>
      <c r="Y38">
        <f>HYPERLINK("https://klasma.github.io/Logging_2021/kartor_geotiff/A 51579-2021 georefererad karta.tif", "A 51579-2021")</f>
        <v/>
      </c>
      <c r="AA38">
        <f>HYPERLINK("https://klasma.github.io/Logging_2021/klagomål/A 51579-2021 FSC-klagomål.docx", "A 51579-2021")</f>
        <v/>
      </c>
      <c r="AB38">
        <f>HYPERLINK("https://klasma.github.io/Logging_2021/klagomålsmail/A 51579-2021 FSC-klagomål mail.docx", "A 51579-2021")</f>
        <v/>
      </c>
      <c r="AC38">
        <f>HYPERLINK("https://klasma.github.io/Logging_2021/tillsyn/A 51579-2021 tillsynsbegäran.docx", "A 51579-2021")</f>
        <v/>
      </c>
      <c r="AD38">
        <f>HYPERLINK("https://klasma.github.io/Logging_2021/tillsynsmail/A 51579-2021 tillsynsbegäran mail.docx", "A 51579-2021")</f>
        <v/>
      </c>
    </row>
    <row r="39" ht="15" customHeight="1">
      <c r="A39" t="inlineStr">
        <is>
          <t>A 52675-2025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45956</v>
      </c>
      <c r="E39" s="1" t="n">
        <v>46237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Motaggsvamp</t>
        </is>
      </c>
      <c r="W39">
        <f>HYPERLINK("https://klasma.github.io/Logging_2021/artfynd/A 52675-2025 artfynd.xlsx", "A 52675-2025")</f>
        <v/>
      </c>
      <c r="X39">
        <f>HYPERLINK("https://klasma.github.io/Logging_2021/kartor/A 52675-2025 karta.png", "A 52675-2025")</f>
        <v/>
      </c>
      <c r="Y39">
        <f>HYPERLINK("https://klasma.github.io/Logging_2021/kartor_geotiff/A 52675-2025 georefererad karta.tif", "A 52675-2025")</f>
        <v/>
      </c>
      <c r="AA39">
        <f>HYPERLINK("https://klasma.github.io/Logging_2021/klagomål/A 52675-2025 FSC-klagomål.docx", "A 52675-2025")</f>
        <v/>
      </c>
      <c r="AB39">
        <f>HYPERLINK("https://klasma.github.io/Logging_2021/klagomålsmail/A 52675-2025 FSC-klagomål mail.docx", "A 52675-2025")</f>
        <v/>
      </c>
      <c r="AC39">
        <f>HYPERLINK("https://klasma.github.io/Logging_2021/tillsyn/A 52675-2025 tillsynsbegäran.docx", "A 52675-2025")</f>
        <v/>
      </c>
      <c r="AD39">
        <f>HYPERLINK("https://klasma.github.io/Logging_2021/tillsynsmail/A 52675-2025 tillsynsbegäran mail.docx", "A 52675-2025")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46237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54453-2024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45617</v>
      </c>
      <c r="E41" s="1" t="n">
        <v>46237</v>
      </c>
      <c r="F41" t="inlineStr">
        <is>
          <t>DALARNAS LÄN</t>
        </is>
      </c>
      <c r="G41" t="inlineStr">
        <is>
          <t>VANSBRO</t>
        </is>
      </c>
      <c r="I41" t="n">
        <v>0.4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Skarp dropptaggsvamp</t>
        </is>
      </c>
      <c r="W41">
        <f>HYPERLINK("https://klasma.github.io/Logging_2021/artfynd/A 54453-2024 artfynd.xlsx", "A 54453-2024")</f>
        <v/>
      </c>
      <c r="X41">
        <f>HYPERLINK("https://klasma.github.io/Logging_2021/kartor/A 54453-2024 karta.png", "A 54453-2024")</f>
        <v/>
      </c>
      <c r="Y41">
        <f>HYPERLINK("https://klasma.github.io/Logging_2021/kartor_geotiff/A 54453-2024 georefererad karta.tif", "A 54453-2024")</f>
        <v/>
      </c>
      <c r="AA41">
        <f>HYPERLINK("https://klasma.github.io/Logging_2021/klagomål/A 54453-2024 FSC-klagomål.docx", "A 54453-2024")</f>
        <v/>
      </c>
      <c r="AB41">
        <f>HYPERLINK("https://klasma.github.io/Logging_2021/klagomålsmail/A 54453-2024 FSC-klagomål mail.docx", "A 54453-2024")</f>
        <v/>
      </c>
      <c r="AC41">
        <f>HYPERLINK("https://klasma.github.io/Logging_2021/tillsyn/A 54453-2024 tillsynsbegäran.docx", "A 54453-2024")</f>
        <v/>
      </c>
      <c r="AD41">
        <f>HYPERLINK("https://klasma.github.io/Logging_2021/tillsynsmail/A 54453-2024 tillsynsbegäran mail.docx", "A 54453-2024")</f>
        <v/>
      </c>
    </row>
    <row r="42" ht="15" customHeight="1">
      <c r="A42" t="inlineStr">
        <is>
          <t>A 37219-2024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46237</v>
      </c>
      <c r="F42" t="inlineStr">
        <is>
          <t>DALARNAS LÄN</t>
        </is>
      </c>
      <c r="G42" t="inlineStr">
        <is>
          <t>VANSBRO</t>
        </is>
      </c>
      <c r="I42" t="n">
        <v>5.3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Tjäder</t>
        </is>
      </c>
      <c r="W42">
        <f>HYPERLINK("https://klasma.github.io/Logging_2021/artfynd/A 37219-2024 artfynd.xlsx", "A 37219-2024")</f>
        <v/>
      </c>
      <c r="X42">
        <f>HYPERLINK("https://klasma.github.io/Logging_2021/kartor/A 37219-2024 karta.png", "A 37219-2024")</f>
        <v/>
      </c>
      <c r="Y42">
        <f>HYPERLINK("https://klasma.github.io/Logging_2021/kartor_geotiff/A 37219-2024 georefererad karta.tif", "A 37219-2024")</f>
        <v/>
      </c>
      <c r="AA42">
        <f>HYPERLINK("https://klasma.github.io/Logging_2021/klagomål/A 37219-2024 FSC-klagomål.docx", "A 37219-2024")</f>
        <v/>
      </c>
      <c r="AB42">
        <f>HYPERLINK("https://klasma.github.io/Logging_2021/klagomålsmail/A 37219-2024 FSC-klagomål mail.docx", "A 37219-2024")</f>
        <v/>
      </c>
      <c r="AC42">
        <f>HYPERLINK("https://klasma.github.io/Logging_2021/tillsyn/A 37219-2024 tillsynsbegäran.docx", "A 37219-2024")</f>
        <v/>
      </c>
      <c r="AD42">
        <f>HYPERLINK("https://klasma.github.io/Logging_2021/tillsynsmail/A 37219-2024 tillsynsbegäran mail.docx", "A 37219-2024")</f>
        <v/>
      </c>
      <c r="AE42">
        <f>HYPERLINK("https://klasma.github.io/Logging_2021/fåglar/A 37219-2024 prioriterade fågelarter.docx", "A 37219-2024")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46237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46237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46237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46237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33250-2024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45518</v>
      </c>
      <c r="E47" s="1" t="n">
        <v>46237</v>
      </c>
      <c r="F47" t="inlineStr">
        <is>
          <t>DALARNAS LÄN</t>
        </is>
      </c>
      <c r="G47" t="inlineStr">
        <is>
          <t>VANSBRO</t>
        </is>
      </c>
      <c r="I47" t="n">
        <v>6.8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Reliktbock</t>
        </is>
      </c>
      <c r="W47">
        <f>HYPERLINK("https://klasma.github.io/Logging_2021/artfynd/A 33250-2024 artfynd.xlsx", "A 33250-2024")</f>
        <v/>
      </c>
      <c r="X47">
        <f>HYPERLINK("https://klasma.github.io/Logging_2021/kartor/A 33250-2024 karta.png", "A 33250-2024")</f>
        <v/>
      </c>
      <c r="Y47">
        <f>HYPERLINK("https://klasma.github.io/Logging_2021/kartor_geotiff/A 33250-2024 georefererad karta.tif", "A 33250-2024")</f>
        <v/>
      </c>
      <c r="AA47">
        <f>HYPERLINK("https://klasma.github.io/Logging_2021/klagomål/A 33250-2024 FSC-klagomål.docx", "A 33250-2024")</f>
        <v/>
      </c>
      <c r="AB47">
        <f>HYPERLINK("https://klasma.github.io/Logging_2021/klagomålsmail/A 33250-2024 FSC-klagomål mail.docx", "A 33250-2024")</f>
        <v/>
      </c>
      <c r="AC47">
        <f>HYPERLINK("https://klasma.github.io/Logging_2021/tillsyn/A 33250-2024 tillsynsbegäran.docx", "A 33250-2024")</f>
        <v/>
      </c>
      <c r="AD47">
        <f>HYPERLINK("https://klasma.github.io/Logging_2021/tillsynsmail/A 33250-2024 tillsynsbegäran mail.docx", "A 33250-2024")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46237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46237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32917-2025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46237</v>
      </c>
      <c r="F50" t="inlineStr">
        <is>
          <t>DALARNAS LÄN</t>
        </is>
      </c>
      <c r="G50" t="inlineStr">
        <is>
          <t>VANSBRO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Garnlav</t>
        </is>
      </c>
      <c r="W50">
        <f>HYPERLINK("https://klasma.github.io/Logging_2021/artfynd/A 32917-2025 artfynd.xlsx", "A 32917-2025")</f>
        <v/>
      </c>
      <c r="X50">
        <f>HYPERLINK("https://klasma.github.io/Logging_2021/kartor/A 32917-2025 karta.png", "A 32917-2025")</f>
        <v/>
      </c>
      <c r="Y50">
        <f>HYPERLINK("https://klasma.github.io/Logging_2021/kartor_geotiff/A 32917-2025 georefererad karta.tif", "A 32917-2025")</f>
        <v/>
      </c>
      <c r="AA50">
        <f>HYPERLINK("https://klasma.github.io/Logging_2021/klagomål/A 32917-2025 FSC-klagomål.docx", "A 32917-2025")</f>
        <v/>
      </c>
      <c r="AB50">
        <f>HYPERLINK("https://klasma.github.io/Logging_2021/klagomålsmail/A 32917-2025 FSC-klagomål mail.docx", "A 32917-2025")</f>
        <v/>
      </c>
      <c r="AC50">
        <f>HYPERLINK("https://klasma.github.io/Logging_2021/tillsyn/A 32917-2025 tillsynsbegäran.docx", "A 32917-2025")</f>
        <v/>
      </c>
      <c r="AD50">
        <f>HYPERLINK("https://klasma.github.io/Logging_2021/tillsynsmail/A 32917-2025 tillsynsbegäran mail.docx", "A 32917-2025")</f>
        <v/>
      </c>
    </row>
    <row r="51" ht="15" customHeight="1">
      <c r="A51" t="inlineStr">
        <is>
          <t>A 33003-2025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45840</v>
      </c>
      <c r="E51" s="1" t="n">
        <v>46237</v>
      </c>
      <c r="F51" t="inlineStr">
        <is>
          <t>DALARNAS LÄN</t>
        </is>
      </c>
      <c r="G51" t="inlineStr">
        <is>
          <t>VANSBRO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HYPERLINK("https://klasma.github.io/Logging_2021/artfynd/A 33003-2025 artfynd.xlsx", "A 33003-2025")</f>
        <v/>
      </c>
      <c r="X51">
        <f>HYPERLINK("https://klasma.github.io/Logging_2021/kartor/A 33003-2025 karta.png", "A 33003-2025")</f>
        <v/>
      </c>
      <c r="Y51">
        <f>HYPERLINK("https://klasma.github.io/Logging_2021/kartor_geotiff/A 33003-2025 georefererad karta.tif", "A 33003-2025")</f>
        <v/>
      </c>
      <c r="Z51">
        <f>HYPERLINK("https://klasma.github.io/Logging_2021/knärot/A 33003-2025 karta knärot.png", "A 33003-2025")</f>
        <v/>
      </c>
      <c r="AA51">
        <f>HYPERLINK("https://klasma.github.io/Logging_2021/klagomål/A 33003-2025 FSC-klagomål.docx", "A 33003-2025")</f>
        <v/>
      </c>
      <c r="AB51">
        <f>HYPERLINK("https://klasma.github.io/Logging_2021/klagomålsmail/A 33003-2025 FSC-klagomål mail.docx", "A 33003-2025")</f>
        <v/>
      </c>
      <c r="AC51">
        <f>HYPERLINK("https://klasma.github.io/Logging_2021/tillsyn/A 33003-2025 tillsynsbegäran.docx", "A 33003-2025")</f>
        <v/>
      </c>
      <c r="AD51">
        <f>HYPERLINK("https://klasma.github.io/Logging_2021/tillsynsmail/A 33003-2025 tillsynsbegäran mail.docx", "A 33003-2025")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46237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46237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46237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46237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46237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46237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46237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46237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46237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46237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46237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46237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46237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46237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46237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46237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46237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46237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46237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46237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46237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46237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46237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46237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46237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46237</v>
      </c>
      <c r="F77" t="inlineStr">
        <is>
          <t>DALARNAS LÄN</t>
        </is>
      </c>
      <c r="G77" t="inlineStr">
        <is>
          <t>VANSBRO</t>
        </is>
      </c>
      <c r="H77" t="inlineStr">
        <is>
          <t>Övriga statliga verk och myndigheter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46237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46237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46237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56098-2021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44477</v>
      </c>
      <c r="E81" s="1" t="n">
        <v>46237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45457</v>
      </c>
      <c r="E82" s="1" t="n">
        <v>46237</v>
      </c>
      <c r="F82" t="inlineStr">
        <is>
          <t>DALARNAS LÄN</t>
        </is>
      </c>
      <c r="G82" t="inlineStr">
        <is>
          <t>VANSBRO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45443</v>
      </c>
      <c r="E83" s="1" t="n">
        <v>46237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46237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46237</v>
      </c>
      <c r="F85" t="inlineStr">
        <is>
          <t>DALARNAS LÄN</t>
        </is>
      </c>
      <c r="G85" t="inlineStr">
        <is>
          <t>VANSBRO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46237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46237</v>
      </c>
      <c r="F87" t="inlineStr">
        <is>
          <t>DALARNAS LÄN</t>
        </is>
      </c>
      <c r="G87" t="inlineStr">
        <is>
          <t>VANSBRO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46237</v>
      </c>
      <c r="F88" t="inlineStr">
        <is>
          <t>DALARNAS LÄN</t>
        </is>
      </c>
      <c r="G88" t="inlineStr">
        <is>
          <t>VANSBRO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44476</v>
      </c>
      <c r="E89" s="1" t="n">
        <v>46237</v>
      </c>
      <c r="F89" t="inlineStr">
        <is>
          <t>DALARNAS LÄN</t>
        </is>
      </c>
      <c r="G89" t="inlineStr">
        <is>
          <t>VANSBRO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46237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46237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46237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46237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46237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46237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46237</v>
      </c>
      <c r="F96" t="inlineStr">
        <is>
          <t>DALARNAS LÄN</t>
        </is>
      </c>
      <c r="G96" t="inlineStr">
        <is>
          <t>VANSBRO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46237</v>
      </c>
      <c r="F97" t="inlineStr">
        <is>
          <t>DALARNAS LÄN</t>
        </is>
      </c>
      <c r="G97" t="inlineStr">
        <is>
          <t>VANSBRO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46237</v>
      </c>
      <c r="F98" t="inlineStr">
        <is>
          <t>DALARNAS LÄN</t>
        </is>
      </c>
      <c r="G98" t="inlineStr">
        <is>
          <t>VANSBRO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46237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44673</v>
      </c>
      <c r="E100" s="1" t="n">
        <v>46237</v>
      </c>
      <c r="F100" t="inlineStr">
        <is>
          <t>DALARNAS LÄN</t>
        </is>
      </c>
      <c r="G100" t="inlineStr">
        <is>
          <t>VANSBRO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60848-2024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45644</v>
      </c>
      <c r="E101" s="1" t="n">
        <v>46237</v>
      </c>
      <c r="F101" t="inlineStr">
        <is>
          <t>DALARNAS LÄN</t>
        </is>
      </c>
      <c r="G101" t="inlineStr">
        <is>
          <t>VANSBRO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46237</v>
      </c>
      <c r="F102" t="inlineStr">
        <is>
          <t>DALARNAS LÄN</t>
        </is>
      </c>
      <c r="G102" t="inlineStr">
        <is>
          <t>VANSBRO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46237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46237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46237</v>
      </c>
      <c r="F105" t="inlineStr">
        <is>
          <t>DALARNAS LÄN</t>
        </is>
      </c>
      <c r="G105" t="inlineStr">
        <is>
          <t>VANSBRO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46237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46237</v>
      </c>
      <c r="F107" t="inlineStr">
        <is>
          <t>DALARNAS LÄN</t>
        </is>
      </c>
      <c r="G107" t="inlineStr">
        <is>
          <t>VANSBRO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46237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44930</v>
      </c>
      <c r="E109" s="1" t="n">
        <v>46237</v>
      </c>
      <c r="F109" t="inlineStr">
        <is>
          <t>DALARNAS LÄN</t>
        </is>
      </c>
      <c r="G109" t="inlineStr">
        <is>
          <t>VANSBRO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45491</v>
      </c>
      <c r="E110" s="1" t="n">
        <v>46237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46237</v>
      </c>
      <c r="F111" t="inlineStr">
        <is>
          <t>DALARNAS LÄN</t>
        </is>
      </c>
      <c r="G111" t="inlineStr">
        <is>
          <t>VANSBRO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46237</v>
      </c>
      <c r="F112" t="inlineStr">
        <is>
          <t>DALARNAS LÄN</t>
        </is>
      </c>
      <c r="G112" t="inlineStr">
        <is>
          <t>VANSBRO</t>
        </is>
      </c>
      <c r="H112" t="inlineStr">
        <is>
          <t>Övriga statliga verk och myndigheter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15972-2025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45749</v>
      </c>
      <c r="E113" s="1" t="n">
        <v>46237</v>
      </c>
      <c r="F113" t="inlineStr">
        <is>
          <t>DALARNAS LÄN</t>
        </is>
      </c>
      <c r="G113" t="inlineStr">
        <is>
          <t>VANSBRO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44837</v>
      </c>
      <c r="E114" s="1" t="n">
        <v>46237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46237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46237</v>
      </c>
      <c r="F116" t="inlineStr">
        <is>
          <t>DALARNAS LÄN</t>
        </is>
      </c>
      <c r="G116" t="inlineStr">
        <is>
          <t>VANSBRO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46237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46237</v>
      </c>
      <c r="F118" t="inlineStr">
        <is>
          <t>DALARNAS LÄN</t>
        </is>
      </c>
      <c r="G118" t="inlineStr">
        <is>
          <t>VANSBRO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46237</v>
      </c>
      <c r="F119" t="inlineStr">
        <is>
          <t>DALARNAS LÄN</t>
        </is>
      </c>
      <c r="G119" t="inlineStr">
        <is>
          <t>VANSBRO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46237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46237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45533</v>
      </c>
      <c r="E122" s="1" t="n">
        <v>46237</v>
      </c>
      <c r="F122" t="inlineStr">
        <is>
          <t>DALARNAS LÄN</t>
        </is>
      </c>
      <c r="G122" t="inlineStr">
        <is>
          <t>VANSBRO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46237</v>
      </c>
      <c r="F123" t="inlineStr">
        <is>
          <t>DALARNAS LÄN</t>
        </is>
      </c>
      <c r="G123" t="inlineStr">
        <is>
          <t>VANSBRO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46237</v>
      </c>
      <c r="F124" t="inlineStr">
        <is>
          <t>DALARNAS LÄN</t>
        </is>
      </c>
      <c r="G124" t="inlineStr">
        <is>
          <t>VANSBRO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45512</v>
      </c>
      <c r="E125" s="1" t="n">
        <v>46237</v>
      </c>
      <c r="F125" t="inlineStr">
        <is>
          <t>DALARNAS LÄN</t>
        </is>
      </c>
      <c r="G125" t="inlineStr">
        <is>
          <t>VANSBRO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46237</v>
      </c>
      <c r="F126" t="inlineStr">
        <is>
          <t>DALARNAS LÄN</t>
        </is>
      </c>
      <c r="G126" t="inlineStr">
        <is>
          <t>VANSBRO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46237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46237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48005-2022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46237</v>
      </c>
      <c r="F129" t="inlineStr">
        <is>
          <t>DALARNAS LÄN</t>
        </is>
      </c>
      <c r="G129" t="inlineStr">
        <is>
          <t>VANSBRO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44796</v>
      </c>
      <c r="E130" s="1" t="n">
        <v>46237</v>
      </c>
      <c r="F130" t="inlineStr">
        <is>
          <t>DALARNAS LÄN</t>
        </is>
      </c>
      <c r="G130" t="inlineStr">
        <is>
          <t>VANSBRO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46237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öst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49565-2022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44862</v>
      </c>
      <c r="E132" s="1" t="n">
        <v>46237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72635-2021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44546</v>
      </c>
      <c r="E133" s="1" t="n">
        <v>46237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46237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45689</v>
      </c>
      <c r="E135" s="1" t="n">
        <v>46237</v>
      </c>
      <c r="F135" t="inlineStr">
        <is>
          <t>DALARNAS LÄN</t>
        </is>
      </c>
      <c r="G135" t="inlineStr">
        <is>
          <t>VANSBRO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46237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46237</v>
      </c>
      <c r="F137" t="inlineStr">
        <is>
          <t>DALARNAS LÄN</t>
        </is>
      </c>
      <c r="G137" t="inlineStr">
        <is>
          <t>VANSBRO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45604</v>
      </c>
      <c r="E138" s="1" t="n">
        <v>46237</v>
      </c>
      <c r="F138" t="inlineStr">
        <is>
          <t>DALARNAS LÄN</t>
        </is>
      </c>
      <c r="G138" t="inlineStr">
        <is>
          <t>VANSBRO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46237</v>
      </c>
      <c r="F139" t="inlineStr">
        <is>
          <t>DALARNAS LÄN</t>
        </is>
      </c>
      <c r="G139" t="inlineStr">
        <is>
          <t>VANSBRO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46237</v>
      </c>
      <c r="F140" t="inlineStr">
        <is>
          <t>DALARNAS LÄN</t>
        </is>
      </c>
      <c r="G140" t="inlineStr">
        <is>
          <t>VANSBRO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45214</v>
      </c>
      <c r="E141" s="1" t="n">
        <v>46237</v>
      </c>
      <c r="F141" t="inlineStr">
        <is>
          <t>DALARNAS LÄN</t>
        </is>
      </c>
      <c r="G141" t="inlineStr">
        <is>
          <t>VANSBRO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46237</v>
      </c>
      <c r="F142" t="inlineStr">
        <is>
          <t>DALARNAS LÄN</t>
        </is>
      </c>
      <c r="G142" t="inlineStr">
        <is>
          <t>VANSBRO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46237</v>
      </c>
      <c r="F143" t="inlineStr">
        <is>
          <t>DALARNAS LÄN</t>
        </is>
      </c>
      <c r="G143" t="inlineStr">
        <is>
          <t>VANSBRO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45498</v>
      </c>
      <c r="E144" s="1" t="n">
        <v>46237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46237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46237</v>
      </c>
      <c r="F146" t="inlineStr">
        <is>
          <t>DALARNAS LÄN</t>
        </is>
      </c>
      <c r="G146" t="inlineStr">
        <is>
          <t>VANSBRO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45082</v>
      </c>
      <c r="E147" s="1" t="n">
        <v>46237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46237</v>
      </c>
      <c r="F148" t="inlineStr">
        <is>
          <t>DALARNAS LÄN</t>
        </is>
      </c>
      <c r="G148" t="inlineStr">
        <is>
          <t>VANSBRO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46237</v>
      </c>
      <c r="F149" t="inlineStr">
        <is>
          <t>DALARNAS LÄN</t>
        </is>
      </c>
      <c r="G149" t="inlineStr">
        <is>
          <t>VANSBRO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20931-2022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44701</v>
      </c>
      <c r="E150" s="1" t="n">
        <v>46237</v>
      </c>
      <c r="F150" t="inlineStr">
        <is>
          <t>DALARNAS LÄN</t>
        </is>
      </c>
      <c r="G150" t="inlineStr">
        <is>
          <t>VANSBRO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45184</v>
      </c>
      <c r="E151" s="1" t="n">
        <v>46237</v>
      </c>
      <c r="F151" t="inlineStr">
        <is>
          <t>DALARNAS LÄN</t>
        </is>
      </c>
      <c r="G151" t="inlineStr">
        <is>
          <t>VANSBRO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46237</v>
      </c>
      <c r="F152" t="inlineStr">
        <is>
          <t>DALARNAS LÄN</t>
        </is>
      </c>
      <c r="G152" t="inlineStr">
        <is>
          <t>VANSBRO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46237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46237</v>
      </c>
      <c r="F154" t="inlineStr">
        <is>
          <t>DALARNAS LÄN</t>
        </is>
      </c>
      <c r="G154" t="inlineStr">
        <is>
          <t>VANSBRO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46237</v>
      </c>
      <c r="F155" t="inlineStr">
        <is>
          <t>DALARNAS LÄN</t>
        </is>
      </c>
      <c r="G155" t="inlineStr">
        <is>
          <t>VANSBRO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46237</v>
      </c>
      <c r="F156" t="inlineStr">
        <is>
          <t>DALARNAS LÄN</t>
        </is>
      </c>
      <c r="G156" t="inlineStr">
        <is>
          <t>VANSBRO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46237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46237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46237</v>
      </c>
      <c r="F159" t="inlineStr">
        <is>
          <t>DALARNAS LÄN</t>
        </is>
      </c>
      <c r="G159" t="inlineStr">
        <is>
          <t>VANSBRO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46237</v>
      </c>
      <c r="F160" t="inlineStr">
        <is>
          <t>DALARNAS LÄN</t>
        </is>
      </c>
      <c r="G160" t="inlineStr">
        <is>
          <t>VANSBRO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46237</v>
      </c>
      <c r="F161" t="inlineStr">
        <is>
          <t>DALARNAS LÄN</t>
        </is>
      </c>
      <c r="G161" t="inlineStr">
        <is>
          <t>VANSBRO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46237</v>
      </c>
      <c r="F162" t="inlineStr">
        <is>
          <t>DALARNAS LÄN</t>
        </is>
      </c>
      <c r="G162" t="inlineStr">
        <is>
          <t>VANSBRO</t>
        </is>
      </c>
      <c r="I162" t="n">
        <v>15.8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46237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öst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45601</v>
      </c>
      <c r="E164" s="1" t="n">
        <v>46237</v>
      </c>
      <c r="F164" t="inlineStr">
        <is>
          <t>DALARNAS LÄN</t>
        </is>
      </c>
      <c r="G164" t="inlineStr">
        <is>
          <t>VANSBRO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46237</v>
      </c>
      <c r="F165" t="inlineStr">
        <is>
          <t>DALARNAS LÄN</t>
        </is>
      </c>
      <c r="G165" t="inlineStr">
        <is>
          <t>VANSBRO</t>
        </is>
      </c>
      <c r="H165" t="inlineStr">
        <is>
          <t>Övriga statliga verk och myndigheter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45933</v>
      </c>
      <c r="E166" s="1" t="n">
        <v>46237</v>
      </c>
      <c r="F166" t="inlineStr">
        <is>
          <t>DALARNAS LÄN</t>
        </is>
      </c>
      <c r="G166" t="inlineStr">
        <is>
          <t>VANSBRO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46237</v>
      </c>
      <c r="F167" t="inlineStr">
        <is>
          <t>DALARNAS LÄN</t>
        </is>
      </c>
      <c r="G167" t="inlineStr">
        <is>
          <t>VANSBRO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48840-2025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45937</v>
      </c>
      <c r="E168" s="1" t="n">
        <v>46237</v>
      </c>
      <c r="F168" t="inlineStr">
        <is>
          <t>DALARNAS LÄN</t>
        </is>
      </c>
      <c r="G168" t="inlineStr">
        <is>
          <t>VANSBRO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46237</v>
      </c>
      <c r="F169" t="inlineStr">
        <is>
          <t>DALARNAS LÄN</t>
        </is>
      </c>
      <c r="G169" t="inlineStr">
        <is>
          <t>VANSBRO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46237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46237</v>
      </c>
      <c r="F171" t="inlineStr">
        <is>
          <t>DALARNAS LÄN</t>
        </is>
      </c>
      <c r="G171" t="inlineStr">
        <is>
          <t>VANSBRO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46237</v>
      </c>
      <c r="F172" t="inlineStr">
        <is>
          <t>DALARNAS LÄN</t>
        </is>
      </c>
      <c r="G172" t="inlineStr">
        <is>
          <t>VANSBRO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46237</v>
      </c>
      <c r="F173" t="inlineStr">
        <is>
          <t>DALARNAS LÄN</t>
        </is>
      </c>
      <c r="G173" t="inlineStr">
        <is>
          <t>VANSBRO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46237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46237</v>
      </c>
      <c r="F175" t="inlineStr">
        <is>
          <t>DALARNAS LÄN</t>
        </is>
      </c>
      <c r="G175" t="inlineStr">
        <is>
          <t>VANSBRO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46237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öst AB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51396-2022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44869</v>
      </c>
      <c r="E177" s="1" t="n">
        <v>46237</v>
      </c>
      <c r="F177" t="inlineStr">
        <is>
          <t>DALARNAS LÄN</t>
        </is>
      </c>
      <c r="G177" t="inlineStr">
        <is>
          <t>VANSBRO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46237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46237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45689</v>
      </c>
      <c r="E180" s="1" t="n">
        <v>46237</v>
      </c>
      <c r="F180" t="inlineStr">
        <is>
          <t>DALARNAS LÄN</t>
        </is>
      </c>
      <c r="G180" t="inlineStr">
        <is>
          <t>VANSBRO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46237</v>
      </c>
      <c r="F181" t="inlineStr">
        <is>
          <t>DALARNAS LÄN</t>
        </is>
      </c>
      <c r="G181" t="inlineStr">
        <is>
          <t>VANSBRO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46237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46237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46237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7864-2024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45350</v>
      </c>
      <c r="E185" s="1" t="n">
        <v>46237</v>
      </c>
      <c r="F185" t="inlineStr">
        <is>
          <t>DALARNAS LÄN</t>
        </is>
      </c>
      <c r="G185" t="inlineStr">
        <is>
          <t>VANSBRO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46237</v>
      </c>
      <c r="F186" t="inlineStr">
        <is>
          <t>DALARNAS LÄN</t>
        </is>
      </c>
      <c r="G186" t="inlineStr">
        <is>
          <t>VANSBRO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22384-2026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46237</v>
      </c>
      <c r="F187" t="inlineStr">
        <is>
          <t>DALARNAS LÄN</t>
        </is>
      </c>
      <c r="G187" t="inlineStr">
        <is>
          <t>VANSBRO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46237</v>
      </c>
      <c r="F188" t="inlineStr">
        <is>
          <t>DALARNAS LÄN</t>
        </is>
      </c>
      <c r="G188" t="inlineStr">
        <is>
          <t>VANSBRO</t>
        </is>
      </c>
      <c r="H188" t="inlineStr">
        <is>
          <t>Övriga statliga verk och myndigheter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44931</v>
      </c>
      <c r="E189" s="1" t="n">
        <v>46237</v>
      </c>
      <c r="F189" t="inlineStr">
        <is>
          <t>DALARNAS LÄN</t>
        </is>
      </c>
      <c r="G189" t="inlineStr">
        <is>
          <t>VANSBRO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46237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46237</v>
      </c>
      <c r="F191" t="inlineStr">
        <is>
          <t>DALARNAS LÄN</t>
        </is>
      </c>
      <c r="G191" t="inlineStr">
        <is>
          <t>VANSBRO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46237</v>
      </c>
      <c r="F192" t="inlineStr">
        <is>
          <t>DALARNAS LÄN</t>
        </is>
      </c>
      <c r="G192" t="inlineStr">
        <is>
          <t>VANSBRO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46237</v>
      </c>
      <c r="F193" t="inlineStr">
        <is>
          <t>DALARNAS LÄN</t>
        </is>
      </c>
      <c r="G193" t="inlineStr">
        <is>
          <t>VANSBRO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46195</v>
      </c>
      <c r="E194" s="1" t="n">
        <v>46237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10.7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46237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46237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46237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45614</v>
      </c>
      <c r="E198" s="1" t="n">
        <v>46237</v>
      </c>
      <c r="F198" t="inlineStr">
        <is>
          <t>DALARNAS LÄN</t>
        </is>
      </c>
      <c r="G198" t="inlineStr">
        <is>
          <t>VANSBRO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46237</v>
      </c>
      <c r="F199" t="inlineStr">
        <is>
          <t>DALARNAS LÄN</t>
        </is>
      </c>
      <c r="G199" t="inlineStr">
        <is>
          <t>VANSBRO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46237</v>
      </c>
      <c r="F200" t="inlineStr">
        <is>
          <t>DALARNAS LÄN</t>
        </is>
      </c>
      <c r="G200" t="inlineStr">
        <is>
          <t>VANSBRO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46237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46237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46237</v>
      </c>
      <c r="F203" t="inlineStr">
        <is>
          <t>DALARNAS LÄN</t>
        </is>
      </c>
      <c r="G203" t="inlineStr">
        <is>
          <t>VANSBRO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46237</v>
      </c>
      <c r="F204" t="inlineStr">
        <is>
          <t>DALARNAS LÄN</t>
        </is>
      </c>
      <c r="G204" t="inlineStr">
        <is>
          <t>VANSBRO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46237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46237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46237</v>
      </c>
      <c r="F207" t="inlineStr">
        <is>
          <t>DALARNAS LÄN</t>
        </is>
      </c>
      <c r="G207" t="inlineStr">
        <is>
          <t>VANSBRO</t>
        </is>
      </c>
      <c r="H207" t="inlineStr">
        <is>
          <t>Övriga statliga verk och myndigheter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46197</v>
      </c>
      <c r="E208" s="1" t="n">
        <v>46237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46237</v>
      </c>
      <c r="F209" t="inlineStr">
        <is>
          <t>DALARNAS LÄN</t>
        </is>
      </c>
      <c r="G209" t="inlineStr">
        <is>
          <t>VANSBRO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46237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46237</v>
      </c>
      <c r="F211" t="inlineStr">
        <is>
          <t>DALARNAS LÄN</t>
        </is>
      </c>
      <c r="G211" t="inlineStr">
        <is>
          <t>VANSBRO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45691</v>
      </c>
      <c r="E212" s="1" t="n">
        <v>46237</v>
      </c>
      <c r="F212" t="inlineStr">
        <is>
          <t>DALARNAS LÄN</t>
        </is>
      </c>
      <c r="G212" t="inlineStr">
        <is>
          <t>VANSBRO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4680-2023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44957</v>
      </c>
      <c r="E213" s="1" t="n">
        <v>46237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46237</v>
      </c>
      <c r="F214" t="inlineStr">
        <is>
          <t>DALARNAS LÄN</t>
        </is>
      </c>
      <c r="G214" t="inlineStr">
        <is>
          <t>VANSBRO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46237</v>
      </c>
      <c r="F215" t="inlineStr">
        <is>
          <t>DALARNAS LÄN</t>
        </is>
      </c>
      <c r="G215" t="inlineStr">
        <is>
          <t>VANSBRO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46237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45530</v>
      </c>
      <c r="E217" s="1" t="n">
        <v>46237</v>
      </c>
      <c r="F217" t="inlineStr">
        <is>
          <t>DALARNAS LÄN</t>
        </is>
      </c>
      <c r="G217" t="inlineStr">
        <is>
          <t>VANSBRO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46237</v>
      </c>
      <c r="F218" t="inlineStr">
        <is>
          <t>DALARNAS LÄN</t>
        </is>
      </c>
      <c r="G218" t="inlineStr">
        <is>
          <t>VANSBRO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46237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46237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46237</v>
      </c>
      <c r="F221" t="inlineStr">
        <is>
          <t>DALARNAS LÄN</t>
        </is>
      </c>
      <c r="G221" t="inlineStr">
        <is>
          <t>VANSBRO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46237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46161</v>
      </c>
      <c r="E223" s="1" t="n">
        <v>46237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46161</v>
      </c>
      <c r="E224" s="1" t="n">
        <v>46237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46237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46204</v>
      </c>
      <c r="E226" s="1" t="n">
        <v>46237</v>
      </c>
      <c r="F226" t="inlineStr">
        <is>
          <t>DALARNAS LÄN</t>
        </is>
      </c>
      <c r="G226" t="inlineStr">
        <is>
          <t>VANSBRO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46204</v>
      </c>
      <c r="E227" s="1" t="n">
        <v>46237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öst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46237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46237</v>
      </c>
      <c r="F229" t="inlineStr">
        <is>
          <t>DALARNAS LÄN</t>
        </is>
      </c>
      <c r="G229" t="inlineStr">
        <is>
          <t>VANSBRO</t>
        </is>
      </c>
      <c r="H229" t="inlineStr">
        <is>
          <t>Kommuner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29442-2026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46237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45981</v>
      </c>
      <c r="E231" s="1" t="n">
        <v>46237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45689</v>
      </c>
      <c r="E232" s="1" t="n">
        <v>46237</v>
      </c>
      <c r="F232" t="inlineStr">
        <is>
          <t>DALARNAS LÄN</t>
        </is>
      </c>
      <c r="G232" t="inlineStr">
        <is>
          <t>VANSBRO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45689</v>
      </c>
      <c r="E233" s="1" t="n">
        <v>46237</v>
      </c>
      <c r="F233" t="inlineStr">
        <is>
          <t>DALARNAS LÄN</t>
        </is>
      </c>
      <c r="G233" t="inlineStr">
        <is>
          <t>VANSBRO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46237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46237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46204</v>
      </c>
      <c r="E236" s="1" t="n">
        <v>46237</v>
      </c>
      <c r="F236" t="inlineStr">
        <is>
          <t>DALARNAS LÄN</t>
        </is>
      </c>
      <c r="G236" t="inlineStr">
        <is>
          <t>VANSBRO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5386-2024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45331</v>
      </c>
      <c r="E237" s="1" t="n">
        <v>46237</v>
      </c>
      <c r="F237" t="inlineStr">
        <is>
          <t>DALARNAS LÄN</t>
        </is>
      </c>
      <c r="G237" t="inlineStr">
        <is>
          <t>VANSBRO</t>
        </is>
      </c>
      <c r="I237" t="n">
        <v>11.4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45987</v>
      </c>
      <c r="E238" s="1" t="n">
        <v>46237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48111-2024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45589</v>
      </c>
      <c r="E239" s="1" t="n">
        <v>46237</v>
      </c>
      <c r="F239" t="inlineStr">
        <is>
          <t>DALARNAS LÄN</t>
        </is>
      </c>
      <c r="G239" t="inlineStr">
        <is>
          <t>VANSBRO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44972</v>
      </c>
      <c r="E240" s="1" t="n">
        <v>46237</v>
      </c>
      <c r="F240" t="inlineStr">
        <is>
          <t>DALARNAS LÄN</t>
        </is>
      </c>
      <c r="G240" t="inlineStr">
        <is>
          <t>VANSBRO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46237</v>
      </c>
      <c r="F241" t="inlineStr">
        <is>
          <t>DALARNAS LÄN</t>
        </is>
      </c>
      <c r="G241" t="inlineStr">
        <is>
          <t>VANSBRO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23752-2026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46237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46237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46165-2021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44442</v>
      </c>
      <c r="E244" s="1" t="n">
        <v>46237</v>
      </c>
      <c r="F244" t="inlineStr">
        <is>
          <t>DALARNAS LÄN</t>
        </is>
      </c>
      <c r="G244" t="inlineStr">
        <is>
          <t>VANSBRO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46237</v>
      </c>
      <c r="F245" t="inlineStr">
        <is>
          <t>DALARNAS LÄN</t>
        </is>
      </c>
      <c r="G245" t="inlineStr">
        <is>
          <t>VANSBRO</t>
        </is>
      </c>
      <c r="I245" t="n">
        <v>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46237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46237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46237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46237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46237</v>
      </c>
      <c r="F250" t="inlineStr">
        <is>
          <t>DALARNAS LÄN</t>
        </is>
      </c>
      <c r="G250" t="inlineStr">
        <is>
          <t>VANSBRO</t>
        </is>
      </c>
      <c r="H250" t="inlineStr">
        <is>
          <t>Övriga statliga verk och myndigheter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46212</v>
      </c>
      <c r="E251" s="1" t="n">
        <v>46237</v>
      </c>
      <c r="F251" t="inlineStr">
        <is>
          <t>DALARNAS LÄN</t>
        </is>
      </c>
      <c r="G251" t="inlineStr">
        <is>
          <t>VANSBRO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45141</v>
      </c>
      <c r="E252" s="1" t="n">
        <v>46237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45169</v>
      </c>
      <c r="E253" s="1" t="n">
        <v>46237</v>
      </c>
      <c r="F253" t="inlineStr">
        <is>
          <t>DALARNAS LÄN</t>
        </is>
      </c>
      <c r="G253" t="inlineStr">
        <is>
          <t>VANSBRO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46212</v>
      </c>
      <c r="E254" s="1" t="n">
        <v>46237</v>
      </c>
      <c r="F254" t="inlineStr">
        <is>
          <t>DALARNAS LÄN</t>
        </is>
      </c>
      <c r="G254" t="inlineStr">
        <is>
          <t>VANSBRO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46237</v>
      </c>
      <c r="F255" t="inlineStr">
        <is>
          <t>DALARNAS LÄN</t>
        </is>
      </c>
      <c r="G255" t="inlineStr">
        <is>
          <t>VANSBRO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46237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44791</v>
      </c>
      <c r="E257" s="1" t="n">
        <v>46237</v>
      </c>
      <c r="F257" t="inlineStr">
        <is>
          <t>DALARNAS LÄN</t>
        </is>
      </c>
      <c r="G257" t="inlineStr">
        <is>
          <t>VANSBRO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45296</v>
      </c>
      <c r="E258" s="1" t="n">
        <v>46237</v>
      </c>
      <c r="F258" t="inlineStr">
        <is>
          <t>DALARNAS LÄN</t>
        </is>
      </c>
      <c r="G258" t="inlineStr">
        <is>
          <t>VANSBRO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8447-2022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44612</v>
      </c>
      <c r="E259" s="1" t="n">
        <v>46237</v>
      </c>
      <c r="F259" t="inlineStr">
        <is>
          <t>DALARNAS LÄN</t>
        </is>
      </c>
      <c r="G259" t="inlineStr">
        <is>
          <t>VANSBRO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44960</v>
      </c>
      <c r="E260" s="1" t="n">
        <v>46237</v>
      </c>
      <c r="F260" t="inlineStr">
        <is>
          <t>DALARNAS LÄN</t>
        </is>
      </c>
      <c r="G260" t="inlineStr">
        <is>
          <t>VANSBRO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35365-2022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46237</v>
      </c>
      <c r="F261" t="inlineStr">
        <is>
          <t>DALARNAS LÄN</t>
        </is>
      </c>
      <c r="G261" t="inlineStr">
        <is>
          <t>VANSBRO</t>
        </is>
      </c>
      <c r="H261" t="inlineStr">
        <is>
          <t>Kommuner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46237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öst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46237</v>
      </c>
      <c r="F263" t="inlineStr">
        <is>
          <t>DALARNAS LÄN</t>
        </is>
      </c>
      <c r="G263" t="inlineStr">
        <is>
          <t>VANSBRO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29174-2026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46202</v>
      </c>
      <c r="E264" s="1" t="n">
        <v>46237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60031-2022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44909</v>
      </c>
      <c r="E265" s="1" t="n">
        <v>46237</v>
      </c>
      <c r="F265" t="inlineStr">
        <is>
          <t>DALARNAS LÄN</t>
        </is>
      </c>
      <c r="G265" t="inlineStr">
        <is>
          <t>VANSBRO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45247</v>
      </c>
      <c r="E266" s="1" t="n">
        <v>46237</v>
      </c>
      <c r="F266" t="inlineStr">
        <is>
          <t>DALARNAS LÄN</t>
        </is>
      </c>
      <c r="G266" t="inlineStr">
        <is>
          <t>VANSBRO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46237</v>
      </c>
      <c r="F267" t="inlineStr">
        <is>
          <t>DALARNAS LÄN</t>
        </is>
      </c>
      <c r="G267" t="inlineStr">
        <is>
          <t>VANSBRO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46033</v>
      </c>
      <c r="E268" s="1" t="n">
        <v>46237</v>
      </c>
      <c r="F268" t="inlineStr">
        <is>
          <t>DALARNAS LÄN</t>
        </is>
      </c>
      <c r="G268" t="inlineStr">
        <is>
          <t>VANSBRO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46237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46237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35299-2024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45530</v>
      </c>
      <c r="E271" s="1" t="n">
        <v>46237</v>
      </c>
      <c r="F271" t="inlineStr">
        <is>
          <t>DALARNAS LÄN</t>
        </is>
      </c>
      <c r="G271" t="inlineStr">
        <is>
          <t>VANSBRO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46237</v>
      </c>
      <c r="F272" t="inlineStr">
        <is>
          <t>DALARNAS LÄN</t>
        </is>
      </c>
      <c r="G272" t="inlineStr">
        <is>
          <t>VANSBRO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46237</v>
      </c>
      <c r="F273" t="inlineStr">
        <is>
          <t>DALARNAS LÄN</t>
        </is>
      </c>
      <c r="G273" t="inlineStr">
        <is>
          <t>VANSBRO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46237</v>
      </c>
      <c r="F274" t="inlineStr">
        <is>
          <t>DALARNAS LÄN</t>
        </is>
      </c>
      <c r="G274" t="inlineStr">
        <is>
          <t>VANSBRO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13062-2023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45002</v>
      </c>
      <c r="E275" s="1" t="n">
        <v>46237</v>
      </c>
      <c r="F275" t="inlineStr">
        <is>
          <t>DALARNAS LÄN</t>
        </is>
      </c>
      <c r="G275" t="inlineStr">
        <is>
          <t>VANSBRO</t>
        </is>
      </c>
      <c r="H275" t="inlineStr">
        <is>
          <t>Övriga statliga verk och myndigheter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44925</v>
      </c>
      <c r="E276" s="1" t="n">
        <v>46237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46237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46237</v>
      </c>
      <c r="F278" t="inlineStr">
        <is>
          <t>DALARNAS LÄN</t>
        </is>
      </c>
      <c r="G278" t="inlineStr">
        <is>
          <t>VANSBRO</t>
        </is>
      </c>
      <c r="I278" t="n">
        <v>15.5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46237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46237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46237</v>
      </c>
      <c r="F281" t="inlineStr">
        <is>
          <t>DALARNAS LÄN</t>
        </is>
      </c>
      <c r="G281" t="inlineStr">
        <is>
          <t>VANSBRO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46237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45471</v>
      </c>
      <c r="E283" s="1" t="n">
        <v>46237</v>
      </c>
      <c r="F283" t="inlineStr">
        <is>
          <t>DALARNAS LÄN</t>
        </is>
      </c>
      <c r="G283" t="inlineStr">
        <is>
          <t>VANSBRO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46237</v>
      </c>
      <c r="F284" t="inlineStr">
        <is>
          <t>DALARNAS LÄN</t>
        </is>
      </c>
      <c r="G284" t="inlineStr">
        <is>
          <t>VANSBRO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46049</v>
      </c>
      <c r="E285" s="1" t="n">
        <v>46237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46237</v>
      </c>
      <c r="F286" t="inlineStr">
        <is>
          <t>DALARNAS LÄN</t>
        </is>
      </c>
      <c r="G286" t="inlineStr">
        <is>
          <t>VANSBRO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46237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46237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44469</v>
      </c>
      <c r="E289" s="1" t="n">
        <v>46237</v>
      </c>
      <c r="F289" t="inlineStr">
        <is>
          <t>DALARNAS LÄN</t>
        </is>
      </c>
      <c r="G289" t="inlineStr">
        <is>
          <t>VANSBRO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45519</v>
      </c>
      <c r="E290" s="1" t="n">
        <v>46237</v>
      </c>
      <c r="F290" t="inlineStr">
        <is>
          <t>DALARNAS LÄN</t>
        </is>
      </c>
      <c r="G290" t="inlineStr">
        <is>
          <t>VANSBRO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46052</v>
      </c>
      <c r="E291" s="1" t="n">
        <v>46237</v>
      </c>
      <c r="F291" t="inlineStr">
        <is>
          <t>DALARNAS LÄN</t>
        </is>
      </c>
      <c r="G291" t="inlineStr">
        <is>
          <t>VANSBRO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46051</v>
      </c>
      <c r="E292" s="1" t="n">
        <v>46237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46237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46237</v>
      </c>
      <c r="F294" t="inlineStr">
        <is>
          <t>DALARNAS LÄN</t>
        </is>
      </c>
      <c r="G294" t="inlineStr">
        <is>
          <t>VANSBRO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46237</v>
      </c>
      <c r="F295" t="inlineStr">
        <is>
          <t>DALARNAS LÄN</t>
        </is>
      </c>
      <c r="G295" t="inlineStr">
        <is>
          <t>VANSBRO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46057</v>
      </c>
      <c r="E296" s="1" t="n">
        <v>46237</v>
      </c>
      <c r="F296" t="inlineStr">
        <is>
          <t>DALARNAS LÄN</t>
        </is>
      </c>
      <c r="G296" t="inlineStr">
        <is>
          <t>VANSBRO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46237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46237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46062</v>
      </c>
      <c r="E299" s="1" t="n">
        <v>46237</v>
      </c>
      <c r="F299" t="inlineStr">
        <is>
          <t>DALARNAS LÄN</t>
        </is>
      </c>
      <c r="G299" t="inlineStr">
        <is>
          <t>VANSBRO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46237</v>
      </c>
      <c r="F300" t="inlineStr">
        <is>
          <t>DALARNAS LÄN</t>
        </is>
      </c>
      <c r="G300" t="inlineStr">
        <is>
          <t>VANSBRO</t>
        </is>
      </c>
      <c r="I300" t="n">
        <v>15.1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46237</v>
      </c>
      <c r="F301" t="inlineStr">
        <is>
          <t>DALARNAS LÄN</t>
        </is>
      </c>
      <c r="G301" t="inlineStr">
        <is>
          <t>VANSBRO</t>
        </is>
      </c>
      <c r="H301" t="inlineStr">
        <is>
          <t>Övriga statliga verk och myndigheter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62398-2021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44503</v>
      </c>
      <c r="E302" s="1" t="n">
        <v>46237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22.1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46237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46237</v>
      </c>
      <c r="F304" t="inlineStr">
        <is>
          <t>DALARNAS LÄN</t>
        </is>
      </c>
      <c r="G304" t="inlineStr">
        <is>
          <t>VANSBRO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46231</v>
      </c>
      <c r="E305" s="1" t="n">
        <v>46237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20.2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46237</v>
      </c>
      <c r="F306" t="inlineStr">
        <is>
          <t>DALARNAS LÄN</t>
        </is>
      </c>
      <c r="G306" t="inlineStr">
        <is>
          <t>VANSBRO</t>
        </is>
      </c>
      <c r="H306" t="inlineStr">
        <is>
          <t>Övriga statliga verk och myndigheter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46237</v>
      </c>
      <c r="F307" t="inlineStr">
        <is>
          <t>DALARNAS LÄN</t>
        </is>
      </c>
      <c r="G307" t="inlineStr">
        <is>
          <t>VANSBRO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46237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45666</v>
      </c>
      <c r="E309" s="1" t="n">
        <v>46237</v>
      </c>
      <c r="F309" t="inlineStr">
        <is>
          <t>DALARNAS LÄN</t>
        </is>
      </c>
      <c r="G309" t="inlineStr">
        <is>
          <t>VANSBRO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45639</v>
      </c>
      <c r="E310" s="1" t="n">
        <v>46237</v>
      </c>
      <c r="F310" t="inlineStr">
        <is>
          <t>DALARNAS LÄN</t>
        </is>
      </c>
      <c r="G310" t="inlineStr">
        <is>
          <t>VANSBRO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46237</v>
      </c>
      <c r="F311" t="inlineStr">
        <is>
          <t>DALARNAS LÄN</t>
        </is>
      </c>
      <c r="G311" t="inlineStr">
        <is>
          <t>VANSBRO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45240</v>
      </c>
      <c r="E312" s="1" t="n">
        <v>46237</v>
      </c>
      <c r="F312" t="inlineStr">
        <is>
          <t>DALARNAS LÄN</t>
        </is>
      </c>
      <c r="G312" t="inlineStr">
        <is>
          <t>VANSBRO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46021</v>
      </c>
      <c r="E313" s="1" t="n">
        <v>46237</v>
      </c>
      <c r="F313" t="inlineStr">
        <is>
          <t>DALARNAS LÄN</t>
        </is>
      </c>
      <c r="G313" t="inlineStr">
        <is>
          <t>VANSBRO</t>
        </is>
      </c>
      <c r="I313" t="n">
        <v>19.1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45673</v>
      </c>
      <c r="E314" s="1" t="n">
        <v>46237</v>
      </c>
      <c r="F314" t="inlineStr">
        <is>
          <t>DALARNAS LÄN</t>
        </is>
      </c>
      <c r="G314" t="inlineStr">
        <is>
          <t>VANSBRO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46237</v>
      </c>
      <c r="F315" t="inlineStr">
        <is>
          <t>DALARNAS LÄN</t>
        </is>
      </c>
      <c r="G315" t="inlineStr">
        <is>
          <t>VANSBRO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46237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46237</v>
      </c>
      <c r="F317" t="inlineStr">
        <is>
          <t>DALARNAS LÄN</t>
        </is>
      </c>
      <c r="G317" t="inlineStr">
        <is>
          <t>VANSBRO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46237</v>
      </c>
      <c r="F318" t="inlineStr">
        <is>
          <t>DALARNAS LÄN</t>
        </is>
      </c>
      <c r="G318" t="inlineStr">
        <is>
          <t>VANSBRO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46237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5420-2024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45331</v>
      </c>
      <c r="E320" s="1" t="n">
        <v>46237</v>
      </c>
      <c r="F320" t="inlineStr">
        <is>
          <t>DALARNAS LÄN</t>
        </is>
      </c>
      <c r="G320" t="inlineStr">
        <is>
          <t>VANSBRO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46237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46237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46237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46237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45600</v>
      </c>
      <c r="E325" s="1" t="n">
        <v>46237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45.8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46237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46237</v>
      </c>
      <c r="F327" t="inlineStr">
        <is>
          <t>DALARNAS LÄN</t>
        </is>
      </c>
      <c r="G327" t="inlineStr">
        <is>
          <t>VANSBRO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46082</v>
      </c>
      <c r="E328" s="1" t="n">
        <v>46237</v>
      </c>
      <c r="F328" t="inlineStr">
        <is>
          <t>DALARNAS LÄN</t>
        </is>
      </c>
      <c r="G328" t="inlineStr">
        <is>
          <t>VANSBRO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46237</v>
      </c>
      <c r="F329" t="inlineStr">
        <is>
          <t>DALARNAS LÄN</t>
        </is>
      </c>
      <c r="G329" t="inlineStr">
        <is>
          <t>VANSBRO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46082</v>
      </c>
      <c r="E330" s="1" t="n">
        <v>46237</v>
      </c>
      <c r="F330" t="inlineStr">
        <is>
          <t>DALARNAS LÄN</t>
        </is>
      </c>
      <c r="G330" t="inlineStr">
        <is>
          <t>VANSBRO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45078</v>
      </c>
      <c r="E331" s="1" t="n">
        <v>46237</v>
      </c>
      <c r="F331" t="inlineStr">
        <is>
          <t>DALARNAS LÄN</t>
        </is>
      </c>
      <c r="G331" t="inlineStr">
        <is>
          <t>VANSBRO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46237</v>
      </c>
      <c r="F332" t="inlineStr">
        <is>
          <t>DALARNAS LÄN</t>
        </is>
      </c>
      <c r="G332" t="inlineStr">
        <is>
          <t>VANSBRO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46237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11485-2024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45372</v>
      </c>
      <c r="E334" s="1" t="n">
        <v>46237</v>
      </c>
      <c r="F334" t="inlineStr">
        <is>
          <t>DALARNAS LÄN</t>
        </is>
      </c>
      <c r="G334" t="inlineStr">
        <is>
          <t>VANSBRO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36855-2022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44805</v>
      </c>
      <c r="E335" s="1" t="n">
        <v>46237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46237</v>
      </c>
      <c r="F336" t="inlineStr">
        <is>
          <t>DALARNAS LÄN</t>
        </is>
      </c>
      <c r="G336" t="inlineStr">
        <is>
          <t>VANSBRO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45608-2023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45194</v>
      </c>
      <c r="E337" s="1" t="n">
        <v>46237</v>
      </c>
      <c r="F337" t="inlineStr">
        <is>
          <t>DALARNAS LÄN</t>
        </is>
      </c>
      <c r="G337" t="inlineStr">
        <is>
          <t>VANSBRO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2086-2024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45309</v>
      </c>
      <c r="E338" s="1" t="n">
        <v>46237</v>
      </c>
      <c r="F338" t="inlineStr">
        <is>
          <t>DALARNAS LÄN</t>
        </is>
      </c>
      <c r="G338" t="inlineStr">
        <is>
          <t>VANSBRO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45764</v>
      </c>
      <c r="E339" s="1" t="n">
        <v>46237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13639-2022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44648</v>
      </c>
      <c r="E340" s="1" t="n">
        <v>46237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13392-2026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46237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45665</v>
      </c>
      <c r="E342" s="1" t="n">
        <v>46237</v>
      </c>
      <c r="F342" t="inlineStr">
        <is>
          <t>DALARNAS LÄN</t>
        </is>
      </c>
      <c r="G342" t="inlineStr">
        <is>
          <t>VANSBRO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46237</v>
      </c>
      <c r="F343" t="inlineStr">
        <is>
          <t>DALARNAS LÄN</t>
        </is>
      </c>
      <c r="G343" t="inlineStr">
        <is>
          <t>VANSBRO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46237</v>
      </c>
      <c r="F344" t="inlineStr">
        <is>
          <t>DALARNAS LÄN</t>
        </is>
      </c>
      <c r="G344" t="inlineStr">
        <is>
          <t>VANSBRO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45762</v>
      </c>
      <c r="E345" s="1" t="n">
        <v>46237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46237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46237</v>
      </c>
      <c r="F347" t="inlineStr">
        <is>
          <t>DALARNAS LÄN</t>
        </is>
      </c>
      <c r="G347" t="inlineStr">
        <is>
          <t>VANSBRO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46237</v>
      </c>
      <c r="F348" t="inlineStr">
        <is>
          <t>DALARNAS LÄN</t>
        </is>
      </c>
      <c r="G348" t="inlineStr">
        <is>
          <t>VANSBRO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46237</v>
      </c>
      <c r="F349" t="inlineStr">
        <is>
          <t>DALARNAS LÄN</t>
        </is>
      </c>
      <c r="G349" t="inlineStr">
        <is>
          <t>VANSBRO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46237</v>
      </c>
      <c r="F350" t="inlineStr">
        <is>
          <t>DALARNAS LÄN</t>
        </is>
      </c>
      <c r="G350" t="inlineStr">
        <is>
          <t>VANSBRO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45244</v>
      </c>
      <c r="E351" s="1" t="n">
        <v>46237</v>
      </c>
      <c r="F351" t="inlineStr">
        <is>
          <t>DALARNAS LÄN</t>
        </is>
      </c>
      <c r="G351" t="inlineStr">
        <is>
          <t>VANSBRO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46237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45700</v>
      </c>
      <c r="E353" s="1" t="n">
        <v>46237</v>
      </c>
      <c r="F353" t="inlineStr">
        <is>
          <t>DALARNAS LÄN</t>
        </is>
      </c>
      <c r="G353" t="inlineStr">
        <is>
          <t>VANSBRO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46237</v>
      </c>
      <c r="F354" t="inlineStr">
        <is>
          <t>DALARNAS LÄN</t>
        </is>
      </c>
      <c r="G354" t="inlineStr">
        <is>
          <t>VANSBRO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44728</v>
      </c>
      <c r="E355" s="1" t="n">
        <v>46237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44728</v>
      </c>
      <c r="E356" s="1" t="n">
        <v>46237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46237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43258-2023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46237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46237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46237</v>
      </c>
      <c r="F360" t="inlineStr">
        <is>
          <t>DALARNAS LÄN</t>
        </is>
      </c>
      <c r="G360" t="inlineStr">
        <is>
          <t>VANSBRO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46237</v>
      </c>
      <c r="F361" t="inlineStr">
        <is>
          <t>DALARNAS LÄN</t>
        </is>
      </c>
      <c r="G361" t="inlineStr">
        <is>
          <t>VANSBRO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46237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46114</v>
      </c>
      <c r="E363" s="1" t="n">
        <v>46237</v>
      </c>
      <c r="F363" t="inlineStr">
        <is>
          <t>DALARNAS LÄN</t>
        </is>
      </c>
      <c r="G363" t="inlineStr">
        <is>
          <t>VANSBRO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46237</v>
      </c>
      <c r="F364" t="inlineStr">
        <is>
          <t>DALARNAS LÄN</t>
        </is>
      </c>
      <c r="G364" t="inlineStr">
        <is>
          <t>VANSBRO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46119</v>
      </c>
      <c r="E365" s="1" t="n">
        <v>46237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46237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17553-2026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46120</v>
      </c>
      <c r="E367" s="1" t="n">
        <v>46237</v>
      </c>
      <c r="F367" t="inlineStr">
        <is>
          <t>DALARNAS LÄN</t>
        </is>
      </c>
      <c r="G367" t="inlineStr">
        <is>
          <t>VANSBRO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46237</v>
      </c>
      <c r="F368" t="inlineStr">
        <is>
          <t>DALARNAS LÄN</t>
        </is>
      </c>
      <c r="G368" t="inlineStr">
        <is>
          <t>VANSBRO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46237</v>
      </c>
      <c r="F369" t="inlineStr">
        <is>
          <t>DALARNAS LÄN</t>
        </is>
      </c>
      <c r="G369" t="inlineStr">
        <is>
          <t>VANSBRO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46237</v>
      </c>
      <c r="F370" t="inlineStr">
        <is>
          <t>DALARNAS LÄN</t>
        </is>
      </c>
      <c r="G370" t="inlineStr">
        <is>
          <t>VANSBRO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46237</v>
      </c>
      <c r="F371" t="inlineStr">
        <is>
          <t>DALARNAS LÄN</t>
        </is>
      </c>
      <c r="G371" t="inlineStr">
        <is>
          <t>VANSBRO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46237</v>
      </c>
      <c r="F372" t="inlineStr">
        <is>
          <t>DALARNAS LÄN</t>
        </is>
      </c>
      <c r="G372" t="inlineStr">
        <is>
          <t>VANSBRO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46237</v>
      </c>
      <c r="F373" t="inlineStr">
        <is>
          <t>DALARNAS LÄN</t>
        </is>
      </c>
      <c r="G373" t="inlineStr">
        <is>
          <t>VANSBRO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46237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46124</v>
      </c>
      <c r="E375" s="1" t="n">
        <v>46237</v>
      </c>
      <c r="F375" t="inlineStr">
        <is>
          <t>DALARNAS LÄN</t>
        </is>
      </c>
      <c r="G375" t="inlineStr">
        <is>
          <t>VANSBRO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46125</v>
      </c>
      <c r="E376" s="1" t="n">
        <v>46237</v>
      </c>
      <c r="F376" t="inlineStr">
        <is>
          <t>DALARNAS LÄN</t>
        </is>
      </c>
      <c r="G376" t="inlineStr">
        <is>
          <t>VANSBRO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46237</v>
      </c>
      <c r="F377" t="inlineStr">
        <is>
          <t>DALARNAS LÄN</t>
        </is>
      </c>
      <c r="G377" t="inlineStr">
        <is>
          <t>VANSBRO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46127</v>
      </c>
      <c r="E378" s="1" t="n">
        <v>46237</v>
      </c>
      <c r="F378" t="inlineStr">
        <is>
          <t>DALARNAS LÄN</t>
        </is>
      </c>
      <c r="G378" t="inlineStr">
        <is>
          <t>VANSBRO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46127</v>
      </c>
      <c r="E379" s="1" t="n">
        <v>46237</v>
      </c>
      <c r="F379" t="inlineStr">
        <is>
          <t>DALARNAS LÄN</t>
        </is>
      </c>
      <c r="G379" t="inlineStr">
        <is>
          <t>VANSBRO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46237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46237</v>
      </c>
      <c r="F381" t="inlineStr">
        <is>
          <t>DALARNAS LÄN</t>
        </is>
      </c>
      <c r="G381" t="inlineStr">
        <is>
          <t>VANSBRO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43658-2023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46237</v>
      </c>
      <c r="F382" t="inlineStr">
        <is>
          <t>DALARNAS LÄN</t>
        </is>
      </c>
      <c r="G382" t="inlineStr">
        <is>
          <t>VANSBRO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42207-2021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44426</v>
      </c>
      <c r="E383" s="1" t="n">
        <v>46237</v>
      </c>
      <c r="F383" t="inlineStr">
        <is>
          <t>DALARNAS LÄN</t>
        </is>
      </c>
      <c r="G383" t="inlineStr">
        <is>
          <t>VANSBRO</t>
        </is>
      </c>
      <c r="I383" t="n">
        <v>25.5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45483</v>
      </c>
      <c r="E384" s="1" t="n">
        <v>46237</v>
      </c>
      <c r="F384" t="inlineStr">
        <is>
          <t>DALARNAS LÄN</t>
        </is>
      </c>
      <c r="G384" t="inlineStr">
        <is>
          <t>VANSBRO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50741-2022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46237</v>
      </c>
      <c r="F385" t="inlineStr">
        <is>
          <t>DALARNAS LÄN</t>
        </is>
      </c>
      <c r="G385" t="inlineStr">
        <is>
          <t>VANSBRO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46237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45783</v>
      </c>
      <c r="E387" s="1" t="n">
        <v>46237</v>
      </c>
      <c r="F387" t="inlineStr">
        <is>
          <t>DALARNAS LÄN</t>
        </is>
      </c>
      <c r="G387" t="inlineStr">
        <is>
          <t>VANSBRO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45674</v>
      </c>
      <c r="E388" s="1" t="n">
        <v>46237</v>
      </c>
      <c r="F388" t="inlineStr">
        <is>
          <t>DALARNAS LÄN</t>
        </is>
      </c>
      <c r="G388" t="inlineStr">
        <is>
          <t>VANSBRO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45783</v>
      </c>
      <c r="E389" s="1" t="n">
        <v>46237</v>
      </c>
      <c r="F389" t="inlineStr">
        <is>
          <t>DALARNAS LÄN</t>
        </is>
      </c>
      <c r="G389" t="inlineStr">
        <is>
          <t>VANSBRO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18717-2026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46237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23085-2022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44719</v>
      </c>
      <c r="E391" s="1" t="n">
        <v>46237</v>
      </c>
      <c r="F391" t="inlineStr">
        <is>
          <t>DALARNAS LÄN</t>
        </is>
      </c>
      <c r="G391" t="inlineStr">
        <is>
          <t>VANSBRO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46237</v>
      </c>
      <c r="F392" t="inlineStr">
        <is>
          <t>DALARNAS LÄN</t>
        </is>
      </c>
      <c r="G392" t="inlineStr">
        <is>
          <t>VANSBRO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15088-2025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46237</v>
      </c>
      <c r="F393" t="inlineStr">
        <is>
          <t>DALARNAS LÄN</t>
        </is>
      </c>
      <c r="G393" t="inlineStr">
        <is>
          <t>VANSBRO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45215</v>
      </c>
      <c r="E394" s="1" t="n">
        <v>46237</v>
      </c>
      <c r="F394" t="inlineStr">
        <is>
          <t>DALARNAS LÄN</t>
        </is>
      </c>
      <c r="G394" t="inlineStr">
        <is>
          <t>VANSBRO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46237</v>
      </c>
      <c r="F395" t="inlineStr">
        <is>
          <t>DALARNAS LÄN</t>
        </is>
      </c>
      <c r="G395" t="inlineStr">
        <is>
          <t>VANSBRO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45754</v>
      </c>
      <c r="E396" s="1" t="n">
        <v>46237</v>
      </c>
      <c r="F396" t="inlineStr">
        <is>
          <t>DALARNAS LÄN</t>
        </is>
      </c>
      <c r="G396" t="inlineStr">
        <is>
          <t>VANSBRO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45254</v>
      </c>
      <c r="E397" s="1" t="n">
        <v>46237</v>
      </c>
      <c r="F397" t="inlineStr">
        <is>
          <t>DALARNAS LÄN</t>
        </is>
      </c>
      <c r="G397" t="inlineStr">
        <is>
          <t>VANSBRO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46237</v>
      </c>
      <c r="F398" t="inlineStr">
        <is>
          <t>DALARNAS LÄN</t>
        </is>
      </c>
      <c r="G398" t="inlineStr">
        <is>
          <t>VANSBRO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46237</v>
      </c>
      <c r="F399" t="inlineStr">
        <is>
          <t>DALARNAS LÄN</t>
        </is>
      </c>
      <c r="G399" t="inlineStr">
        <is>
          <t>VANSBRO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46237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46237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46237</v>
      </c>
      <c r="F402" t="inlineStr">
        <is>
          <t>DALARNAS LÄN</t>
        </is>
      </c>
      <c r="G402" t="inlineStr">
        <is>
          <t>VANSBRO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46237</v>
      </c>
      <c r="F403" t="inlineStr">
        <is>
          <t>DALARNAS LÄN</t>
        </is>
      </c>
      <c r="G403" t="inlineStr">
        <is>
          <t>VANSBRO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45776</v>
      </c>
      <c r="E404" s="1" t="n">
        <v>46237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45806</v>
      </c>
      <c r="E405" s="1" t="n">
        <v>46237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55078-2022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44886</v>
      </c>
      <c r="E406" s="1" t="n">
        <v>46237</v>
      </c>
      <c r="F406" t="inlineStr">
        <is>
          <t>DALARNAS LÄN</t>
        </is>
      </c>
      <c r="G406" t="inlineStr">
        <is>
          <t>VANSBRO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46237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46237</v>
      </c>
      <c r="F408" t="inlineStr">
        <is>
          <t>DALARNAS LÄN</t>
        </is>
      </c>
      <c r="G408" t="inlineStr">
        <is>
          <t>VANSBRO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45483</v>
      </c>
      <c r="E409" s="1" t="n">
        <v>46237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46237</v>
      </c>
      <c r="F410" t="inlineStr">
        <is>
          <t>DALARNAS LÄN</t>
        </is>
      </c>
      <c r="G410" t="inlineStr">
        <is>
          <t>VANSBRO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45265</v>
      </c>
      <c r="E411" s="1" t="n">
        <v>46237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45315</v>
      </c>
      <c r="E412" s="1" t="n">
        <v>46237</v>
      </c>
      <c r="F412" t="inlineStr">
        <is>
          <t>DALARNAS LÄN</t>
        </is>
      </c>
      <c r="G412" t="inlineStr">
        <is>
          <t>VANSBRO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45793</v>
      </c>
      <c r="E413" s="1" t="n">
        <v>46237</v>
      </c>
      <c r="F413" t="inlineStr">
        <is>
          <t>DALARNAS LÄN</t>
        </is>
      </c>
      <c r="G413" t="inlineStr">
        <is>
          <t>VANSBRO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11408-2025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45726</v>
      </c>
      <c r="E414" s="1" t="n">
        <v>46237</v>
      </c>
      <c r="F414" t="inlineStr">
        <is>
          <t>DALARNAS LÄN</t>
        </is>
      </c>
      <c r="G414" t="inlineStr">
        <is>
          <t>VANSBRO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45688</v>
      </c>
      <c r="E415" s="1" t="n">
        <v>46237</v>
      </c>
      <c r="F415" t="inlineStr">
        <is>
          <t>DALARNAS LÄN</t>
        </is>
      </c>
      <c r="G415" t="inlineStr">
        <is>
          <t>VANSBRO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45520</v>
      </c>
      <c r="E416" s="1" t="n">
        <v>46237</v>
      </c>
      <c r="F416" t="inlineStr">
        <is>
          <t>DALARNAS LÄN</t>
        </is>
      </c>
      <c r="G416" t="inlineStr">
        <is>
          <t>VANSBRO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46237</v>
      </c>
      <c r="F417" t="inlineStr">
        <is>
          <t>DALARNAS LÄN</t>
        </is>
      </c>
      <c r="G417" t="inlineStr">
        <is>
          <t>VANSBRO</t>
        </is>
      </c>
      <c r="H417" t="inlineStr">
        <is>
          <t>Övriga statliga verk och myndigheter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45531</v>
      </c>
      <c r="E418" s="1" t="n">
        <v>46237</v>
      </c>
      <c r="F418" t="inlineStr">
        <is>
          <t>DALARNAS LÄN</t>
        </is>
      </c>
      <c r="G418" t="inlineStr">
        <is>
          <t>VANSBRO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45798</v>
      </c>
      <c r="E419" s="1" t="n">
        <v>46237</v>
      </c>
      <c r="F419" t="inlineStr">
        <is>
          <t>DALARNAS LÄN</t>
        </is>
      </c>
      <c r="G419" t="inlineStr">
        <is>
          <t>VANSBRO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61515-2022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44916</v>
      </c>
      <c r="E420" s="1" t="n">
        <v>46237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45807</v>
      </c>
      <c r="E421" s="1" t="n">
        <v>46237</v>
      </c>
      <c r="F421" t="inlineStr">
        <is>
          <t>DALARNAS LÄN</t>
        </is>
      </c>
      <c r="G421" t="inlineStr">
        <is>
          <t>VANSBRO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46237</v>
      </c>
      <c r="F422" t="inlineStr">
        <is>
          <t>DALARNAS LÄN</t>
        </is>
      </c>
      <c r="G422" t="inlineStr">
        <is>
          <t>VANSBRO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46237</v>
      </c>
      <c r="F423" t="inlineStr">
        <is>
          <t>DALARNAS LÄN</t>
        </is>
      </c>
      <c r="G423" t="inlineStr">
        <is>
          <t>VANSBRO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46237</v>
      </c>
      <c r="F424" t="inlineStr">
        <is>
          <t>DALARNAS LÄN</t>
        </is>
      </c>
      <c r="G424" t="inlineStr">
        <is>
          <t>VANSBRO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46237</v>
      </c>
      <c r="F425" t="inlineStr">
        <is>
          <t>DALARNAS LÄN</t>
        </is>
      </c>
      <c r="G425" t="inlineStr">
        <is>
          <t>VANSBRO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45819</v>
      </c>
      <c r="E426" s="1" t="n">
        <v>46237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46237</v>
      </c>
      <c r="F427" t="inlineStr">
        <is>
          <t>DALARNAS LÄN</t>
        </is>
      </c>
      <c r="G427" t="inlineStr">
        <is>
          <t>VANSBRO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45832</v>
      </c>
      <c r="E428" s="1" t="n">
        <v>46237</v>
      </c>
      <c r="F428" t="inlineStr">
        <is>
          <t>DALARNAS LÄN</t>
        </is>
      </c>
      <c r="G428" t="inlineStr">
        <is>
          <t>VANSBRO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46237</v>
      </c>
      <c r="F429" t="inlineStr">
        <is>
          <t>DALARNAS LÄN</t>
        </is>
      </c>
      <c r="G429" t="inlineStr">
        <is>
          <t>VANSBRO</t>
        </is>
      </c>
      <c r="I429" t="n">
        <v>27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46237</v>
      </c>
      <c r="F430" t="inlineStr">
        <is>
          <t>DALARNAS LÄN</t>
        </is>
      </c>
      <c r="G430" t="inlineStr">
        <is>
          <t>VANSBRO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45835</v>
      </c>
      <c r="E431" s="1" t="n">
        <v>46237</v>
      </c>
      <c r="F431" t="inlineStr">
        <is>
          <t>DALARNAS LÄN</t>
        </is>
      </c>
      <c r="G431" t="inlineStr">
        <is>
          <t>VANSBRO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45840</v>
      </c>
      <c r="E432" s="1" t="n">
        <v>46237</v>
      </c>
      <c r="F432" t="inlineStr">
        <is>
          <t>DALARNAS LÄN</t>
        </is>
      </c>
      <c r="G432" t="inlineStr">
        <is>
          <t>VANSBRO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46237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46237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46237</v>
      </c>
      <c r="F435" t="inlineStr">
        <is>
          <t>DALARNAS LÄN</t>
        </is>
      </c>
      <c r="G435" t="inlineStr">
        <is>
          <t>VANSBRO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45846</v>
      </c>
      <c r="E436" s="1" t="n">
        <v>46237</v>
      </c>
      <c r="F436" t="inlineStr">
        <is>
          <t>DALARNAS LÄN</t>
        </is>
      </c>
      <c r="G436" t="inlineStr">
        <is>
          <t>VANSBRO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45854</v>
      </c>
      <c r="E437" s="1" t="n">
        <v>46237</v>
      </c>
      <c r="F437" t="inlineStr">
        <is>
          <t>DALARNAS LÄN</t>
        </is>
      </c>
      <c r="G437" t="inlineStr">
        <is>
          <t>VANSBRO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45860</v>
      </c>
      <c r="E438" s="1" t="n">
        <v>46237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46237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46237</v>
      </c>
      <c r="F440" t="inlineStr">
        <is>
          <t>DALARNAS LÄN</t>
        </is>
      </c>
      <c r="G440" t="inlineStr">
        <is>
          <t>VANSBRO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45868</v>
      </c>
      <c r="E441" s="1" t="n">
        <v>46237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46237</v>
      </c>
      <c r="F442" t="inlineStr">
        <is>
          <t>DALARNAS LÄN</t>
        </is>
      </c>
      <c r="G442" t="inlineStr">
        <is>
          <t>VANSBRO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37287-2025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45876</v>
      </c>
      <c r="E443" s="1" t="n">
        <v>46237</v>
      </c>
      <c r="F443" t="inlineStr">
        <is>
          <t>DALARNAS LÄN</t>
        </is>
      </c>
      <c r="G443" t="inlineStr">
        <is>
          <t>VANSBRO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46237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46237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46237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46237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46237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46237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2026-08-03T01:55:55Z</dcterms:created>
  <dcterms:modified xmlns:dcterms="http://purl.org/dc/terms/" xmlns:xsi="http://www.w3.org/2001/XMLSchema-instance" xsi:type="dcterms:W3CDTF">2026-08-03T01:55:56Z</dcterms:modified>
</cp:coreProperties>
</file>