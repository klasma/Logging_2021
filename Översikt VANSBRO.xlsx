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37715-2025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45880</v>
      </c>
      <c r="E5" s="1" t="n">
        <v>46234</v>
      </c>
      <c r="F5" t="inlineStr">
        <is>
          <t>DALARNAS LÄN</t>
        </is>
      </c>
      <c r="G5" t="inlineStr">
        <is>
          <t>VANSBRO</t>
        </is>
      </c>
      <c r="I5" t="n">
        <v>12.5</v>
      </c>
      <c r="J5" t="n">
        <v>4</v>
      </c>
      <c r="K5" t="n">
        <v>1</v>
      </c>
      <c r="L5" t="n">
        <v>8</v>
      </c>
      <c r="M5" t="n">
        <v>1</v>
      </c>
      <c r="N5" t="n">
        <v>0</v>
      </c>
      <c r="O5" t="n">
        <v>0</v>
      </c>
      <c r="P5" t="n">
        <v>0</v>
      </c>
      <c r="Q5" t="n">
        <v>9</v>
      </c>
      <c r="R5" t="n">
        <v>1</v>
      </c>
      <c r="S5" t="n">
        <v>13</v>
      </c>
      <c r="T5" t="n">
        <v>99</v>
      </c>
      <c r="U5" t="n">
        <v>99</v>
      </c>
      <c r="V5" s="2" t="inlineStr">
        <is>
          <t>Garnlav
Dropptaggsvamp
Kolflarnlav
Lunglav
Mörk kolflarnlav
Tallticka
Tretåig hackspett
Ullticka
Vedskivlav
Mindre märgborre
Spillkråka
Tjäder
Fläcknycklar</t>
        </is>
      </c>
      <c r="W5">
        <f>HYPERLINK("https://klasma.github.io/Logging_2021/artfynd/A 37715-2025 artfynd.xlsx", "A 37715-2025")</f>
        <v/>
      </c>
      <c r="X5">
        <f>HYPERLINK("https://klasma.github.io/Logging_2021/kartor/A 37715-2025 karta.png", "A 37715-2025")</f>
        <v/>
      </c>
      <c r="Y5">
        <f>HYPERLINK("https://klasma.github.io/Logging_2021/kartor_geotiff/A 37715-2025 georefererad karta.tif", "A 37715-2025")</f>
        <v/>
      </c>
      <c r="AA5">
        <f>HYPERLINK("https://klasma.github.io/Logging_2021/klagomål/A 37715-2025 FSC-klagomål.docx", "A 37715-2025")</f>
        <v/>
      </c>
      <c r="AB5">
        <f>HYPERLINK("https://klasma.github.io/Logging_2021/klagomålsmail/A 37715-2025 FSC-klagomål mail.docx", "A 37715-2025")</f>
        <v/>
      </c>
      <c r="AC5">
        <f>HYPERLINK("https://klasma.github.io/Logging_2021/tillsyn/A 37715-2025 tillsynsbegäran.docx", "A 37715-2025")</f>
        <v/>
      </c>
      <c r="AD5">
        <f>HYPERLINK("https://klasma.github.io/Logging_2021/tillsynsmail/A 37715-2025 tillsynsbegäran mail.docx", "A 37715-2025")</f>
        <v/>
      </c>
      <c r="AE5">
        <f>HYPERLINK("https://klasma.github.io/Logging_2021/fåglar/A 37715-2025 prioriterade fågelarter.docx", "A 37715-2025")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46234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3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45</v>
      </c>
      <c r="U6" t="n">
        <v>0</v>
      </c>
      <c r="V6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46234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46234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46234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46234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64</v>
      </c>
      <c r="U10" t="n">
        <v>64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46234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46234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46234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46234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46234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46234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46234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21</v>
      </c>
      <c r="U17" t="n">
        <v>21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46234</v>
      </c>
      <c r="F18" t="inlineStr">
        <is>
          <t>DALARNAS LÄN</t>
        </is>
      </c>
      <c r="G18" t="inlineStr">
        <is>
          <t>VANSBRO</t>
        </is>
      </c>
      <c r="I18" t="n">
        <v>13.9</v>
      </c>
      <c r="J18" t="n">
        <v>1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27</v>
      </c>
      <c r="U18" t="n">
        <v>0</v>
      </c>
      <c r="V18" s="2" t="inlineStr">
        <is>
          <t>Garnlav
Kolflarnlav
Mörk kolflarnlav
Rynkskinn
Mindre märgborre
Tjäder</t>
        </is>
      </c>
      <c r="W18">
        <f>HYPERLINK("https://klasma.github.io/Logging_2021/artfynd/A 6671-2026 artfynd.xlsx", "A 6671-2026")</f>
        <v/>
      </c>
      <c r="X18">
        <f>HYPERLINK("https://klasma.github.io/Logging_2021/kartor/A 6671-2026 karta.png", "A 6671-2026")</f>
        <v/>
      </c>
      <c r="Y18">
        <f>HYPERLINK("https://klasma.github.io/Logging_2021/kartor_geotiff/A 6671-2026 georefererad karta.tif", "A 6671-2026")</f>
        <v/>
      </c>
      <c r="AA18">
        <f>HYPERLINK("https://klasma.github.io/Logging_2021/klagomål/A 6671-2026 FSC-klagomål.docx", "A 6671-2026")</f>
        <v/>
      </c>
      <c r="AB18">
        <f>HYPERLINK("https://klasma.github.io/Logging_2021/klagomålsmail/A 6671-2026 FSC-klagomål mail.docx", "A 6671-2026")</f>
        <v/>
      </c>
      <c r="AC18">
        <f>HYPERLINK("https://klasma.github.io/Logging_2021/tillsyn/A 6671-2026 tillsynsbegäran.docx", "A 6671-2026")</f>
        <v/>
      </c>
      <c r="AD18">
        <f>HYPERLINK("https://klasma.github.io/Logging_2021/tillsynsmail/A 6671-2026 tillsynsbegäran mail.docx", "A 6671-2026")</f>
        <v/>
      </c>
      <c r="AE18">
        <f>HYPERLINK("https://klasma.github.io/Logging_2021/fåglar/A 6671-2026 prioriterade fågelarter.docx", "A 6671-2026")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46234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46234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46234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46234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46234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46234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16725-2024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45409</v>
      </c>
      <c r="E25" s="1" t="n">
        <v>46234</v>
      </c>
      <c r="F25" t="inlineStr">
        <is>
          <t>DALARNAS LÄN</t>
        </is>
      </c>
      <c r="G25" t="inlineStr">
        <is>
          <t>VANSBRO</t>
        </is>
      </c>
      <c r="I25" t="n">
        <v>3.1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Dropptaggsvamp
Skuggblåslav
Bollvitmossa</t>
        </is>
      </c>
      <c r="W25">
        <f>HYPERLINK("https://klasma.github.io/Logging_2021/artfynd/A 16725-2024 artfynd.xlsx", "A 16725-2024")</f>
        <v/>
      </c>
      <c r="X25">
        <f>HYPERLINK("https://klasma.github.io/Logging_2021/kartor/A 16725-2024 karta.png", "A 16725-2024")</f>
        <v/>
      </c>
      <c r="Y25">
        <f>HYPERLINK("https://klasma.github.io/Logging_2021/kartor_geotiff/A 16725-2024 georefererad karta.tif", "A 16725-2024")</f>
        <v/>
      </c>
      <c r="AA25">
        <f>HYPERLINK("https://klasma.github.io/Logging_2021/klagomål/A 16725-2024 FSC-klagomål.docx", "A 16725-2024")</f>
        <v/>
      </c>
      <c r="AB25">
        <f>HYPERLINK("https://klasma.github.io/Logging_2021/klagomålsmail/A 16725-2024 FSC-klagomål mail.docx", "A 16725-2024")</f>
        <v/>
      </c>
      <c r="AC25">
        <f>HYPERLINK("https://klasma.github.io/Logging_2021/tillsyn/A 16725-2024 tillsynsbegäran.docx", "A 16725-2024")</f>
        <v/>
      </c>
      <c r="AD25">
        <f>HYPERLINK("https://klasma.github.io/Logging_2021/tillsynsmail/A 16725-2024 tillsynsbegäran mail.docx", "A 16725-2024")</f>
        <v/>
      </c>
    </row>
    <row r="26" ht="15" customHeight="1">
      <c r="A26" t="inlineStr">
        <is>
          <t>A 33005-2025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46234</v>
      </c>
      <c r="F26" t="inlineStr">
        <is>
          <t>DALARNAS LÄN</t>
        </is>
      </c>
      <c r="G26" t="inlineStr">
        <is>
          <t>VANSBRO</t>
        </is>
      </c>
      <c r="I26" t="n">
        <v>5.5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5</v>
      </c>
      <c r="V26" s="2" t="inlineStr">
        <is>
          <t>Knärot
Kolflarnlav
Tretåig hackspett</t>
        </is>
      </c>
      <c r="W26">
        <f>HYPERLINK("https://klasma.github.io/Logging_2021/artfynd/A 33005-2025 artfynd.xlsx", "A 33005-2025")</f>
        <v/>
      </c>
      <c r="X26">
        <f>HYPERLINK("https://klasma.github.io/Logging_2021/kartor/A 33005-2025 karta.png", "A 33005-2025")</f>
        <v/>
      </c>
      <c r="Y26">
        <f>HYPERLINK("https://klasma.github.io/Logging_2021/kartor_geotiff/A 33005-2025 georefererad karta.tif", "A 33005-2025")</f>
        <v/>
      </c>
      <c r="Z26">
        <f>HYPERLINK("https://klasma.github.io/Logging_2021/knärot/A 33005-2025 karta knärot.png", "A 33005-2025")</f>
        <v/>
      </c>
      <c r="AA26">
        <f>HYPERLINK("https://klasma.github.io/Logging_2021/klagomål/A 33005-2025 FSC-klagomål.docx", "A 33005-2025")</f>
        <v/>
      </c>
      <c r="AB26">
        <f>HYPERLINK("https://klasma.github.io/Logging_2021/klagomålsmail/A 33005-2025 FSC-klagomål mail.docx", "A 33005-2025")</f>
        <v/>
      </c>
      <c r="AC26">
        <f>HYPERLINK("https://klasma.github.io/Logging_2021/tillsyn/A 33005-2025 tillsynsbegäran.docx", "A 33005-2025")</f>
        <v/>
      </c>
      <c r="AD26">
        <f>HYPERLINK("https://klasma.github.io/Logging_2021/tillsynsmail/A 33005-2025 tillsynsbegäran mail.docx", "A 33005-2025")</f>
        <v/>
      </c>
      <c r="AE26">
        <f>HYPERLINK("https://klasma.github.io/Logging_2021/fåglar/A 33005-2025 prioriterade fågelarter.docx", "A 33005-2025")</f>
        <v/>
      </c>
    </row>
    <row r="27" ht="15" customHeight="1">
      <c r="A27" t="inlineStr">
        <is>
          <t>A 11433-2025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45726</v>
      </c>
      <c r="E27" s="1" t="n">
        <v>46234</v>
      </c>
      <c r="F27" t="inlineStr">
        <is>
          <t>DALARNAS LÄN</t>
        </is>
      </c>
      <c r="G27" t="inlineStr">
        <is>
          <t>VANSBRO</t>
        </is>
      </c>
      <c r="I27" t="n">
        <v>7.5</v>
      </c>
      <c r="J27" t="n">
        <v>1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24</v>
      </c>
      <c r="U27" t="n">
        <v>24</v>
      </c>
      <c r="V27" s="2" t="inlineStr">
        <is>
          <t>Garnlav
Knärot
Bollvitmossa</t>
        </is>
      </c>
      <c r="W27">
        <f>HYPERLINK("https://klasma.github.io/Logging_2021/artfynd/A 11433-2025 artfynd.xlsx", "A 11433-2025")</f>
        <v/>
      </c>
      <c r="X27">
        <f>HYPERLINK("https://klasma.github.io/Logging_2021/kartor/A 11433-2025 karta.png", "A 11433-2025")</f>
        <v/>
      </c>
      <c r="Y27">
        <f>HYPERLINK("https://klasma.github.io/Logging_2021/kartor_geotiff/A 11433-2025 georefererad karta.tif", "A 11433-2025")</f>
        <v/>
      </c>
      <c r="Z27">
        <f>HYPERLINK("https://klasma.github.io/Logging_2021/knärot/A 11433-2025 karta knärot.png", "A 11433-2025")</f>
        <v/>
      </c>
      <c r="AA27">
        <f>HYPERLINK("https://klasma.github.io/Logging_2021/klagomål/A 11433-2025 FSC-klagomål.docx", "A 11433-2025")</f>
        <v/>
      </c>
      <c r="AB27">
        <f>HYPERLINK("https://klasma.github.io/Logging_2021/klagomålsmail/A 11433-2025 FSC-klagomål mail.docx", "A 11433-2025")</f>
        <v/>
      </c>
      <c r="AC27">
        <f>HYPERLINK("https://klasma.github.io/Logging_2021/tillsyn/A 11433-2025 tillsynsbegäran.docx", "A 11433-2025")</f>
        <v/>
      </c>
      <c r="AD27">
        <f>HYPERLINK("https://klasma.github.io/Logging_2021/tillsynsmail/A 11433-2025 tillsynsbegäran mail.docx", "A 11433-2025")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46234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46234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13323-2025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45735</v>
      </c>
      <c r="E30" s="1" t="n">
        <v>46234</v>
      </c>
      <c r="F30" t="inlineStr">
        <is>
          <t>DALARNAS LÄN</t>
        </is>
      </c>
      <c r="G30" t="inlineStr">
        <is>
          <t>VANSBRO</t>
        </is>
      </c>
      <c r="I30" t="n">
        <v>2.1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Ullticka</t>
        </is>
      </c>
      <c r="W30">
        <f>HYPERLINK("https://klasma.github.io/Logging_2021/artfynd/A 13323-2025 artfynd.xlsx", "A 13323-2025")</f>
        <v/>
      </c>
      <c r="X30">
        <f>HYPERLINK("https://klasma.github.io/Logging_2021/kartor/A 13323-2025 karta.png", "A 13323-2025")</f>
        <v/>
      </c>
      <c r="Y30">
        <f>HYPERLINK("https://klasma.github.io/Logging_2021/kartor_geotiff/A 13323-2025 georefererad karta.tif", "A 13323-2025")</f>
        <v/>
      </c>
      <c r="Z30">
        <f>HYPERLINK("https://klasma.github.io/Logging_2021/knärot/A 13323-2025 karta knärot.png", "A 13323-2025")</f>
        <v/>
      </c>
      <c r="AA30">
        <f>HYPERLINK("https://klasma.github.io/Logging_2021/klagomål/A 13323-2025 FSC-klagomål.docx", "A 13323-2025")</f>
        <v/>
      </c>
      <c r="AB30">
        <f>HYPERLINK("https://klasma.github.io/Logging_2021/klagomålsmail/A 13323-2025 FSC-klagomål mail.docx", "A 13323-2025")</f>
        <v/>
      </c>
      <c r="AC30">
        <f>HYPERLINK("https://klasma.github.io/Logging_2021/tillsyn/A 13323-2025 tillsynsbegäran.docx", "A 13323-2025")</f>
        <v/>
      </c>
      <c r="AD30">
        <f>HYPERLINK("https://klasma.github.io/Logging_2021/tillsynsmail/A 13323-2025 tillsynsbegäran mail.docx", "A 13323-2025")</f>
        <v/>
      </c>
    </row>
    <row r="31" ht="15" customHeight="1">
      <c r="A31" t="inlineStr">
        <is>
          <t>A 1691-2026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46234</v>
      </c>
      <c r="F31" t="inlineStr">
        <is>
          <t>DALARNAS LÄN</t>
        </is>
      </c>
      <c r="G31" t="inlineStr">
        <is>
          <t>VANSBRO</t>
        </is>
      </c>
      <c r="I31" t="n">
        <v>6.3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Dropptaggsvamp
Motaggsvamp</t>
        </is>
      </c>
      <c r="W31">
        <f>HYPERLINK("https://klasma.github.io/Logging_2021/artfynd/A 1691-2026 artfynd.xlsx", "A 1691-2026")</f>
        <v/>
      </c>
      <c r="X31">
        <f>HYPERLINK("https://klasma.github.io/Logging_2021/kartor/A 1691-2026 karta.png", "A 1691-2026")</f>
        <v/>
      </c>
      <c r="Y31">
        <f>HYPERLINK("https://klasma.github.io/Logging_2021/kartor_geotiff/A 1691-2026 georefererad karta.tif", "A 1691-2026")</f>
        <v/>
      </c>
      <c r="AA31">
        <f>HYPERLINK("https://klasma.github.io/Logging_2021/klagomål/A 1691-2026 FSC-klagomål.docx", "A 1691-2026")</f>
        <v/>
      </c>
      <c r="AB31">
        <f>HYPERLINK("https://klasma.github.io/Logging_2021/klagomålsmail/A 1691-2026 FSC-klagomål mail.docx", "A 1691-2026")</f>
        <v/>
      </c>
      <c r="AC31">
        <f>HYPERLINK("https://klasma.github.io/Logging_2021/tillsyn/A 1691-2026 tillsynsbegäran.docx", "A 1691-2026")</f>
        <v/>
      </c>
      <c r="AD31">
        <f>HYPERLINK("https://klasma.github.io/Logging_2021/tillsynsmail/A 1691-2026 tillsynsbegäran mail.docx", "A 1691-2026")</f>
        <v/>
      </c>
    </row>
    <row r="32" ht="15" customHeight="1">
      <c r="A32" t="inlineStr">
        <is>
          <t>A 19656-2026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46134</v>
      </c>
      <c r="E32" s="1" t="n">
        <v>46234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18.2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Ängsblåvinge
Berggräsfjäril</t>
        </is>
      </c>
      <c r="W32">
        <f>HYPERLINK("https://klasma.github.io/Logging_2021/artfynd/A 19656-2026 artfynd.xlsx", "A 19656-2026")</f>
        <v/>
      </c>
      <c r="X32">
        <f>HYPERLINK("https://klasma.github.io/Logging_2021/kartor/A 19656-2026 karta.png", "A 19656-2026")</f>
        <v/>
      </c>
      <c r="Y32">
        <f>HYPERLINK("https://klasma.github.io/Logging_2021/kartor_geotiff/A 19656-2026 georefererad karta.tif", "A 19656-2026")</f>
        <v/>
      </c>
      <c r="AA32">
        <f>HYPERLINK("https://klasma.github.io/Logging_2021/klagomål/A 19656-2026 FSC-klagomål.docx", "A 19656-2026")</f>
        <v/>
      </c>
      <c r="AB32">
        <f>HYPERLINK("https://klasma.github.io/Logging_2021/klagomålsmail/A 19656-2026 FSC-klagomål mail.docx", "A 19656-2026")</f>
        <v/>
      </c>
      <c r="AC32">
        <f>HYPERLINK("https://klasma.github.io/Logging_2021/tillsyn/A 19656-2026 tillsynsbegäran.docx", "A 19656-2026")</f>
        <v/>
      </c>
      <c r="AD32">
        <f>HYPERLINK("https://klasma.github.io/Logging_2021/tillsynsmail/A 19656-2026 tillsynsbegäran mail.docx", "A 19656-2026")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46234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46234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46234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46234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3854-2024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46234</v>
      </c>
      <c r="F37" t="inlineStr">
        <is>
          <t>DALARNAS LÄN</t>
        </is>
      </c>
      <c r="G37" t="inlineStr">
        <is>
          <t>VANSBRO</t>
        </is>
      </c>
      <c r="H37" t="inlineStr">
        <is>
          <t>Kyrkan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HYPERLINK("https://klasma.github.io/Logging_2021/artfynd/A 3854-2024 artfynd.xlsx", "A 3854-2024")</f>
        <v/>
      </c>
      <c r="X37">
        <f>HYPERLINK("https://klasma.github.io/Logging_2021/kartor/A 3854-2024 karta.png", "A 3854-2024")</f>
        <v/>
      </c>
      <c r="Y37">
        <f>HYPERLINK("https://klasma.github.io/Logging_2021/kartor_geotiff/A 3854-2024 georefererad karta.tif", "A 3854-2024")</f>
        <v/>
      </c>
      <c r="AA37">
        <f>HYPERLINK("https://klasma.github.io/Logging_2021/klagomål/A 3854-2024 FSC-klagomål.docx", "A 3854-2024")</f>
        <v/>
      </c>
      <c r="AB37">
        <f>HYPERLINK("https://klasma.github.io/Logging_2021/klagomålsmail/A 3854-2024 FSC-klagomål mail.docx", "A 3854-2024")</f>
        <v/>
      </c>
      <c r="AC37">
        <f>HYPERLINK("https://klasma.github.io/Logging_2021/tillsyn/A 3854-2024 tillsynsbegäran.docx", "A 3854-2024")</f>
        <v/>
      </c>
      <c r="AD37">
        <f>HYPERLINK("https://klasma.github.io/Logging_2021/tillsynsmail/A 3854-2024 tillsynsbegäran mail.docx", "A 3854-2024")</f>
        <v/>
      </c>
    </row>
    <row r="38" ht="15" customHeight="1">
      <c r="A38" t="inlineStr">
        <is>
          <t>A 48109-2025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46234</v>
      </c>
      <c r="F38" t="inlineStr">
        <is>
          <t>DALARNAS LÄN</t>
        </is>
      </c>
      <c r="G38" t="inlineStr">
        <is>
          <t>VANSBRO</t>
        </is>
      </c>
      <c r="I38" t="n">
        <v>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HYPERLINK("https://klasma.github.io/Logging_2021/artfynd/A 48109-2025 artfynd.xlsx", "A 48109-2025")</f>
        <v/>
      </c>
      <c r="X38">
        <f>HYPERLINK("https://klasma.github.io/Logging_2021/kartor/A 48109-2025 karta.png", "A 48109-2025")</f>
        <v/>
      </c>
      <c r="Y38">
        <f>HYPERLINK("https://klasma.github.io/Logging_2021/kartor_geotiff/A 48109-2025 georefererad karta.tif", "A 48109-2025")</f>
        <v/>
      </c>
      <c r="AA38">
        <f>HYPERLINK("https://klasma.github.io/Logging_2021/klagomål/A 48109-2025 FSC-klagomål.docx", "A 48109-2025")</f>
        <v/>
      </c>
      <c r="AB38">
        <f>HYPERLINK("https://klasma.github.io/Logging_2021/klagomålsmail/A 48109-2025 FSC-klagomål mail.docx", "A 48109-2025")</f>
        <v/>
      </c>
      <c r="AC38">
        <f>HYPERLINK("https://klasma.github.io/Logging_2021/tillsyn/A 48109-2025 tillsynsbegäran.docx", "A 48109-2025")</f>
        <v/>
      </c>
      <c r="AD38">
        <f>HYPERLINK("https://klasma.github.io/Logging_2021/tillsynsmail/A 48109-2025 tillsynsbegäran mail.docx", "A 48109-2025")</f>
        <v/>
      </c>
    </row>
    <row r="39" ht="15" customHeight="1">
      <c r="A39" t="inlineStr">
        <is>
          <t>A 33250-2024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46234</v>
      </c>
      <c r="F39" t="inlineStr">
        <is>
          <t>DALARNAS LÄN</t>
        </is>
      </c>
      <c r="G39" t="inlineStr">
        <is>
          <t>VANSBRO</t>
        </is>
      </c>
      <c r="I39" t="n">
        <v>6.8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Reliktbock</t>
        </is>
      </c>
      <c r="W39">
        <f>HYPERLINK("https://klasma.github.io/Logging_2021/artfynd/A 33250-2024 artfynd.xlsx", "A 33250-2024")</f>
        <v/>
      </c>
      <c r="X39">
        <f>HYPERLINK("https://klasma.github.io/Logging_2021/kartor/A 33250-2024 karta.png", "A 33250-2024")</f>
        <v/>
      </c>
      <c r="Y39">
        <f>HYPERLINK("https://klasma.github.io/Logging_2021/kartor_geotiff/A 33250-2024 georefererad karta.tif", "A 33250-2024")</f>
        <v/>
      </c>
      <c r="AA39">
        <f>HYPERLINK("https://klasma.github.io/Logging_2021/klagomål/A 33250-2024 FSC-klagomål.docx", "A 33250-2024")</f>
        <v/>
      </c>
      <c r="AB39">
        <f>HYPERLINK("https://klasma.github.io/Logging_2021/klagomålsmail/A 33250-2024 FSC-klagomål mail.docx", "A 33250-2024")</f>
        <v/>
      </c>
      <c r="AC39">
        <f>HYPERLINK("https://klasma.github.io/Logging_2021/tillsyn/A 33250-2024 tillsynsbegäran.docx", "A 33250-2024")</f>
        <v/>
      </c>
      <c r="AD39">
        <f>HYPERLINK("https://klasma.github.io/Logging_2021/tillsynsmail/A 33250-2024 tillsynsbegäran mail.docx", "A 33250-2024")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46234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46234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46234</v>
      </c>
      <c r="F42" t="inlineStr">
        <is>
          <t>DALARNAS LÄN</t>
        </is>
      </c>
      <c r="G42" t="inlineStr">
        <is>
          <t>VANSBRO</t>
        </is>
      </c>
      <c r="I42" t="n">
        <v>2.3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HYPERLINK("https://klasma.github.io/Logging_2021/artfynd/A 33003-2025 artfynd.xlsx", "A 33003-2025")</f>
        <v/>
      </c>
      <c r="X42">
        <f>HYPERLINK("https://klasma.github.io/Logging_2021/kartor/A 33003-2025 karta.png", "A 33003-2025")</f>
        <v/>
      </c>
      <c r="Y42">
        <f>HYPERLINK("https://klasma.github.io/Logging_2021/kartor_geotiff/A 33003-2025 georefererad karta.tif", "A 33003-2025")</f>
        <v/>
      </c>
      <c r="Z42">
        <f>HYPERLINK("https://klasma.github.io/Logging_2021/knärot/A 33003-2025 karta knärot.png", "A 33003-2025")</f>
        <v/>
      </c>
      <c r="AA42">
        <f>HYPERLINK("https://klasma.github.io/Logging_2021/klagomål/A 33003-2025 FSC-klagomål.docx", "A 33003-2025")</f>
        <v/>
      </c>
      <c r="AB42">
        <f>HYPERLINK("https://klasma.github.io/Logging_2021/klagomålsmail/A 33003-2025 FSC-klagomål mail.docx", "A 33003-2025")</f>
        <v/>
      </c>
      <c r="AC42">
        <f>HYPERLINK("https://klasma.github.io/Logging_2021/tillsyn/A 33003-2025 tillsynsbegäran.docx", "A 33003-2025")</f>
        <v/>
      </c>
      <c r="AD42">
        <f>HYPERLINK("https://klasma.github.io/Logging_2021/tillsynsmail/A 33003-2025 tillsynsbegäran mail.docx", "A 33003-2025")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46234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46234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46234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46234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46234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46234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46234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51579-2021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46234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HYPERLINK("https://klasma.github.io/Logging_2021/artfynd/A 51579-2021 artfynd.xlsx", "A 51579-2021")</f>
        <v/>
      </c>
      <c r="X50">
        <f>HYPERLINK("https://klasma.github.io/Logging_2021/kartor/A 51579-2021 karta.png", "A 51579-2021")</f>
        <v/>
      </c>
      <c r="Y50">
        <f>HYPERLINK("https://klasma.github.io/Logging_2021/kartor_geotiff/A 51579-2021 georefererad karta.tif", "A 51579-2021")</f>
        <v/>
      </c>
      <c r="AA50">
        <f>HYPERLINK("https://klasma.github.io/Logging_2021/klagomål/A 51579-2021 FSC-klagomål.docx", "A 51579-2021")</f>
        <v/>
      </c>
      <c r="AB50">
        <f>HYPERLINK("https://klasma.github.io/Logging_2021/klagomålsmail/A 51579-2021 FSC-klagomål mail.docx", "A 51579-2021")</f>
        <v/>
      </c>
      <c r="AC50">
        <f>HYPERLINK("https://klasma.github.io/Logging_2021/tillsyn/A 51579-2021 tillsynsbegäran.docx", "A 51579-2021")</f>
        <v/>
      </c>
      <c r="AD50">
        <f>HYPERLINK("https://klasma.github.io/Logging_2021/tillsynsmail/A 51579-2021 tillsynsbegäran mail.docx", "A 51579-2021")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46234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46234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46234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46234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46234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46234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46234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46234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46234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46234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46234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46234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21752-2022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44708</v>
      </c>
      <c r="E65" s="1" t="n">
        <v>46234</v>
      </c>
      <c r="F65" t="inlineStr">
        <is>
          <t>DALARNAS LÄN</t>
        </is>
      </c>
      <c r="G65" t="inlineStr">
        <is>
          <t>VANSBRO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46234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46234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46234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46234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46234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46234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46234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46234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46234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46234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46234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46234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46234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46234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46234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46234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46234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46234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46234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46234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46234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46234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46234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45498</v>
      </c>
      <c r="E89" s="1" t="n">
        <v>46234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44442</v>
      </c>
      <c r="E90" s="1" t="n">
        <v>46234</v>
      </c>
      <c r="F90" t="inlineStr">
        <is>
          <t>DALARNAS LÄN</t>
        </is>
      </c>
      <c r="G90" t="inlineStr">
        <is>
          <t>VANSBRO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4680-2023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44957</v>
      </c>
      <c r="E91" s="1" t="n">
        <v>46234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55078-2022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44886</v>
      </c>
      <c r="E92" s="1" t="n">
        <v>46234</v>
      </c>
      <c r="F92" t="inlineStr">
        <is>
          <t>DALARNAS LÄN</t>
        </is>
      </c>
      <c r="G92" t="inlineStr">
        <is>
          <t>VANSBRO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46234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46234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46234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45215</v>
      </c>
      <c r="E96" s="1" t="n">
        <v>46234</v>
      </c>
      <c r="F96" t="inlineStr">
        <is>
          <t>DALARNAS LÄN</t>
        </is>
      </c>
      <c r="G96" t="inlineStr">
        <is>
          <t>VANSBRO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46234</v>
      </c>
      <c r="F97" t="inlineStr">
        <is>
          <t>DALARNAS LÄN</t>
        </is>
      </c>
      <c r="G97" t="inlineStr">
        <is>
          <t>VANSBRO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46234</v>
      </c>
      <c r="F98" t="inlineStr">
        <is>
          <t>DALARNAS LÄN</t>
        </is>
      </c>
      <c r="G98" t="inlineStr">
        <is>
          <t>VANSBRO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46234</v>
      </c>
      <c r="F99" t="inlineStr">
        <is>
          <t>DALARNAS LÄN</t>
        </is>
      </c>
      <c r="G99" t="inlineStr">
        <is>
          <t>VANSBRO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11408-2025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45726</v>
      </c>
      <c r="E100" s="1" t="n">
        <v>46234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45194</v>
      </c>
      <c r="E101" s="1" t="n">
        <v>46234</v>
      </c>
      <c r="F101" t="inlineStr">
        <is>
          <t>DALARNAS LÄN</t>
        </is>
      </c>
      <c r="G101" t="inlineStr">
        <is>
          <t>VANSBRO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46234</v>
      </c>
      <c r="F102" t="inlineStr">
        <is>
          <t>DALARNAS LÄN</t>
        </is>
      </c>
      <c r="G102" t="inlineStr">
        <is>
          <t>VANSBRO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46234</v>
      </c>
      <c r="F103" t="inlineStr">
        <is>
          <t>DALARNAS LÄN</t>
        </is>
      </c>
      <c r="G103" t="inlineStr">
        <is>
          <t>VANSBRO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46234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45674</v>
      </c>
      <c r="E105" s="1" t="n">
        <v>46234</v>
      </c>
      <c r="F105" t="inlineStr">
        <is>
          <t>DALARNAS LÄN</t>
        </is>
      </c>
      <c r="G105" t="inlineStr">
        <is>
          <t>VANSBRO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45783</v>
      </c>
      <c r="E106" s="1" t="n">
        <v>46234</v>
      </c>
      <c r="F106" t="inlineStr">
        <is>
          <t>DALARNAS LÄN</t>
        </is>
      </c>
      <c r="G106" t="inlineStr">
        <is>
          <t>VANSBRO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44426</v>
      </c>
      <c r="E107" s="1" t="n">
        <v>46234</v>
      </c>
      <c r="F107" t="inlineStr">
        <is>
          <t>DALARNAS LÄN</t>
        </is>
      </c>
      <c r="G107" t="inlineStr">
        <is>
          <t>VANSBRO</t>
        </is>
      </c>
      <c r="I107" t="n">
        <v>25.5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46234</v>
      </c>
      <c r="F108" t="inlineStr">
        <is>
          <t>DALARNAS LÄN</t>
        </is>
      </c>
      <c r="G108" t="inlineStr">
        <is>
          <t>VANSBRO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48840-2025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45937</v>
      </c>
      <c r="E109" s="1" t="n">
        <v>46234</v>
      </c>
      <c r="F109" t="inlineStr">
        <is>
          <t>DALARNAS LÄN</t>
        </is>
      </c>
      <c r="G109" t="inlineStr">
        <is>
          <t>VANSBRO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45492</v>
      </c>
      <c r="E110" s="1" t="n">
        <v>46234</v>
      </c>
      <c r="F110" t="inlineStr">
        <is>
          <t>DALARNAS LÄN</t>
        </is>
      </c>
      <c r="G110" t="inlineStr">
        <is>
          <t>VANSBRO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45183</v>
      </c>
      <c r="E111" s="1" t="n">
        <v>46234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46234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46234</v>
      </c>
      <c r="F113" t="inlineStr">
        <is>
          <t>DALARNAS LÄN</t>
        </is>
      </c>
      <c r="G113" t="inlineStr">
        <is>
          <t>VANSBRO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46234</v>
      </c>
      <c r="F114" t="inlineStr">
        <is>
          <t>DALARNAS LÄN</t>
        </is>
      </c>
      <c r="G114" t="inlineStr">
        <is>
          <t>VANSBRO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45939</v>
      </c>
      <c r="E115" s="1" t="n">
        <v>46234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46234</v>
      </c>
      <c r="F116" t="inlineStr">
        <is>
          <t>DALARNAS LÄN</t>
        </is>
      </c>
      <c r="G116" t="inlineStr">
        <is>
          <t>VANSBRO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45939</v>
      </c>
      <c r="E117" s="1" t="n">
        <v>46234</v>
      </c>
      <c r="F117" t="inlineStr">
        <is>
          <t>DALARNAS LÄN</t>
        </is>
      </c>
      <c r="G117" t="inlineStr">
        <is>
          <t>VANSBRO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46234</v>
      </c>
      <c r="F118" t="inlineStr">
        <is>
          <t>DALARNAS LÄN</t>
        </is>
      </c>
      <c r="G118" t="inlineStr">
        <is>
          <t>VANSBRO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46234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46234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46234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46234</v>
      </c>
      <c r="F122" t="inlineStr">
        <is>
          <t>DALARNAS LÄN</t>
        </is>
      </c>
      <c r="G122" t="inlineStr">
        <is>
          <t>VANSBRO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46234</v>
      </c>
      <c r="F123" t="inlineStr">
        <is>
          <t>DALARNAS LÄN</t>
        </is>
      </c>
      <c r="G123" t="inlineStr">
        <is>
          <t>VANSBRO</t>
        </is>
      </c>
      <c r="H123" t="inlineStr">
        <is>
          <t>Övriga statliga verk och myndigheter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46234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46234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46234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34882-2022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44796</v>
      </c>
      <c r="E127" s="1" t="n">
        <v>46234</v>
      </c>
      <c r="F127" t="inlineStr">
        <is>
          <t>DALARNAS LÄN</t>
        </is>
      </c>
      <c r="G127" t="inlineStr">
        <is>
          <t>VANSBRO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45793</v>
      </c>
      <c r="E128" s="1" t="n">
        <v>46234</v>
      </c>
      <c r="F128" t="inlineStr">
        <is>
          <t>DALARNAS LÄN</t>
        </is>
      </c>
      <c r="G128" t="inlineStr">
        <is>
          <t>VANSBRO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46234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46234</v>
      </c>
      <c r="F130" t="inlineStr">
        <is>
          <t>DALARNAS LÄN</t>
        </is>
      </c>
      <c r="G130" t="inlineStr">
        <is>
          <t>VANSBRO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46234</v>
      </c>
      <c r="F131" t="inlineStr">
        <is>
          <t>DALARNAS LÄN</t>
        </is>
      </c>
      <c r="G131" t="inlineStr">
        <is>
          <t>VANSBRO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29411-2024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46234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46234</v>
      </c>
      <c r="F133" t="inlineStr">
        <is>
          <t>DALARNAS LÄN</t>
        </is>
      </c>
      <c r="G133" t="inlineStr">
        <is>
          <t>VANSBRO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46234</v>
      </c>
      <c r="F134" t="inlineStr">
        <is>
          <t>DALARNAS LÄN</t>
        </is>
      </c>
      <c r="G134" t="inlineStr">
        <is>
          <t>VANSBRO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46234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45689</v>
      </c>
      <c r="E136" s="1" t="n">
        <v>46234</v>
      </c>
      <c r="F136" t="inlineStr">
        <is>
          <t>DALARNAS LÄN</t>
        </is>
      </c>
      <c r="G136" t="inlineStr">
        <is>
          <t>VANSBRO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45798</v>
      </c>
      <c r="E137" s="1" t="n">
        <v>46234</v>
      </c>
      <c r="F137" t="inlineStr">
        <is>
          <t>DALARNAS LÄN</t>
        </is>
      </c>
      <c r="G137" t="inlineStr">
        <is>
          <t>VANSBRO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46234</v>
      </c>
      <c r="F138" t="inlineStr">
        <is>
          <t>DALARNAS LÄN</t>
        </is>
      </c>
      <c r="G138" t="inlineStr">
        <is>
          <t>VANSBRO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46234</v>
      </c>
      <c r="F139" t="inlineStr">
        <is>
          <t>DALARNAS LÄN</t>
        </is>
      </c>
      <c r="G139" t="inlineStr">
        <is>
          <t>VANSBRO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46234</v>
      </c>
      <c r="F140" t="inlineStr">
        <is>
          <t>DALARNAS LÄN</t>
        </is>
      </c>
      <c r="G140" t="inlineStr">
        <is>
          <t>VANSBRO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46234</v>
      </c>
      <c r="F141" t="inlineStr">
        <is>
          <t>DALARNAS LÄN</t>
        </is>
      </c>
      <c r="G141" t="inlineStr">
        <is>
          <t>VANSBRO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46234</v>
      </c>
      <c r="F142" t="inlineStr">
        <is>
          <t>DALARNAS LÄN</t>
        </is>
      </c>
      <c r="G142" t="inlineStr">
        <is>
          <t>VANSBRO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46234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46234</v>
      </c>
      <c r="F144" t="inlineStr">
        <is>
          <t>DALARNAS LÄN</t>
        </is>
      </c>
      <c r="G144" t="inlineStr">
        <is>
          <t>VANSBRO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46234</v>
      </c>
      <c r="F145" t="inlineStr">
        <is>
          <t>DALARNAS LÄN</t>
        </is>
      </c>
      <c r="G145" t="inlineStr">
        <is>
          <t>VANSBRO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46234</v>
      </c>
      <c r="F146" t="inlineStr">
        <is>
          <t>DALARNAS LÄN</t>
        </is>
      </c>
      <c r="G146" t="inlineStr">
        <is>
          <t>VANSBRO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46234</v>
      </c>
      <c r="F147" t="inlineStr">
        <is>
          <t>DALARNAS LÄN</t>
        </is>
      </c>
      <c r="G147" t="inlineStr">
        <is>
          <t>VANSBRO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45695</v>
      </c>
      <c r="E148" s="1" t="n">
        <v>46234</v>
      </c>
      <c r="F148" t="inlineStr">
        <is>
          <t>DALARNAS LÄN</t>
        </is>
      </c>
      <c r="G148" t="inlineStr">
        <is>
          <t>VANSBRO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46234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10.2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46234</v>
      </c>
      <c r="F150" t="inlineStr">
        <is>
          <t>DALARNAS LÄN</t>
        </is>
      </c>
      <c r="G150" t="inlineStr">
        <is>
          <t>VANSBRO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46234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46234</v>
      </c>
      <c r="F152" t="inlineStr">
        <is>
          <t>DALARNAS LÄN</t>
        </is>
      </c>
      <c r="G152" t="inlineStr">
        <is>
          <t>VANSBRO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45956</v>
      </c>
      <c r="E153" s="1" t="n">
        <v>46234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45956</v>
      </c>
      <c r="E154" s="1" t="n">
        <v>46234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46234</v>
      </c>
      <c r="F155" t="inlineStr">
        <is>
          <t>DALARNAS LÄN</t>
        </is>
      </c>
      <c r="G155" t="inlineStr">
        <is>
          <t>VANSBRO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45689</v>
      </c>
      <c r="E156" s="1" t="n">
        <v>46234</v>
      </c>
      <c r="F156" t="inlineStr">
        <is>
          <t>DALARNAS LÄN</t>
        </is>
      </c>
      <c r="G156" t="inlineStr">
        <is>
          <t>VANSBRO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46234</v>
      </c>
      <c r="F157" t="inlineStr">
        <is>
          <t>DALARNAS LÄN</t>
        </is>
      </c>
      <c r="G157" t="inlineStr">
        <is>
          <t>VANSBRO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35299-2024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45530</v>
      </c>
      <c r="E158" s="1" t="n">
        <v>46234</v>
      </c>
      <c r="F158" t="inlineStr">
        <is>
          <t>DALARNAS LÄN</t>
        </is>
      </c>
      <c r="G158" t="inlineStr">
        <is>
          <t>VANSBRO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46234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44925</v>
      </c>
      <c r="E160" s="1" t="n">
        <v>46234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46234</v>
      </c>
      <c r="F161" t="inlineStr">
        <is>
          <t>DALARNAS LÄN</t>
        </is>
      </c>
      <c r="G161" t="inlineStr">
        <is>
          <t>VANSBRO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46234</v>
      </c>
      <c r="F162" t="inlineStr">
        <is>
          <t>DALARNAS LÄN</t>
        </is>
      </c>
      <c r="G162" t="inlineStr">
        <is>
          <t>VANSBRO</t>
        </is>
      </c>
      <c r="I162" t="n">
        <v>27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46234</v>
      </c>
      <c r="F163" t="inlineStr">
        <is>
          <t>DALARNAS LÄN</t>
        </is>
      </c>
      <c r="G163" t="inlineStr">
        <is>
          <t>VANSBRO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45961</v>
      </c>
      <c r="E164" s="1" t="n">
        <v>46234</v>
      </c>
      <c r="F164" t="inlineStr">
        <is>
          <t>DALARNAS LÄN</t>
        </is>
      </c>
      <c r="G164" t="inlineStr">
        <is>
          <t>VANSBRO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46234</v>
      </c>
      <c r="F165" t="inlineStr">
        <is>
          <t>DALARNAS LÄN</t>
        </is>
      </c>
      <c r="G165" t="inlineStr">
        <is>
          <t>VANSBRO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44862</v>
      </c>
      <c r="E166" s="1" t="n">
        <v>46234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46234</v>
      </c>
      <c r="F167" t="inlineStr">
        <is>
          <t>DALARNAS LÄN</t>
        </is>
      </c>
      <c r="G167" t="inlineStr">
        <is>
          <t>VANSBRO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46234</v>
      </c>
      <c r="F168" t="inlineStr">
        <is>
          <t>DALARNAS LÄN</t>
        </is>
      </c>
      <c r="G168" t="inlineStr">
        <is>
          <t>VANSBRO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46234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46234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46234</v>
      </c>
      <c r="F171" t="inlineStr">
        <is>
          <t>DALARNAS LÄN</t>
        </is>
      </c>
      <c r="G171" t="inlineStr">
        <is>
          <t>VANSBRO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46234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46234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46234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46234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45846</v>
      </c>
      <c r="E176" s="1" t="n">
        <v>46234</v>
      </c>
      <c r="F176" t="inlineStr">
        <is>
          <t>DALARNAS LÄN</t>
        </is>
      </c>
      <c r="G176" t="inlineStr">
        <is>
          <t>VANSBRO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46234</v>
      </c>
      <c r="F177" t="inlineStr">
        <is>
          <t>DALARNAS LÄN</t>
        </is>
      </c>
      <c r="G177" t="inlineStr">
        <is>
          <t>VANSBRO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46234</v>
      </c>
      <c r="F178" t="inlineStr">
        <is>
          <t>DALARNAS LÄN</t>
        </is>
      </c>
      <c r="G178" t="inlineStr">
        <is>
          <t>VANSBRO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45854</v>
      </c>
      <c r="E179" s="1" t="n">
        <v>46234</v>
      </c>
      <c r="F179" t="inlineStr">
        <is>
          <t>DALARNAS LÄN</t>
        </is>
      </c>
      <c r="G179" t="inlineStr">
        <is>
          <t>VANSBRO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45756</v>
      </c>
      <c r="E180" s="1" t="n">
        <v>46234</v>
      </c>
      <c r="F180" t="inlineStr">
        <is>
          <t>DALARNAS LÄN</t>
        </is>
      </c>
      <c r="G180" t="inlineStr">
        <is>
          <t>VANSBRO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44469</v>
      </c>
      <c r="E181" s="1" t="n">
        <v>46234</v>
      </c>
      <c r="F181" t="inlineStr">
        <is>
          <t>DALARNAS LÄN</t>
        </is>
      </c>
      <c r="G181" t="inlineStr">
        <is>
          <t>VANSBRO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45860</v>
      </c>
      <c r="E182" s="1" t="n">
        <v>46234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46234</v>
      </c>
      <c r="F183" t="inlineStr">
        <is>
          <t>DALARNAS LÄN</t>
        </is>
      </c>
      <c r="G183" t="inlineStr">
        <is>
          <t>VANSBRO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46234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46234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46234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45868</v>
      </c>
      <c r="E187" s="1" t="n">
        <v>46234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öst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46234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45744</v>
      </c>
      <c r="E189" s="1" t="n">
        <v>46234</v>
      </c>
      <c r="F189" t="inlineStr">
        <is>
          <t>DALARNAS LÄN</t>
        </is>
      </c>
      <c r="G189" t="inlineStr">
        <is>
          <t>VANSBRO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45258</v>
      </c>
      <c r="E190" s="1" t="n">
        <v>46234</v>
      </c>
      <c r="F190" t="inlineStr">
        <is>
          <t>DALARNAS LÄN</t>
        </is>
      </c>
      <c r="G190" t="inlineStr">
        <is>
          <t>VANSBRO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46234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46234</v>
      </c>
      <c r="F192" t="inlineStr">
        <is>
          <t>DALARNAS LÄN</t>
        </is>
      </c>
      <c r="G192" t="inlineStr">
        <is>
          <t>VANSBRO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37287-2025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45876</v>
      </c>
      <c r="E193" s="1" t="n">
        <v>46234</v>
      </c>
      <c r="F193" t="inlineStr">
        <is>
          <t>DALARNAS LÄN</t>
        </is>
      </c>
      <c r="G193" t="inlineStr">
        <is>
          <t>VANSBRO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46234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46234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46234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46234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46234</v>
      </c>
      <c r="F198" t="inlineStr">
        <is>
          <t>DALARNAS LÄN</t>
        </is>
      </c>
      <c r="G198" t="inlineStr">
        <is>
          <t>VANSBRO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46234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46234</v>
      </c>
      <c r="F200" t="inlineStr">
        <is>
          <t>DALARNAS LÄN</t>
        </is>
      </c>
      <c r="G200" t="inlineStr">
        <is>
          <t>VANSBRO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46234</v>
      </c>
      <c r="F201" t="inlineStr">
        <is>
          <t>DALARNAS LÄN</t>
        </is>
      </c>
      <c r="G201" t="inlineStr">
        <is>
          <t>VANSBRO</t>
        </is>
      </c>
      <c r="H201" t="inlineStr">
        <is>
          <t>Övriga statliga verk och myndigheter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46234</v>
      </c>
      <c r="F202" t="inlineStr">
        <is>
          <t>DALARNAS LÄN</t>
        </is>
      </c>
      <c r="G202" t="inlineStr">
        <is>
          <t>VANSBRO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46234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46234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46234</v>
      </c>
      <c r="F205" t="inlineStr">
        <is>
          <t>DALARNAS LÄN</t>
        </is>
      </c>
      <c r="G205" t="inlineStr">
        <is>
          <t>VANSBRO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46234</v>
      </c>
      <c r="F206" t="inlineStr">
        <is>
          <t>DALARNAS LÄN</t>
        </is>
      </c>
      <c r="G206" t="inlineStr">
        <is>
          <t>VANSBRO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46234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45987</v>
      </c>
      <c r="E208" s="1" t="n">
        <v>46234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46234</v>
      </c>
      <c r="F209" t="inlineStr">
        <is>
          <t>DALARNAS LÄN</t>
        </is>
      </c>
      <c r="G209" t="inlineStr">
        <is>
          <t>VANSBRO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44811</v>
      </c>
      <c r="E210" s="1" t="n">
        <v>46234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46234</v>
      </c>
      <c r="F211" t="inlineStr">
        <is>
          <t>DALARNAS LÄN</t>
        </is>
      </c>
      <c r="G211" t="inlineStr">
        <is>
          <t>VANSBRO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46234</v>
      </c>
      <c r="F212" t="inlineStr">
        <is>
          <t>DALARNAS LÄN</t>
        </is>
      </c>
      <c r="G212" t="inlineStr">
        <is>
          <t>VANSBRO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46234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46234</v>
      </c>
      <c r="F214" t="inlineStr">
        <is>
          <t>DALARNAS LÄN</t>
        </is>
      </c>
      <c r="G214" t="inlineStr">
        <is>
          <t>VANSBRO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44880</v>
      </c>
      <c r="E215" s="1" t="n">
        <v>46234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46234</v>
      </c>
      <c r="F216" t="inlineStr">
        <is>
          <t>DALARNAS LÄN</t>
        </is>
      </c>
      <c r="G216" t="inlineStr">
        <is>
          <t>VANSBRO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46234</v>
      </c>
      <c r="F217" t="inlineStr">
        <is>
          <t>DALARNAS LÄN</t>
        </is>
      </c>
      <c r="G217" t="inlineStr">
        <is>
          <t>VANSBRO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46234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45689</v>
      </c>
      <c r="E219" s="1" t="n">
        <v>46234</v>
      </c>
      <c r="F219" t="inlineStr">
        <is>
          <t>DALARNAS LÄN</t>
        </is>
      </c>
      <c r="G219" t="inlineStr">
        <is>
          <t>VANSBRO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46234</v>
      </c>
      <c r="F220" t="inlineStr">
        <is>
          <t>DALARNAS LÄN</t>
        </is>
      </c>
      <c r="G220" t="inlineStr">
        <is>
          <t>VANSBRO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46234</v>
      </c>
      <c r="F221" t="inlineStr">
        <is>
          <t>DALARNAS LÄN</t>
        </is>
      </c>
      <c r="G221" t="inlineStr">
        <is>
          <t>VANSBRO</t>
        </is>
      </c>
      <c r="H221" t="inlineStr">
        <is>
          <t>Kommuner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45214</v>
      </c>
      <c r="E222" s="1" t="n">
        <v>46234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46234</v>
      </c>
      <c r="F223" t="inlineStr">
        <is>
          <t>DALARNAS LÄN</t>
        </is>
      </c>
      <c r="G223" t="inlineStr">
        <is>
          <t>VANSBRO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46234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45.8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46234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46234</v>
      </c>
      <c r="F226" t="inlineStr">
        <is>
          <t>DALARNAS LÄN</t>
        </is>
      </c>
      <c r="G226" t="inlineStr">
        <is>
          <t>VANSBRO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45533</v>
      </c>
      <c r="E227" s="1" t="n">
        <v>46234</v>
      </c>
      <c r="F227" t="inlineStr">
        <is>
          <t>DALARNAS LÄN</t>
        </is>
      </c>
      <c r="G227" t="inlineStr">
        <is>
          <t>VANSBRO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46033</v>
      </c>
      <c r="E228" s="1" t="n">
        <v>46234</v>
      </c>
      <c r="F228" t="inlineStr">
        <is>
          <t>DALARNAS LÄN</t>
        </is>
      </c>
      <c r="G228" t="inlineStr">
        <is>
          <t>VANSBRO</t>
        </is>
      </c>
      <c r="I228" t="n">
        <v>9.9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46234</v>
      </c>
      <c r="F229" t="inlineStr">
        <is>
          <t>DALARNAS LÄN</t>
        </is>
      </c>
      <c r="G229" t="inlineStr">
        <is>
          <t>VANSBRO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45665</v>
      </c>
      <c r="E230" s="1" t="n">
        <v>46234</v>
      </c>
      <c r="F230" t="inlineStr">
        <is>
          <t>DALARNAS LÄN</t>
        </is>
      </c>
      <c r="G230" t="inlineStr">
        <is>
          <t>VANSBRO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46234</v>
      </c>
      <c r="F231" t="inlineStr">
        <is>
          <t>DALARNAS LÄN</t>
        </is>
      </c>
      <c r="G231" t="inlineStr">
        <is>
          <t>VANSBRO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46234</v>
      </c>
      <c r="F232" t="inlineStr">
        <is>
          <t>DALARNAS LÄN</t>
        </is>
      </c>
      <c r="G232" t="inlineStr">
        <is>
          <t>VANSBRO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44980</v>
      </c>
      <c r="E233" s="1" t="n">
        <v>46234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45453</v>
      </c>
      <c r="E234" s="1" t="n">
        <v>46234</v>
      </c>
      <c r="F234" t="inlineStr">
        <is>
          <t>DALARNAS LÄN</t>
        </is>
      </c>
      <c r="G234" t="inlineStr">
        <is>
          <t>VANSBRO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46234</v>
      </c>
      <c r="F235" t="inlineStr">
        <is>
          <t>DALARNAS LÄN</t>
        </is>
      </c>
      <c r="G235" t="inlineStr">
        <is>
          <t>VANSBRO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46234</v>
      </c>
      <c r="F236" t="inlineStr">
        <is>
          <t>DALARNAS LÄN</t>
        </is>
      </c>
      <c r="G236" t="inlineStr">
        <is>
          <t>VANSBRO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46234</v>
      </c>
      <c r="F237" t="inlineStr">
        <is>
          <t>DALARNAS LÄN</t>
        </is>
      </c>
      <c r="G237" t="inlineStr">
        <is>
          <t>VANSBRO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46049</v>
      </c>
      <c r="E238" s="1" t="n">
        <v>46234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46234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46234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46234</v>
      </c>
      <c r="F241" t="inlineStr">
        <is>
          <t>DALARNAS LÄN</t>
        </is>
      </c>
      <c r="G241" t="inlineStr">
        <is>
          <t>VANSBRO</t>
        </is>
      </c>
      <c r="H241" t="inlineStr">
        <is>
          <t>Övriga statliga verk och myndigheter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46234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46234</v>
      </c>
      <c r="F243" t="inlineStr">
        <is>
          <t>DALARNAS LÄN</t>
        </is>
      </c>
      <c r="G243" t="inlineStr">
        <is>
          <t>VANSBRO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46234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46234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46052</v>
      </c>
      <c r="E246" s="1" t="n">
        <v>46234</v>
      </c>
      <c r="F246" t="inlineStr">
        <is>
          <t>DALARNAS LÄN</t>
        </is>
      </c>
      <c r="G246" t="inlineStr">
        <is>
          <t>VANSBRO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46234</v>
      </c>
      <c r="F247" t="inlineStr">
        <is>
          <t>DALARNAS LÄN</t>
        </is>
      </c>
      <c r="G247" t="inlineStr">
        <is>
          <t>VANSBRO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8694-2023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44972</v>
      </c>
      <c r="E248" s="1" t="n">
        <v>46234</v>
      </c>
      <c r="F248" t="inlineStr">
        <is>
          <t>DALARNAS LÄN</t>
        </is>
      </c>
      <c r="G248" t="inlineStr">
        <is>
          <t>VANSBRO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46234</v>
      </c>
      <c r="F249" t="inlineStr">
        <is>
          <t>DALARNAS LÄN</t>
        </is>
      </c>
      <c r="G249" t="inlineStr">
        <is>
          <t>VANSBRO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46234</v>
      </c>
      <c r="F250" t="inlineStr">
        <is>
          <t>DALARNAS LÄN</t>
        </is>
      </c>
      <c r="G250" t="inlineStr">
        <is>
          <t>VANSBRO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46234</v>
      </c>
      <c r="F251" t="inlineStr">
        <is>
          <t>DALARNAS LÄN</t>
        </is>
      </c>
      <c r="G251" t="inlineStr">
        <is>
          <t>VANSBRO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45772</v>
      </c>
      <c r="E252" s="1" t="n">
        <v>46234</v>
      </c>
      <c r="F252" t="inlineStr">
        <is>
          <t>DALARNAS LÄN</t>
        </is>
      </c>
      <c r="G252" t="inlineStr">
        <is>
          <t>VANSBRO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46234</v>
      </c>
      <c r="F253" t="inlineStr">
        <is>
          <t>DALARNAS LÄN</t>
        </is>
      </c>
      <c r="G253" t="inlineStr">
        <is>
          <t>VANSBRO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46234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46234</v>
      </c>
      <c r="F255" t="inlineStr">
        <is>
          <t>DALARNAS LÄN</t>
        </is>
      </c>
      <c r="G255" t="inlineStr">
        <is>
          <t>VANSBRO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45601</v>
      </c>
      <c r="E256" s="1" t="n">
        <v>46234</v>
      </c>
      <c r="F256" t="inlineStr">
        <is>
          <t>DALARNAS LÄN</t>
        </is>
      </c>
      <c r="G256" t="inlineStr">
        <is>
          <t>VANSBRO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46234</v>
      </c>
      <c r="F257" t="inlineStr">
        <is>
          <t>DALARNAS LÄN</t>
        </is>
      </c>
      <c r="G257" t="inlineStr">
        <is>
          <t>VANSBRO</t>
        </is>
      </c>
      <c r="I257" t="n">
        <v>15.1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45666</v>
      </c>
      <c r="E258" s="1" t="n">
        <v>46234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46021</v>
      </c>
      <c r="E259" s="1" t="n">
        <v>46234</v>
      </c>
      <c r="F259" t="inlineStr">
        <is>
          <t>DALARNAS LÄN</t>
        </is>
      </c>
      <c r="G259" t="inlineStr">
        <is>
          <t>VANSBRO</t>
        </is>
      </c>
      <c r="I259" t="n">
        <v>19.1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46234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46234</v>
      </c>
      <c r="F261" t="inlineStr">
        <is>
          <t>DALARNAS LÄN</t>
        </is>
      </c>
      <c r="G261" t="inlineStr">
        <is>
          <t>VANSBRO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46234</v>
      </c>
      <c r="F262" t="inlineStr">
        <is>
          <t>DALARNAS LÄN</t>
        </is>
      </c>
      <c r="G262" t="inlineStr">
        <is>
          <t>VANSBRO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45673</v>
      </c>
      <c r="E263" s="1" t="n">
        <v>46234</v>
      </c>
      <c r="F263" t="inlineStr">
        <is>
          <t>DALARNAS LÄN</t>
        </is>
      </c>
      <c r="G263" t="inlineStr">
        <is>
          <t>VANSBRO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44734</v>
      </c>
      <c r="E264" s="1" t="n">
        <v>46234</v>
      </c>
      <c r="F264" t="inlineStr">
        <is>
          <t>DALARNAS LÄN</t>
        </is>
      </c>
      <c r="G264" t="inlineStr">
        <is>
          <t>VANSBRO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46234</v>
      </c>
      <c r="F265" t="inlineStr">
        <is>
          <t>DALARNAS LÄN</t>
        </is>
      </c>
      <c r="G265" t="inlineStr">
        <is>
          <t>VANSBRO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8447-2022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44612</v>
      </c>
      <c r="E266" s="1" t="n">
        <v>46234</v>
      </c>
      <c r="F266" t="inlineStr">
        <is>
          <t>DALARNAS LÄN</t>
        </is>
      </c>
      <c r="G266" t="inlineStr">
        <is>
          <t>VANSBRO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46234</v>
      </c>
      <c r="F267" t="inlineStr">
        <is>
          <t>DALARNAS LÄN</t>
        </is>
      </c>
      <c r="G267" t="inlineStr">
        <is>
          <t>VANSBRO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46062</v>
      </c>
      <c r="E268" s="1" t="n">
        <v>46234</v>
      </c>
      <c r="F268" t="inlineStr">
        <is>
          <t>DALARNAS LÄN</t>
        </is>
      </c>
      <c r="G268" t="inlineStr">
        <is>
          <t>VANSBRO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45322</v>
      </c>
      <c r="E269" s="1" t="n">
        <v>46234</v>
      </c>
      <c r="F269" t="inlineStr">
        <is>
          <t>DALARNAS LÄN</t>
        </is>
      </c>
      <c r="G269" t="inlineStr">
        <is>
          <t>VANSBRO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46234</v>
      </c>
      <c r="F270" t="inlineStr">
        <is>
          <t>DALARNAS LÄN</t>
        </is>
      </c>
      <c r="G270" t="inlineStr">
        <is>
          <t>VANSBRO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46234</v>
      </c>
      <c r="F271" t="inlineStr">
        <is>
          <t>DALARNAS LÄN</t>
        </is>
      </c>
      <c r="G271" t="inlineStr">
        <is>
          <t>VANSBRO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45309</v>
      </c>
      <c r="E272" s="1" t="n">
        <v>46234</v>
      </c>
      <c r="F272" t="inlineStr">
        <is>
          <t>DALARNAS LÄN</t>
        </is>
      </c>
      <c r="G272" t="inlineStr">
        <is>
          <t>VANSBRO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46082</v>
      </c>
      <c r="E273" s="1" t="n">
        <v>46234</v>
      </c>
      <c r="F273" t="inlineStr">
        <is>
          <t>DALARNAS LÄN</t>
        </is>
      </c>
      <c r="G273" t="inlineStr">
        <is>
          <t>VANSBRO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46082</v>
      </c>
      <c r="E274" s="1" t="n">
        <v>46234</v>
      </c>
      <c r="F274" t="inlineStr">
        <is>
          <t>DALARNAS LÄN</t>
        </is>
      </c>
      <c r="G274" t="inlineStr">
        <is>
          <t>VANSBRO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46234</v>
      </c>
      <c r="F275" t="inlineStr">
        <is>
          <t>DALARNAS LÄN</t>
        </is>
      </c>
      <c r="G275" t="inlineStr">
        <is>
          <t>VANSBRO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45471</v>
      </c>
      <c r="E276" s="1" t="n">
        <v>46234</v>
      </c>
      <c r="F276" t="inlineStr">
        <is>
          <t>DALARNAS LÄN</t>
        </is>
      </c>
      <c r="G276" t="inlineStr">
        <is>
          <t>VANSBRO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44509</v>
      </c>
      <c r="E277" s="1" t="n">
        <v>46234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46234</v>
      </c>
      <c r="F278" t="inlineStr">
        <is>
          <t>DALARNAS LÄN</t>
        </is>
      </c>
      <c r="G278" t="inlineStr">
        <is>
          <t>VANSBRO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46234</v>
      </c>
      <c r="F279" t="inlineStr">
        <is>
          <t>DALARNAS LÄN</t>
        </is>
      </c>
      <c r="G279" t="inlineStr">
        <is>
          <t>VANSBRO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45604</v>
      </c>
      <c r="E280" s="1" t="n">
        <v>46234</v>
      </c>
      <c r="F280" t="inlineStr">
        <is>
          <t>DALARNAS LÄN</t>
        </is>
      </c>
      <c r="G280" t="inlineStr">
        <is>
          <t>VANSBRO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46234</v>
      </c>
      <c r="F281" t="inlineStr">
        <is>
          <t>DALARNAS LÄN</t>
        </is>
      </c>
      <c r="G281" t="inlineStr">
        <is>
          <t>VANSBRO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46234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46234</v>
      </c>
      <c r="F283" t="inlineStr">
        <is>
          <t>DALARNAS LÄN</t>
        </is>
      </c>
      <c r="G283" t="inlineStr">
        <is>
          <t>VANSBRO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46234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45481</v>
      </c>
      <c r="E285" s="1" t="n">
        <v>46234</v>
      </c>
      <c r="F285" t="inlineStr">
        <is>
          <t>DALARNAS LÄN</t>
        </is>
      </c>
      <c r="G285" t="inlineStr">
        <is>
          <t>VANSBRO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46234</v>
      </c>
      <c r="F286" t="inlineStr">
        <is>
          <t>DALARNAS LÄN</t>
        </is>
      </c>
      <c r="G286" t="inlineStr">
        <is>
          <t>VANSBRO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46234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45457</v>
      </c>
      <c r="E288" s="1" t="n">
        <v>46234</v>
      </c>
      <c r="F288" t="inlineStr">
        <is>
          <t>DALARNAS LÄN</t>
        </is>
      </c>
      <c r="G288" t="inlineStr">
        <is>
          <t>VANSBRO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13062-2023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45002</v>
      </c>
      <c r="E289" s="1" t="n">
        <v>46234</v>
      </c>
      <c r="F289" t="inlineStr">
        <is>
          <t>DALARNAS LÄN</t>
        </is>
      </c>
      <c r="G289" t="inlineStr">
        <is>
          <t>VANSBRO</t>
        </is>
      </c>
      <c r="H289" t="inlineStr">
        <is>
          <t>Övriga statliga verk och myndigheter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46234</v>
      </c>
      <c r="F290" t="inlineStr">
        <is>
          <t>DALARNAS LÄN</t>
        </is>
      </c>
      <c r="G290" t="inlineStr">
        <is>
          <t>VANSBRO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46234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45614</v>
      </c>
      <c r="E292" s="1" t="n">
        <v>46234</v>
      </c>
      <c r="F292" t="inlineStr">
        <is>
          <t>DALARNAS LÄN</t>
        </is>
      </c>
      <c r="G292" t="inlineStr">
        <is>
          <t>VANSBRO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46234</v>
      </c>
      <c r="F293" t="inlineStr">
        <is>
          <t>DALARNAS LÄN</t>
        </is>
      </c>
      <c r="G293" t="inlineStr">
        <is>
          <t>VANSBRO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46234</v>
      </c>
      <c r="F294" t="inlineStr">
        <is>
          <t>DALARNAS LÄN</t>
        </is>
      </c>
      <c r="G294" t="inlineStr">
        <is>
          <t>VANSBRO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45183</v>
      </c>
      <c r="E295" s="1" t="n">
        <v>46234</v>
      </c>
      <c r="F295" t="inlineStr">
        <is>
          <t>DALARNAS LÄN</t>
        </is>
      </c>
      <c r="G295" t="inlineStr">
        <is>
          <t>VANSBRO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46234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46234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46114</v>
      </c>
      <c r="E298" s="1" t="n">
        <v>46234</v>
      </c>
      <c r="F298" t="inlineStr">
        <is>
          <t>DALARNAS LÄN</t>
        </is>
      </c>
      <c r="G298" t="inlineStr">
        <is>
          <t>VANSBRO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62398-2021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46234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22.1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46234</v>
      </c>
      <c r="F300" t="inlineStr">
        <is>
          <t>DALARNAS LÄN</t>
        </is>
      </c>
      <c r="G300" t="inlineStr">
        <is>
          <t>VANSBRO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45315</v>
      </c>
      <c r="E301" s="1" t="n">
        <v>46234</v>
      </c>
      <c r="F301" t="inlineStr">
        <is>
          <t>DALARNAS LÄN</t>
        </is>
      </c>
      <c r="G301" t="inlineStr">
        <is>
          <t>VANSBRO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46234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48111-2024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45589</v>
      </c>
      <c r="E303" s="1" t="n">
        <v>46234</v>
      </c>
      <c r="F303" t="inlineStr">
        <is>
          <t>DALARNAS LÄN</t>
        </is>
      </c>
      <c r="G303" t="inlineStr">
        <is>
          <t>VANSBRO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46234</v>
      </c>
      <c r="F304" t="inlineStr">
        <is>
          <t>DALARNAS LÄN</t>
        </is>
      </c>
      <c r="G304" t="inlineStr">
        <is>
          <t>VANSBRO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46234</v>
      </c>
      <c r="F305" t="inlineStr">
        <is>
          <t>DALARNAS LÄN</t>
        </is>
      </c>
      <c r="G305" t="inlineStr">
        <is>
          <t>VANSBRO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46234</v>
      </c>
      <c r="F306" t="inlineStr">
        <is>
          <t>DALARNAS LÄN</t>
        </is>
      </c>
      <c r="G306" t="inlineStr">
        <is>
          <t>VANSBRO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46234</v>
      </c>
      <c r="F307" t="inlineStr">
        <is>
          <t>DALARNAS LÄN</t>
        </is>
      </c>
      <c r="G307" t="inlineStr">
        <is>
          <t>VANSBRO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46234</v>
      </c>
      <c r="F308" t="inlineStr">
        <is>
          <t>DALARNAS LÄN</t>
        </is>
      </c>
      <c r="G308" t="inlineStr">
        <is>
          <t>VANSBRO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46234</v>
      </c>
      <c r="F309" t="inlineStr">
        <is>
          <t>DALARNAS LÄN</t>
        </is>
      </c>
      <c r="G309" t="inlineStr">
        <is>
          <t>VANSBRO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46234</v>
      </c>
      <c r="F310" t="inlineStr">
        <is>
          <t>DALARNAS LÄN</t>
        </is>
      </c>
      <c r="G310" t="inlineStr">
        <is>
          <t>VANSBRO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46124</v>
      </c>
      <c r="E311" s="1" t="n">
        <v>46234</v>
      </c>
      <c r="F311" t="inlineStr">
        <is>
          <t>DALARNAS LÄN</t>
        </is>
      </c>
      <c r="G311" t="inlineStr">
        <is>
          <t>VANSBRO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18068-2026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46125</v>
      </c>
      <c r="E312" s="1" t="n">
        <v>46234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46234</v>
      </c>
      <c r="F313" t="inlineStr">
        <is>
          <t>DALARNAS LÄN</t>
        </is>
      </c>
      <c r="G313" t="inlineStr">
        <is>
          <t>VANSBRO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46128</v>
      </c>
      <c r="E314" s="1" t="n">
        <v>46234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46234</v>
      </c>
      <c r="F315" t="inlineStr">
        <is>
          <t>DALARNAS LÄN</t>
        </is>
      </c>
      <c r="G315" t="inlineStr">
        <is>
          <t>VANSBRO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46234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46234</v>
      </c>
      <c r="F317" t="inlineStr">
        <is>
          <t>DALARNAS LÄN</t>
        </is>
      </c>
      <c r="G317" t="inlineStr">
        <is>
          <t>VANSBRO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46234</v>
      </c>
      <c r="F318" t="inlineStr">
        <is>
          <t>DALARNAS LÄN</t>
        </is>
      </c>
      <c r="G318" t="inlineStr">
        <is>
          <t>VANSBRO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46234</v>
      </c>
      <c r="F319" t="inlineStr">
        <is>
          <t>DALARNAS LÄN</t>
        </is>
      </c>
      <c r="G319" t="inlineStr">
        <is>
          <t>VANSBRO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46234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46234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46234</v>
      </c>
      <c r="F322" t="inlineStr">
        <is>
          <t>DALARNAS LÄN</t>
        </is>
      </c>
      <c r="G322" t="inlineStr">
        <is>
          <t>VANSBRO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46234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46234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46234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45940</v>
      </c>
      <c r="E326" s="1" t="n">
        <v>46234</v>
      </c>
      <c r="F326" t="inlineStr">
        <is>
          <t>DALARNAS LÄN</t>
        </is>
      </c>
      <c r="G326" t="inlineStr">
        <is>
          <t>VANSBRO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45440</v>
      </c>
      <c r="E327" s="1" t="n">
        <v>46234</v>
      </c>
      <c r="F327" t="inlineStr">
        <is>
          <t>DALARNAS LÄN</t>
        </is>
      </c>
      <c r="G327" t="inlineStr">
        <is>
          <t>VANSBRO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72635-2021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44546</v>
      </c>
      <c r="E328" s="1" t="n">
        <v>46234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46234</v>
      </c>
      <c r="F329" t="inlineStr">
        <is>
          <t>DALARNAS LÄN</t>
        </is>
      </c>
      <c r="G329" t="inlineStr">
        <is>
          <t>VANSBRO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46234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46234</v>
      </c>
      <c r="F331" t="inlineStr">
        <is>
          <t>DALARNAS LÄN</t>
        </is>
      </c>
      <c r="G331" t="inlineStr">
        <is>
          <t>VANSBRO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45187</v>
      </c>
      <c r="E332" s="1" t="n">
        <v>46234</v>
      </c>
      <c r="F332" t="inlineStr">
        <is>
          <t>DALARNAS LÄN</t>
        </is>
      </c>
      <c r="G332" t="inlineStr">
        <is>
          <t>VANSBRO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45776</v>
      </c>
      <c r="E333" s="1" t="n">
        <v>46234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45806</v>
      </c>
      <c r="E334" s="1" t="n">
        <v>46234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46234</v>
      </c>
      <c r="F335" t="inlineStr">
        <is>
          <t>DALARNAS LÄN</t>
        </is>
      </c>
      <c r="G335" t="inlineStr">
        <is>
          <t>VANSBRO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46234</v>
      </c>
      <c r="F336" t="inlineStr">
        <is>
          <t>DALARNAS LÄN</t>
        </is>
      </c>
      <c r="G336" t="inlineStr">
        <is>
          <t>VANSBRO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46234</v>
      </c>
      <c r="F337" t="inlineStr">
        <is>
          <t>DALARNAS LÄN</t>
        </is>
      </c>
      <c r="G337" t="inlineStr">
        <is>
          <t>VANSBRO</t>
        </is>
      </c>
      <c r="I337" t="n">
        <v>13.9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45714</v>
      </c>
      <c r="E338" s="1" t="n">
        <v>46234</v>
      </c>
      <c r="F338" t="inlineStr">
        <is>
          <t>DALARNAS LÄN</t>
        </is>
      </c>
      <c r="G338" t="inlineStr">
        <is>
          <t>VANSBRO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46234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26658-2022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44739</v>
      </c>
      <c r="E340" s="1" t="n">
        <v>46234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45363</v>
      </c>
      <c r="E341" s="1" t="n">
        <v>46234</v>
      </c>
      <c r="F341" t="inlineStr">
        <is>
          <t>DALARNAS LÄN</t>
        </is>
      </c>
      <c r="G341" t="inlineStr">
        <is>
          <t>VANSBRO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51396-2022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44869</v>
      </c>
      <c r="E342" s="1" t="n">
        <v>46234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46234</v>
      </c>
      <c r="F343" t="inlineStr">
        <is>
          <t>DALARNAS LÄN</t>
        </is>
      </c>
      <c r="G343" t="inlineStr">
        <is>
          <t>VANSBRO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46234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46234</v>
      </c>
      <c r="F345" t="inlineStr">
        <is>
          <t>DALARNAS LÄN</t>
        </is>
      </c>
      <c r="G345" t="inlineStr">
        <is>
          <t>VANSBRO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45689</v>
      </c>
      <c r="E346" s="1" t="n">
        <v>46234</v>
      </c>
      <c r="F346" t="inlineStr">
        <is>
          <t>DALARNAS LÄN</t>
        </is>
      </c>
      <c r="G346" t="inlineStr">
        <is>
          <t>VANSBRO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45689</v>
      </c>
      <c r="E347" s="1" t="n">
        <v>46234</v>
      </c>
      <c r="F347" t="inlineStr">
        <is>
          <t>DALARNAS LÄN</t>
        </is>
      </c>
      <c r="G347" t="inlineStr">
        <is>
          <t>VANSBRO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46234</v>
      </c>
      <c r="F348" t="inlineStr">
        <is>
          <t>DALARNAS LÄN</t>
        </is>
      </c>
      <c r="G348" t="inlineStr">
        <is>
          <t>VANSBRO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45244</v>
      </c>
      <c r="E349" s="1" t="n">
        <v>46234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59736-2022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46234</v>
      </c>
      <c r="F350" t="inlineStr">
        <is>
          <t>DALARNAS LÄN</t>
        </is>
      </c>
      <c r="G350" t="inlineStr">
        <is>
          <t>VANSBRO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45363</v>
      </c>
      <c r="E351" s="1" t="n">
        <v>46234</v>
      </c>
      <c r="F351" t="inlineStr">
        <is>
          <t>DALARNAS LÄN</t>
        </is>
      </c>
      <c r="G351" t="inlineStr">
        <is>
          <t>VANSBRO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46234</v>
      </c>
      <c r="F352" t="inlineStr">
        <is>
          <t>DALARNAS LÄN</t>
        </is>
      </c>
      <c r="G352" t="inlineStr">
        <is>
          <t>VANSBRO</t>
        </is>
      </c>
      <c r="I352" t="n">
        <v>15.8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46234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46234</v>
      </c>
      <c r="F354" t="inlineStr">
        <is>
          <t>DALARNAS LÄN</t>
        </is>
      </c>
      <c r="G354" t="inlineStr">
        <is>
          <t>VANSBRO</t>
        </is>
      </c>
      <c r="H354" t="inlineStr">
        <is>
          <t>Övriga statliga verk och myndigheter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51414-2021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44461</v>
      </c>
      <c r="E355" s="1" t="n">
        <v>46234</v>
      </c>
      <c r="F355" t="inlineStr">
        <is>
          <t>DALARNAS LÄN</t>
        </is>
      </c>
      <c r="G355" t="inlineStr">
        <is>
          <t>VANSBRO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46021</v>
      </c>
      <c r="E356" s="1" t="n">
        <v>46234</v>
      </c>
      <c r="F356" t="inlineStr">
        <is>
          <t>DALARNAS LÄN</t>
        </is>
      </c>
      <c r="G356" t="inlineStr">
        <is>
          <t>VANSBRO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40290-2023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45169</v>
      </c>
      <c r="E357" s="1" t="n">
        <v>46234</v>
      </c>
      <c r="F357" t="inlineStr">
        <is>
          <t>DALARNAS LÄN</t>
        </is>
      </c>
      <c r="G357" t="inlineStr">
        <is>
          <t>VANSBRO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46234</v>
      </c>
      <c r="F358" t="inlineStr">
        <is>
          <t>DALARNAS LÄN</t>
        </is>
      </c>
      <c r="G358" t="inlineStr">
        <is>
          <t>VANSBRO</t>
        </is>
      </c>
      <c r="H358" t="inlineStr">
        <is>
          <t>Övriga statliga verk och myndigheter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20931-2022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44701</v>
      </c>
      <c r="E359" s="1" t="n">
        <v>46234</v>
      </c>
      <c r="F359" t="inlineStr">
        <is>
          <t>DALARNAS LÄN</t>
        </is>
      </c>
      <c r="G359" t="inlineStr">
        <is>
          <t>VANSBRO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45296</v>
      </c>
      <c r="E360" s="1" t="n">
        <v>46234</v>
      </c>
      <c r="F360" t="inlineStr">
        <is>
          <t>DALARNAS LÄN</t>
        </is>
      </c>
      <c r="G360" t="inlineStr">
        <is>
          <t>VANSBRO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45775</v>
      </c>
      <c r="E361" s="1" t="n">
        <v>46234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46234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46234</v>
      </c>
      <c r="F363" t="inlineStr">
        <is>
          <t>DALARNAS LÄN</t>
        </is>
      </c>
      <c r="G363" t="inlineStr">
        <is>
          <t>VANSBRO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22756-2024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45448</v>
      </c>
      <c r="E364" s="1" t="n">
        <v>46234</v>
      </c>
      <c r="F364" t="inlineStr">
        <is>
          <t>DALARNAS LÄN</t>
        </is>
      </c>
      <c r="G364" t="inlineStr">
        <is>
          <t>VANSBRO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46195</v>
      </c>
      <c r="E365" s="1" t="n">
        <v>46234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44930</v>
      </c>
      <c r="E366" s="1" t="n">
        <v>46234</v>
      </c>
      <c r="F366" t="inlineStr">
        <is>
          <t>DALARNAS LÄN</t>
        </is>
      </c>
      <c r="G366" t="inlineStr">
        <is>
          <t>VANSBRO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46234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46234</v>
      </c>
      <c r="F368" t="inlineStr">
        <is>
          <t>DALARNAS LÄN</t>
        </is>
      </c>
      <c r="G368" t="inlineStr">
        <is>
          <t>VANSBRO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46234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46234</v>
      </c>
      <c r="F370" t="inlineStr">
        <is>
          <t>DALARNAS LÄN</t>
        </is>
      </c>
      <c r="G370" t="inlineStr">
        <is>
          <t>VANSBRO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11485-2024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45372</v>
      </c>
      <c r="E371" s="1" t="n">
        <v>46234</v>
      </c>
      <c r="F371" t="inlineStr">
        <is>
          <t>DALARNAS LÄN</t>
        </is>
      </c>
      <c r="G371" t="inlineStr">
        <is>
          <t>VANSBRO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46234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46234</v>
      </c>
      <c r="F373" t="inlineStr">
        <is>
          <t>DALARNAS LÄN</t>
        </is>
      </c>
      <c r="G373" t="inlineStr">
        <is>
          <t>VANSBRO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46234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43570-2023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45184</v>
      </c>
      <c r="E375" s="1" t="n">
        <v>46234</v>
      </c>
      <c r="F375" t="inlineStr">
        <is>
          <t>DALARNAS LÄN</t>
        </is>
      </c>
      <c r="G375" t="inlineStr">
        <is>
          <t>VANSBRO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45082</v>
      </c>
      <c r="E376" s="1" t="n">
        <v>46234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46234</v>
      </c>
      <c r="F377" t="inlineStr">
        <is>
          <t>DALARNAS LÄN</t>
        </is>
      </c>
      <c r="G377" t="inlineStr">
        <is>
          <t>VANSBRO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46234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46234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46234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45754</v>
      </c>
      <c r="E381" s="1" t="n">
        <v>46234</v>
      </c>
      <c r="F381" t="inlineStr">
        <is>
          <t>DALARNAS LÄN</t>
        </is>
      </c>
      <c r="G381" t="inlineStr">
        <is>
          <t>VANSBRO</t>
        </is>
      </c>
      <c r="I381" t="n">
        <v>9.9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46234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17807-2022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44673</v>
      </c>
      <c r="E383" s="1" t="n">
        <v>46234</v>
      </c>
      <c r="F383" t="inlineStr">
        <is>
          <t>DALARNAS LÄN</t>
        </is>
      </c>
      <c r="G383" t="inlineStr">
        <is>
          <t>VANSBRO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46234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45240</v>
      </c>
      <c r="E385" s="1" t="n">
        <v>46234</v>
      </c>
      <c r="F385" t="inlineStr">
        <is>
          <t>DALARNAS LÄN</t>
        </is>
      </c>
      <c r="G385" t="inlineStr">
        <is>
          <t>VANSBRO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46234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46234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51606-2023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45222</v>
      </c>
      <c r="E388" s="1" t="n">
        <v>46234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46234</v>
      </c>
      <c r="F389" t="inlineStr">
        <is>
          <t>DALARNAS LÄN</t>
        </is>
      </c>
      <c r="G389" t="inlineStr">
        <is>
          <t>VANSBRO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44855</v>
      </c>
      <c r="E390" s="1" t="n">
        <v>46234</v>
      </c>
      <c r="F390" t="inlineStr">
        <is>
          <t>DALARNAS LÄN</t>
        </is>
      </c>
      <c r="G390" t="inlineStr">
        <is>
          <t>VANSBRO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45244</v>
      </c>
      <c r="E391" s="1" t="n">
        <v>46234</v>
      </c>
      <c r="F391" t="inlineStr">
        <is>
          <t>DALARNAS LÄN</t>
        </is>
      </c>
      <c r="G391" t="inlineStr">
        <is>
          <t>VANSBRO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60031-2022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44909</v>
      </c>
      <c r="E392" s="1" t="n">
        <v>46234</v>
      </c>
      <c r="F392" t="inlineStr">
        <is>
          <t>DALARNAS LÄN</t>
        </is>
      </c>
      <c r="G392" t="inlineStr">
        <is>
          <t>VANSBRO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5386-2024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45331</v>
      </c>
      <c r="E393" s="1" t="n">
        <v>46234</v>
      </c>
      <c r="F393" t="inlineStr">
        <is>
          <t>DALARNAS LÄN</t>
        </is>
      </c>
      <c r="G393" t="inlineStr">
        <is>
          <t>VANSBRO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46234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46234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46234</v>
      </c>
      <c r="F396" t="inlineStr">
        <is>
          <t>DALARNAS LÄN</t>
        </is>
      </c>
      <c r="G396" t="inlineStr">
        <is>
          <t>VANSBRO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23752-2026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46234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5420-2024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45331</v>
      </c>
      <c r="E398" s="1" t="n">
        <v>46234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46164</v>
      </c>
      <c r="E399" s="1" t="n">
        <v>46234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45254</v>
      </c>
      <c r="E400" s="1" t="n">
        <v>46234</v>
      </c>
      <c r="F400" t="inlineStr">
        <is>
          <t>DALARNAS LÄN</t>
        </is>
      </c>
      <c r="G400" t="inlineStr">
        <is>
          <t>VANSBRO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46234</v>
      </c>
      <c r="F401" t="inlineStr">
        <is>
          <t>DALARNAS LÄN</t>
        </is>
      </c>
      <c r="G401" t="inlineStr">
        <is>
          <t>VANSBRO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44930</v>
      </c>
      <c r="E402" s="1" t="n">
        <v>46234</v>
      </c>
      <c r="F402" t="inlineStr">
        <is>
          <t>DALARNAS LÄN</t>
        </is>
      </c>
      <c r="G402" t="inlineStr">
        <is>
          <t>VANSBRO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46234</v>
      </c>
      <c r="F403" t="inlineStr">
        <is>
          <t>DALARNAS LÄN</t>
        </is>
      </c>
      <c r="G403" t="inlineStr">
        <is>
          <t>VANSBRO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46234</v>
      </c>
      <c r="F404" t="inlineStr">
        <is>
          <t>DALARNAS LÄN</t>
        </is>
      </c>
      <c r="G404" t="inlineStr">
        <is>
          <t>VANSBRO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46234</v>
      </c>
      <c r="F405" t="inlineStr">
        <is>
          <t>DALARNAS LÄN</t>
        </is>
      </c>
      <c r="G405" t="inlineStr">
        <is>
          <t>VANSBRO</t>
        </is>
      </c>
      <c r="H405" t="inlineStr">
        <is>
          <t>Kommuner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46234</v>
      </c>
      <c r="F406" t="inlineStr">
        <is>
          <t>DALARNAS LÄN</t>
        </is>
      </c>
      <c r="G406" t="inlineStr">
        <is>
          <t>VANSBRO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46234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46234</v>
      </c>
      <c r="F408" t="inlineStr">
        <is>
          <t>DALARNAS LÄN</t>
        </is>
      </c>
      <c r="G408" t="inlineStr">
        <is>
          <t>VANSBRO</t>
        </is>
      </c>
      <c r="H408" t="inlineStr">
        <is>
          <t>Övriga statliga verk och myndigheter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46234</v>
      </c>
      <c r="F409" t="inlineStr">
        <is>
          <t>DALARNAS LÄN</t>
        </is>
      </c>
      <c r="G409" t="inlineStr">
        <is>
          <t>VANSBRO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45247</v>
      </c>
      <c r="E410" s="1" t="n">
        <v>46234</v>
      </c>
      <c r="F410" t="inlineStr">
        <is>
          <t>DALARNAS LÄN</t>
        </is>
      </c>
      <c r="G410" t="inlineStr">
        <is>
          <t>VANSBRO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44931</v>
      </c>
      <c r="E411" s="1" t="n">
        <v>46234</v>
      </c>
      <c r="F411" t="inlineStr">
        <is>
          <t>DALARNAS LÄN</t>
        </is>
      </c>
      <c r="G411" t="inlineStr">
        <is>
          <t>VANSBRO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46234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46234</v>
      </c>
      <c r="F413" t="inlineStr">
        <is>
          <t>DALARNAS LÄN</t>
        </is>
      </c>
      <c r="G413" t="inlineStr">
        <is>
          <t>VANSBRO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46234</v>
      </c>
      <c r="F414" t="inlineStr">
        <is>
          <t>DALARNAS LÄN</t>
        </is>
      </c>
      <c r="G414" t="inlineStr">
        <is>
          <t>VANSBRO</t>
        </is>
      </c>
      <c r="H414" t="inlineStr">
        <is>
          <t>Övriga statliga verk och myndigheter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46234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46234</v>
      </c>
      <c r="F416" t="inlineStr">
        <is>
          <t>DALARNAS LÄN</t>
        </is>
      </c>
      <c r="G416" t="inlineStr">
        <is>
          <t>VANSBRO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46234</v>
      </c>
      <c r="F417" t="inlineStr">
        <is>
          <t>DALARNAS LÄN</t>
        </is>
      </c>
      <c r="G417" t="inlineStr">
        <is>
          <t>VANSBRO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45491</v>
      </c>
      <c r="E418" s="1" t="n">
        <v>46234</v>
      </c>
      <c r="F418" t="inlineStr">
        <is>
          <t>DALARNAS LÄN</t>
        </is>
      </c>
      <c r="G418" t="inlineStr">
        <is>
          <t>VANSBRO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46234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29174-2026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46202</v>
      </c>
      <c r="E420" s="1" t="n">
        <v>46234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46234</v>
      </c>
      <c r="F421" t="inlineStr">
        <is>
          <t>DALARNAS LÄN</t>
        </is>
      </c>
      <c r="G421" t="inlineStr">
        <is>
          <t>VANSBRO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46234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46234</v>
      </c>
      <c r="F423" t="inlineStr">
        <is>
          <t>DALARNAS LÄN</t>
        </is>
      </c>
      <c r="G423" t="inlineStr">
        <is>
          <t>VANSBRO</t>
        </is>
      </c>
      <c r="I423" t="n">
        <v>15.5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46234</v>
      </c>
      <c r="F424" t="inlineStr">
        <is>
          <t>DALARNAS LÄN</t>
        </is>
      </c>
      <c r="G424" t="inlineStr">
        <is>
          <t>VANSBRO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46234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46234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61515-2022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44916</v>
      </c>
      <c r="E427" s="1" t="n">
        <v>46234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46234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46234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46234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46234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46234</v>
      </c>
      <c r="F432" t="inlineStr">
        <is>
          <t>DALARNAS LÄN</t>
        </is>
      </c>
      <c r="G432" t="inlineStr">
        <is>
          <t>VANSBRO</t>
        </is>
      </c>
      <c r="H432" t="inlineStr">
        <is>
          <t>Övriga statliga verk och myndigheter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46234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46234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46234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46234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46234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46234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46234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46234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46234</v>
      </c>
      <c r="F441" t="inlineStr">
        <is>
          <t>DALARNAS LÄN</t>
        </is>
      </c>
      <c r="G441" t="inlineStr">
        <is>
          <t>VANSBRO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27631-2026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46234</v>
      </c>
      <c r="F442" t="inlineStr">
        <is>
          <t>DALARNAS LÄN</t>
        </is>
      </c>
      <c r="G442" t="inlineStr">
        <is>
          <t>VANSBRO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46234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46234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46234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46234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46234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2026-07-31T01:51:50Z</dcterms:created>
  <dcterms:modified xmlns:dcterms="http://purl.org/dc/terms/" xmlns:xsi="http://www.w3.org/2001/XMLSchema-instance" xsi:type="dcterms:W3CDTF">2026-07-31T01:51:50Z</dcterms:modified>
</cp:coreProperties>
</file>