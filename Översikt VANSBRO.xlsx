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46309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46309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46309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46309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46309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46309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46309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46309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46309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46309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46309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46309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46309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6640-2026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46309</v>
      </c>
      <c r="F15" t="inlineStr">
        <is>
          <t>DALARNAS LÄN</t>
        </is>
      </c>
      <c r="G15" t="inlineStr">
        <is>
          <t>VANSBRO</t>
        </is>
      </c>
      <c r="I15" t="n">
        <v>5.4</v>
      </c>
      <c r="J15" t="n">
        <v>1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35</v>
      </c>
      <c r="U15" t="n">
        <v>0</v>
      </c>
      <c r="V15" s="2" t="inlineStr">
        <is>
          <t>Garnlav
Dvärgbägarlav
Mörk kolflarnlav
Tallticka
Vedskivlav
Mindre märgborre
Nästlav
Tjäder</t>
        </is>
      </c>
      <c r="W15">
        <f>HYPERLINK("https://klasma.github.io/Logging_2021/artfynd/A 6640-2026 artfynd.xlsx", "A 6640-2026")</f>
        <v/>
      </c>
      <c r="X15">
        <f>HYPERLINK("https://klasma.github.io/Logging_2021/kartor/A 6640-2026 karta.png", "A 6640-2026")</f>
        <v/>
      </c>
      <c r="Y15">
        <f>HYPERLINK("https://klasma.github.io/Logging_2021/kartor_geotiff/A 6640-2026 georefererad karta.tif", "A 6640-2026")</f>
        <v/>
      </c>
      <c r="AA15">
        <f>HYPERLINK("https://klasma.github.io/Logging_2021/klagomål/A 6640-2026 FSC-klagomål.docx", "A 6640-2026")</f>
        <v/>
      </c>
      <c r="AB15">
        <f>HYPERLINK("https://klasma.github.io/Logging_2021/klagomålsmail/A 6640-2026 FSC-klagomål mail.docx", "A 6640-2026")</f>
        <v/>
      </c>
      <c r="AC15">
        <f>HYPERLINK("https://klasma.github.io/Logging_2021/tillsyn/A 6640-2026 tillsynsbegäran.docx", "A 6640-2026")</f>
        <v/>
      </c>
      <c r="AD15">
        <f>HYPERLINK("https://klasma.github.io/Logging_2021/tillsynsmail/A 6640-2026 tillsynsbegäran mail.docx", "A 6640-2026")</f>
        <v/>
      </c>
      <c r="AE15">
        <f>HYPERLINK("https://klasma.github.io/Logging_2021/fåglar/A 6640-2026 prioriterade fågelarter.docx", "A 6640-2026")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46309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46309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46309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46309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46309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46309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46309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46309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46309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46309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46309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46309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46309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46309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46309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46309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41377-2026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46301</v>
      </c>
      <c r="E32" s="1" t="n">
        <v>46309</v>
      </c>
      <c r="F32" t="inlineStr">
        <is>
          <t>DALARNAS LÄN</t>
        </is>
      </c>
      <c r="G32" t="inlineStr">
        <is>
          <t>VANSBRO</t>
        </is>
      </c>
      <c r="I32" t="n">
        <v>0.6</v>
      </c>
      <c r="J32" t="n">
        <v>1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3</v>
      </c>
      <c r="T32" t="n">
        <v>4</v>
      </c>
      <c r="U32" t="n">
        <v>0</v>
      </c>
      <c r="V32" s="2" t="inlineStr">
        <is>
          <t>Garnlav
Knärot
Ullticka</t>
        </is>
      </c>
      <c r="W32">
        <f>HYPERLINK("https://klasma.github.io/Logging_2021/artfynd/A 41377-2026 artfynd.xlsx", "A 41377-2026")</f>
        <v/>
      </c>
      <c r="X32">
        <f>HYPERLINK("https://klasma.github.io/Logging_2021/kartor/A 41377-2026 karta.png", "A 41377-2026")</f>
        <v/>
      </c>
      <c r="Y32">
        <f>HYPERLINK("https://klasma.github.io/Logging_2021/kartor_geotiff/A 41377-2026 georefererad karta.tif", "A 41377-2026")</f>
        <v/>
      </c>
      <c r="Z32">
        <f>HYPERLINK("https://klasma.github.io/Logging_2021/knärot/A 41377-2026 karta knärot.png", "A 41377-2026")</f>
        <v/>
      </c>
      <c r="AA32">
        <f>HYPERLINK("https://klasma.github.io/Logging_2021/klagomål/A 41377-2026 FSC-klagomål.docx", "A 41377-2026")</f>
        <v/>
      </c>
      <c r="AB32">
        <f>HYPERLINK("https://klasma.github.io/Logging_2021/klagomålsmail/A 41377-2026 FSC-klagomål mail.docx", "A 41377-2026")</f>
        <v/>
      </c>
      <c r="AC32">
        <f>HYPERLINK("https://klasma.github.io/Logging_2021/tillsyn/A 41377-2026 tillsynsbegäran.docx", "A 41377-2026")</f>
        <v/>
      </c>
      <c r="AD32">
        <f>HYPERLINK("https://klasma.github.io/Logging_2021/tillsynsmail/A 41377-2026 tillsynsbegäran mail.docx", "A 41377-2026")</f>
        <v/>
      </c>
    </row>
    <row r="33" ht="15" customHeight="1">
      <c r="A33" t="inlineStr">
        <is>
          <t>A 41690-2026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46302</v>
      </c>
      <c r="E33" s="1" t="n">
        <v>46309</v>
      </c>
      <c r="F33" t="inlineStr">
        <is>
          <t>DALARNAS LÄN</t>
        </is>
      </c>
      <c r="G33" t="inlineStr">
        <is>
          <t>VANSBRO</t>
        </is>
      </c>
      <c r="I33" t="n">
        <v>2.4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Drillsnäppa
Ullticka
Älg</t>
        </is>
      </c>
      <c r="W33">
        <f>HYPERLINK("https://klasma.github.io/Logging_2021/artfynd/A 41690-2026 artfynd.xlsx", "A 41690-2026")</f>
        <v/>
      </c>
      <c r="X33">
        <f>HYPERLINK("https://klasma.github.io/Logging_2021/kartor/A 41690-2026 karta.png", "A 41690-2026")</f>
        <v/>
      </c>
      <c r="Y33">
        <f>HYPERLINK("https://klasma.github.io/Logging_2021/kartor_geotiff/A 41690-2026 georefererad karta.tif", "A 41690-2026")</f>
        <v/>
      </c>
      <c r="AA33">
        <f>HYPERLINK("https://klasma.github.io/Logging_2021/klagomål/A 41690-2026 FSC-klagomål.docx", "A 41690-2026")</f>
        <v/>
      </c>
      <c r="AB33">
        <f>HYPERLINK("https://klasma.github.io/Logging_2021/klagomålsmail/A 41690-2026 FSC-klagomål mail.docx", "A 41690-2026")</f>
        <v/>
      </c>
      <c r="AC33">
        <f>HYPERLINK("https://klasma.github.io/Logging_2021/tillsyn/A 41690-2026 tillsynsbegäran.docx", "A 41690-2026")</f>
        <v/>
      </c>
      <c r="AD33">
        <f>HYPERLINK("https://klasma.github.io/Logging_2021/tillsynsmail/A 41690-2026 tillsynsbegäran mail.docx", "A 41690-2026")</f>
        <v/>
      </c>
      <c r="AE33">
        <f>HYPERLINK("https://klasma.github.io/Logging_2021/fåglar/A 41690-2026 prioriterade fågelarter.docx", "A 41690-2026")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46309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46309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13323-2025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45735</v>
      </c>
      <c r="E36" s="1" t="n">
        <v>46309</v>
      </c>
      <c r="F36" t="inlineStr">
        <is>
          <t>DALARNAS LÄN</t>
        </is>
      </c>
      <c r="G36" t="inlineStr">
        <is>
          <t>VANSBRO</t>
        </is>
      </c>
      <c r="I36" t="n">
        <v>2.1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Ullticka</t>
        </is>
      </c>
      <c r="W36">
        <f>HYPERLINK("https://klasma.github.io/Logging_2021/artfynd/A 13323-2025 artfynd.xlsx", "A 13323-2025")</f>
        <v/>
      </c>
      <c r="X36">
        <f>HYPERLINK("https://klasma.github.io/Logging_2021/kartor/A 13323-2025 karta.png", "A 13323-2025")</f>
        <v/>
      </c>
      <c r="Y36">
        <f>HYPERLINK("https://klasma.github.io/Logging_2021/kartor_geotiff/A 13323-2025 georefererad karta.tif", "A 13323-2025")</f>
        <v/>
      </c>
      <c r="Z36">
        <f>HYPERLINK("https://klasma.github.io/Logging_2021/knärot/A 13323-2025 karta knärot.png", "A 13323-2025")</f>
        <v/>
      </c>
      <c r="AA36">
        <f>HYPERLINK("https://klasma.github.io/Logging_2021/klagomål/A 13323-2025 FSC-klagomål.docx", "A 13323-2025")</f>
        <v/>
      </c>
      <c r="AB36">
        <f>HYPERLINK("https://klasma.github.io/Logging_2021/klagomålsmail/A 13323-2025 FSC-klagomål mail.docx", "A 13323-2025")</f>
        <v/>
      </c>
      <c r="AC36">
        <f>HYPERLINK("https://klasma.github.io/Logging_2021/tillsyn/A 13323-2025 tillsynsbegäran.docx", "A 13323-2025")</f>
        <v/>
      </c>
      <c r="AD36">
        <f>HYPERLINK("https://klasma.github.io/Logging_2021/tillsynsmail/A 13323-2025 tillsynsbegäran mail.docx", "A 13323-2025")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46309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14475-2024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46309</v>
      </c>
      <c r="F38" t="inlineStr">
        <is>
          <t>DALARNAS LÄN</t>
        </is>
      </c>
      <c r="G38" t="inlineStr">
        <is>
          <t>VANSBRO</t>
        </is>
      </c>
      <c r="I38" t="n">
        <v>20.4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3</v>
      </c>
      <c r="U38" t="n">
        <v>3</v>
      </c>
      <c r="V38" s="2" t="inlineStr">
        <is>
          <t>Garnlav
Dropptaggsvamp</t>
        </is>
      </c>
      <c r="W38">
        <f>HYPERLINK("https://klasma.github.io/Logging_2021/artfynd/A 14475-2024 artfynd.xlsx", "A 14475-2024")</f>
        <v/>
      </c>
      <c r="X38">
        <f>HYPERLINK("https://klasma.github.io/Logging_2021/kartor/A 14475-2024 karta.png", "A 14475-2024")</f>
        <v/>
      </c>
      <c r="Y38">
        <f>HYPERLINK("https://klasma.github.io/Logging_2021/kartor_geotiff/A 14475-2024 georefererad karta.tif", "A 14475-2024")</f>
        <v/>
      </c>
      <c r="AA38">
        <f>HYPERLINK("https://klasma.github.io/Logging_2021/klagomål/A 14475-2024 FSC-klagomål.docx", "A 14475-2024")</f>
        <v/>
      </c>
      <c r="AB38">
        <f>HYPERLINK("https://klasma.github.io/Logging_2021/klagomålsmail/A 14475-2024 FSC-klagomål mail.docx", "A 14475-2024")</f>
        <v/>
      </c>
      <c r="AC38">
        <f>HYPERLINK("https://klasma.github.io/Logging_2021/tillsyn/A 14475-2024 tillsynsbegäran.docx", "A 14475-2024")</f>
        <v/>
      </c>
      <c r="AD38">
        <f>HYPERLINK("https://klasma.github.io/Logging_2021/tillsynsmail/A 14475-2024 tillsynsbegäran mail.docx", "A 14475-2024")</f>
        <v/>
      </c>
    </row>
    <row r="39" ht="15" customHeight="1">
      <c r="A39" t="inlineStr">
        <is>
          <t>A 58009-2023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46309</v>
      </c>
      <c r="F39" t="inlineStr">
        <is>
          <t>DALARNAS LÄN</t>
        </is>
      </c>
      <c r="G39" t="inlineStr">
        <is>
          <t>VANSBRO</t>
        </is>
      </c>
      <c r="I39" t="n">
        <v>0.5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Sädesärla
Orre</t>
        </is>
      </c>
      <c r="W39">
        <f>HYPERLINK("https://klasma.github.io/Logging_2021/artfynd/A 58009-2023 artfynd.xlsx", "A 58009-2023")</f>
        <v/>
      </c>
      <c r="X39">
        <f>HYPERLINK("https://klasma.github.io/Logging_2021/kartor/A 58009-2023 karta.png", "A 58009-2023")</f>
        <v/>
      </c>
      <c r="Y39">
        <f>HYPERLINK("https://klasma.github.io/Logging_2021/kartor_geotiff/A 58009-2023 georefererad karta.tif", "A 58009-2023")</f>
        <v/>
      </c>
      <c r="AA39">
        <f>HYPERLINK("https://klasma.github.io/Logging_2021/klagomål/A 58009-2023 FSC-klagomål.docx", "A 58009-2023")</f>
        <v/>
      </c>
      <c r="AB39">
        <f>HYPERLINK("https://klasma.github.io/Logging_2021/klagomålsmail/A 58009-2023 FSC-klagomål mail.docx", "A 58009-2023")</f>
        <v/>
      </c>
      <c r="AC39">
        <f>HYPERLINK("https://klasma.github.io/Logging_2021/tillsyn/A 58009-2023 tillsynsbegäran.docx", "A 58009-2023")</f>
        <v/>
      </c>
      <c r="AD39">
        <f>HYPERLINK("https://klasma.github.io/Logging_2021/tillsynsmail/A 58009-2023 tillsynsbegäran mail.docx", "A 58009-2023")</f>
        <v/>
      </c>
      <c r="AE39">
        <f>HYPERLINK("https://klasma.github.io/Logging_2021/fåglar/A 58009-2023 prioriterade fågelarter.docx", "A 58009-2023")</f>
        <v/>
      </c>
    </row>
    <row r="40" ht="15" customHeight="1">
      <c r="A40" t="inlineStr">
        <is>
          <t>A 33793-2026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46309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0.9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Nästlav</t>
        </is>
      </c>
      <c r="W40">
        <f>HYPERLINK("https://klasma.github.io/Logging_2021/artfynd/A 33793-2026 artfynd.xlsx", "A 33793-2026")</f>
        <v/>
      </c>
      <c r="X40">
        <f>HYPERLINK("https://klasma.github.io/Logging_2021/kartor/A 33793-2026 karta.png", "A 33793-2026")</f>
        <v/>
      </c>
      <c r="Y40">
        <f>HYPERLINK("https://klasma.github.io/Logging_2021/kartor_geotiff/A 33793-2026 georefererad karta.tif", "A 33793-2026")</f>
        <v/>
      </c>
      <c r="AA40">
        <f>HYPERLINK("https://klasma.github.io/Logging_2021/klagomål/A 33793-2026 FSC-klagomål.docx", "A 33793-2026")</f>
        <v/>
      </c>
      <c r="AB40">
        <f>HYPERLINK("https://klasma.github.io/Logging_2021/klagomålsmail/A 33793-2026 FSC-klagomål mail.docx", "A 33793-2026")</f>
        <v/>
      </c>
      <c r="AC40">
        <f>HYPERLINK("https://klasma.github.io/Logging_2021/tillsyn/A 33793-2026 tillsynsbegäran.docx", "A 33793-2026")</f>
        <v/>
      </c>
      <c r="AD40">
        <f>HYPERLINK("https://klasma.github.io/Logging_2021/tillsynsmail/A 33793-2026 tillsynsbegäran mail.docx", "A 33793-2026")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46309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32917-2025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46309</v>
      </c>
      <c r="F42" t="inlineStr">
        <is>
          <t>DALARNAS LÄN</t>
        </is>
      </c>
      <c r="G42" t="inlineStr">
        <is>
          <t>VANSBRO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Garnlav</t>
        </is>
      </c>
      <c r="W42">
        <f>HYPERLINK("https://klasma.github.io/Logging_2021/artfynd/A 32917-2025 artfynd.xlsx", "A 32917-2025")</f>
        <v/>
      </c>
      <c r="X42">
        <f>HYPERLINK("https://klasma.github.io/Logging_2021/kartor/A 32917-2025 karta.png", "A 32917-2025")</f>
        <v/>
      </c>
      <c r="Y42">
        <f>HYPERLINK("https://klasma.github.io/Logging_2021/kartor_geotiff/A 32917-2025 georefererad karta.tif", "A 32917-2025")</f>
        <v/>
      </c>
      <c r="AA42">
        <f>HYPERLINK("https://klasma.github.io/Logging_2021/klagomål/A 32917-2025 FSC-klagomål.docx", "A 32917-2025")</f>
        <v/>
      </c>
      <c r="AB42">
        <f>HYPERLINK("https://klasma.github.io/Logging_2021/klagomålsmail/A 32917-2025 FSC-klagomål mail.docx", "A 32917-2025")</f>
        <v/>
      </c>
      <c r="AC42">
        <f>HYPERLINK("https://klasma.github.io/Logging_2021/tillsyn/A 32917-2025 tillsynsbegäran.docx", "A 32917-2025")</f>
        <v/>
      </c>
      <c r="AD42">
        <f>HYPERLINK("https://klasma.github.io/Logging_2021/tillsynsmail/A 32917-2025 tillsynsbegäran mail.docx", "A 32917-2025")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46309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46309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46309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46309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20076-2026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46309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öst AB</t>
        </is>
      </c>
      <c r="I47" t="n">
        <v>13.2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Kransrams</t>
        </is>
      </c>
      <c r="W47">
        <f>HYPERLINK("https://klasma.github.io/Logging_2021/artfynd/A 20076-2026 artfynd.xlsx", "A 20076-2026")</f>
        <v/>
      </c>
      <c r="X47">
        <f>HYPERLINK("https://klasma.github.io/Logging_2021/kartor/A 20076-2026 karta.png", "A 20076-2026")</f>
        <v/>
      </c>
      <c r="Y47">
        <f>HYPERLINK("https://klasma.github.io/Logging_2021/kartor_geotiff/A 20076-2026 georefererad karta.tif", "A 20076-2026")</f>
        <v/>
      </c>
      <c r="AA47">
        <f>HYPERLINK("https://klasma.github.io/Logging_2021/klagomål/A 20076-2026 FSC-klagomål.docx", "A 20076-2026")</f>
        <v/>
      </c>
      <c r="AB47">
        <f>HYPERLINK("https://klasma.github.io/Logging_2021/klagomålsmail/A 20076-2026 FSC-klagomål mail.docx", "A 20076-2026")</f>
        <v/>
      </c>
      <c r="AC47">
        <f>HYPERLINK("https://klasma.github.io/Logging_2021/tillsyn/A 20076-2026 tillsynsbegäran.docx", "A 20076-2026")</f>
        <v/>
      </c>
      <c r="AD47">
        <f>HYPERLINK("https://klasma.github.io/Logging_2021/tillsynsmail/A 20076-2026 tillsynsbegäran mail.docx", "A 20076-2026")</f>
        <v/>
      </c>
    </row>
    <row r="48" ht="15" customHeight="1">
      <c r="A48" t="inlineStr">
        <is>
          <t>A 52675-2025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45956</v>
      </c>
      <c r="E48" s="1" t="n">
        <v>46309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Motaggsvamp</t>
        </is>
      </c>
      <c r="W48">
        <f>HYPERLINK("https://klasma.github.io/Logging_2021/artfynd/A 52675-2025 artfynd.xlsx", "A 52675-2025")</f>
        <v/>
      </c>
      <c r="X48">
        <f>HYPERLINK("https://klasma.github.io/Logging_2021/kartor/A 52675-2025 karta.png", "A 52675-2025")</f>
        <v/>
      </c>
      <c r="Y48">
        <f>HYPERLINK("https://klasma.github.io/Logging_2021/kartor_geotiff/A 52675-2025 georefererad karta.tif", "A 52675-2025")</f>
        <v/>
      </c>
      <c r="AA48">
        <f>HYPERLINK("https://klasma.github.io/Logging_2021/klagomål/A 52675-2025 FSC-klagomål.docx", "A 52675-2025")</f>
        <v/>
      </c>
      <c r="AB48">
        <f>HYPERLINK("https://klasma.github.io/Logging_2021/klagomålsmail/A 52675-2025 FSC-klagomål mail.docx", "A 52675-2025")</f>
        <v/>
      </c>
      <c r="AC48">
        <f>HYPERLINK("https://klasma.github.io/Logging_2021/tillsyn/A 52675-2025 tillsynsbegäran.docx", "A 52675-2025")</f>
        <v/>
      </c>
      <c r="AD48">
        <f>HYPERLINK("https://klasma.github.io/Logging_2021/tillsynsmail/A 52675-2025 tillsynsbegäran mail.docx", "A 52675-2025")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46309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46309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54453-2024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45617</v>
      </c>
      <c r="E51" s="1" t="n">
        <v>46309</v>
      </c>
      <c r="F51" t="inlineStr">
        <is>
          <t>DALARNAS LÄN</t>
        </is>
      </c>
      <c r="G51" t="inlineStr">
        <is>
          <t>VANSBRO</t>
        </is>
      </c>
      <c r="I51" t="n">
        <v>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Skarp dropptaggsvamp</t>
        </is>
      </c>
      <c r="W51">
        <f>HYPERLINK("https://klasma.github.io/Logging_2021/artfynd/A 54453-2024 artfynd.xlsx", "A 54453-2024")</f>
        <v/>
      </c>
      <c r="X51">
        <f>HYPERLINK("https://klasma.github.io/Logging_2021/kartor/A 54453-2024 karta.png", "A 54453-2024")</f>
        <v/>
      </c>
      <c r="Y51">
        <f>HYPERLINK("https://klasma.github.io/Logging_2021/kartor_geotiff/A 54453-2024 georefererad karta.tif", "A 54453-2024")</f>
        <v/>
      </c>
      <c r="AA51">
        <f>HYPERLINK("https://klasma.github.io/Logging_2021/klagomål/A 54453-2024 FSC-klagomål.docx", "A 54453-2024")</f>
        <v/>
      </c>
      <c r="AB51">
        <f>HYPERLINK("https://klasma.github.io/Logging_2021/klagomålsmail/A 54453-2024 FSC-klagomål mail.docx", "A 54453-2024")</f>
        <v/>
      </c>
      <c r="AC51">
        <f>HYPERLINK("https://klasma.github.io/Logging_2021/tillsyn/A 54453-2024 tillsynsbegäran.docx", "A 54453-2024")</f>
        <v/>
      </c>
      <c r="AD51">
        <f>HYPERLINK("https://klasma.github.io/Logging_2021/tillsynsmail/A 54453-2024 tillsynsbegäran mail.docx", "A 54453-2024")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46309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A 35533-2026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46309</v>
      </c>
      <c r="F53" t="inlineStr">
        <is>
          <t>DALARNAS LÄN</t>
        </is>
      </c>
      <c r="G53" t="inlineStr">
        <is>
          <t>VANSBRO</t>
        </is>
      </c>
      <c r="I53" t="n">
        <v>1.3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HYPERLINK("https://klasma.github.io/Logging_2021/artfynd/A 35533-2026 artfynd.xlsx", "A 35533-2026")</f>
        <v/>
      </c>
      <c r="X53">
        <f>HYPERLINK("https://klasma.github.io/Logging_2021/kartor/A 35533-2026 karta.png", "A 35533-2026")</f>
        <v/>
      </c>
      <c r="Y53">
        <f>HYPERLINK("https://klasma.github.io/Logging_2021/kartor_geotiff/A 35533-2026 georefererad karta.tif", "A 35533-2026")</f>
        <v/>
      </c>
      <c r="Z53">
        <f>HYPERLINK("https://klasma.github.io/Logging_2021/knärot/A 35533-2026 karta knärot.png", "A 35533-2026")</f>
        <v/>
      </c>
      <c r="AA53">
        <f>HYPERLINK("https://klasma.github.io/Logging_2021/klagomål/A 35533-2026 FSC-klagomål.docx", "A 35533-2026")</f>
        <v/>
      </c>
      <c r="AB53">
        <f>HYPERLINK("https://klasma.github.io/Logging_2021/klagomålsmail/A 35533-2026 FSC-klagomål mail.docx", "A 35533-2026")</f>
        <v/>
      </c>
      <c r="AC53">
        <f>HYPERLINK("https://klasma.github.io/Logging_2021/tillsyn/A 35533-2026 tillsynsbegäran.docx", "A 35533-2026")</f>
        <v/>
      </c>
      <c r="AD53">
        <f>HYPERLINK("https://klasma.github.io/Logging_2021/tillsynsmail/A 35533-2026 tillsynsbegäran mail.docx", "A 35533-2026")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46309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46309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46309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46309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46309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46309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46309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46309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46309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46309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46309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46309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46309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46309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46309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46309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46309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44774</v>
      </c>
      <c r="E71" s="1" t="n">
        <v>46309</v>
      </c>
      <c r="F71" t="inlineStr">
        <is>
          <t>DALARNAS LÄN</t>
        </is>
      </c>
      <c r="G71" t="inlineStr">
        <is>
          <t>VANSBRO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44614</v>
      </c>
      <c r="E72" s="1" t="n">
        <v>46309</v>
      </c>
      <c r="F72" t="inlineStr">
        <is>
          <t>DALARNAS LÄN</t>
        </is>
      </c>
      <c r="G72" t="inlineStr">
        <is>
          <t>VANSBRO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46309</v>
      </c>
      <c r="F73" t="inlineStr">
        <is>
          <t>DALARNAS LÄN</t>
        </is>
      </c>
      <c r="G73" t="inlineStr">
        <is>
          <t>VANSBRO</t>
        </is>
      </c>
      <c r="H73" t="inlineStr">
        <is>
          <t>Övriga statliga verk och myndigheter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46309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46309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46309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46309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46309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46309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46309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46309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46309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37970-2022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44811</v>
      </c>
      <c r="E83" s="1" t="n">
        <v>46309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44739</v>
      </c>
      <c r="E84" s="1" t="n">
        <v>46309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45363</v>
      </c>
      <c r="E85" s="1" t="n">
        <v>46309</v>
      </c>
      <c r="F85" t="inlineStr">
        <is>
          <t>DALARNAS LÄN</t>
        </is>
      </c>
      <c r="G85" t="inlineStr">
        <is>
          <t>VANSBRO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46309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45749</v>
      </c>
      <c r="E87" s="1" t="n">
        <v>46309</v>
      </c>
      <c r="F87" t="inlineStr">
        <is>
          <t>DALARNAS LÄN</t>
        </is>
      </c>
      <c r="G87" t="inlineStr">
        <is>
          <t>VANSBRO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46309</v>
      </c>
      <c r="F88" t="inlineStr">
        <is>
          <t>DALARNAS LÄN</t>
        </is>
      </c>
      <c r="G88" t="inlineStr">
        <is>
          <t>VANSBRO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45533</v>
      </c>
      <c r="E89" s="1" t="n">
        <v>46309</v>
      </c>
      <c r="F89" t="inlineStr">
        <is>
          <t>DALARNAS LÄN</t>
        </is>
      </c>
      <c r="G89" t="inlineStr">
        <is>
          <t>VANSBRO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45512</v>
      </c>
      <c r="E90" s="1" t="n">
        <v>46309</v>
      </c>
      <c r="F90" t="inlineStr">
        <is>
          <t>DALARNAS LÄN</t>
        </is>
      </c>
      <c r="G90" t="inlineStr">
        <is>
          <t>VANSBRO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29411-2024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45483</v>
      </c>
      <c r="E91" s="1" t="n">
        <v>46309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46309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49565-2022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44862</v>
      </c>
      <c r="E93" s="1" t="n">
        <v>46309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46309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45588</v>
      </c>
      <c r="E95" s="1" t="n">
        <v>46309</v>
      </c>
      <c r="F95" t="inlineStr">
        <is>
          <t>DALARNAS LÄN</t>
        </is>
      </c>
      <c r="G95" t="inlineStr">
        <is>
          <t>VANSBRO</t>
        </is>
      </c>
      <c r="H95" t="inlineStr">
        <is>
          <t>Övriga statliga verk och myndigheter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23792-2025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45793</v>
      </c>
      <c r="E96" s="1" t="n">
        <v>46309</v>
      </c>
      <c r="F96" t="inlineStr">
        <is>
          <t>DALARNAS LÄN</t>
        </is>
      </c>
      <c r="G96" t="inlineStr">
        <is>
          <t>VANSBRO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45457</v>
      </c>
      <c r="E97" s="1" t="n">
        <v>46309</v>
      </c>
      <c r="F97" t="inlineStr">
        <is>
          <t>DALARNAS LÄN</t>
        </is>
      </c>
      <c r="G97" t="inlineStr">
        <is>
          <t>VANSBRO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46309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38670-2025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45884</v>
      </c>
      <c r="E99" s="1" t="n">
        <v>46309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46309</v>
      </c>
      <c r="F100" t="inlineStr">
        <is>
          <t>DALARNAS LÄN</t>
        </is>
      </c>
      <c r="G100" t="inlineStr">
        <is>
          <t>VANSBRO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35516-2024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46309</v>
      </c>
      <c r="F101" t="inlineStr">
        <is>
          <t>DALARNAS LÄN</t>
        </is>
      </c>
      <c r="G101" t="inlineStr">
        <is>
          <t>VANSBRO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45798</v>
      </c>
      <c r="E102" s="1" t="n">
        <v>46309</v>
      </c>
      <c r="F102" t="inlineStr">
        <is>
          <t>DALARNAS LÄN</t>
        </is>
      </c>
      <c r="G102" t="inlineStr">
        <is>
          <t>VANSBRO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46034</v>
      </c>
      <c r="E103" s="1" t="n">
        <v>46309</v>
      </c>
      <c r="F103" t="inlineStr">
        <is>
          <t>DALARNAS LÄN</t>
        </is>
      </c>
      <c r="G103" t="inlineStr">
        <is>
          <t>VANSBRO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46309</v>
      </c>
      <c r="F104" t="inlineStr">
        <is>
          <t>DALARNAS LÄN</t>
        </is>
      </c>
      <c r="G104" t="inlineStr">
        <is>
          <t>VANSBRO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46309</v>
      </c>
      <c r="F105" t="inlineStr">
        <is>
          <t>DALARNAS LÄN</t>
        </is>
      </c>
      <c r="G105" t="inlineStr">
        <is>
          <t>VANSBRO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46309</v>
      </c>
      <c r="F106" t="inlineStr">
        <is>
          <t>DALARNAS LÄN</t>
        </is>
      </c>
      <c r="G106" t="inlineStr">
        <is>
          <t>VANSBRO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46309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46033</v>
      </c>
      <c r="E108" s="1" t="n">
        <v>46309</v>
      </c>
      <c r="F108" t="inlineStr">
        <is>
          <t>DALARNAS LÄN</t>
        </is>
      </c>
      <c r="G108" t="inlineStr">
        <is>
          <t>VANSBRO</t>
        </is>
      </c>
      <c r="I108" t="n">
        <v>9.9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46309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46309</v>
      </c>
      <c r="F110" t="inlineStr">
        <is>
          <t>DALARNAS LÄN</t>
        </is>
      </c>
      <c r="G110" t="inlineStr">
        <is>
          <t>VANSBRO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46309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öst AB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46309</v>
      </c>
      <c r="F112" t="inlineStr">
        <is>
          <t>DALARNAS LÄN</t>
        </is>
      </c>
      <c r="G112" t="inlineStr">
        <is>
          <t>VANSBRO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46309</v>
      </c>
      <c r="F113" t="inlineStr">
        <is>
          <t>DALARNAS LÄN</t>
        </is>
      </c>
      <c r="G113" t="inlineStr">
        <is>
          <t>VANSBRO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45516</v>
      </c>
      <c r="E114" s="1" t="n">
        <v>46309</v>
      </c>
      <c r="F114" t="inlineStr">
        <is>
          <t>DALARNAS LÄN</t>
        </is>
      </c>
      <c r="G114" t="inlineStr">
        <is>
          <t>VANSBRO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46309</v>
      </c>
      <c r="F115" t="inlineStr">
        <is>
          <t>DALARNAS LÄN</t>
        </is>
      </c>
      <c r="G115" t="inlineStr">
        <is>
          <t>VANSBRO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46309</v>
      </c>
      <c r="F116" t="inlineStr">
        <is>
          <t>DALARNAS LÄN</t>
        </is>
      </c>
      <c r="G116" t="inlineStr">
        <is>
          <t>VANSBRO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46309</v>
      </c>
      <c r="F117" t="inlineStr">
        <is>
          <t>DALARNAS LÄN</t>
        </is>
      </c>
      <c r="G117" t="inlineStr">
        <is>
          <t>VANSBRO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46309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45695</v>
      </c>
      <c r="E119" s="1" t="n">
        <v>46309</v>
      </c>
      <c r="F119" t="inlineStr">
        <is>
          <t>DALARNAS LÄN</t>
        </is>
      </c>
      <c r="G119" t="inlineStr">
        <is>
          <t>VANSBRO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46309</v>
      </c>
      <c r="F120" t="inlineStr">
        <is>
          <t>DALARNAS LÄN</t>
        </is>
      </c>
      <c r="G120" t="inlineStr">
        <is>
          <t>VANSBRO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60848-2024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46309</v>
      </c>
      <c r="F121" t="inlineStr">
        <is>
          <t>DALARNAS LÄN</t>
        </is>
      </c>
      <c r="G121" t="inlineStr">
        <is>
          <t>VANSBRO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46309</v>
      </c>
      <c r="F122" t="inlineStr">
        <is>
          <t>DALARNAS LÄN</t>
        </is>
      </c>
      <c r="G122" t="inlineStr">
        <is>
          <t>VANSBRO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45819</v>
      </c>
      <c r="E123" s="1" t="n">
        <v>46309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öst AB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45106</v>
      </c>
      <c r="E124" s="1" t="n">
        <v>46309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46309</v>
      </c>
      <c r="F125" t="inlineStr">
        <is>
          <t>DALARNAS LÄN</t>
        </is>
      </c>
      <c r="G125" t="inlineStr">
        <is>
          <t>VANSBRO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63816-2021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46309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17.6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45491</v>
      </c>
      <c r="E127" s="1" t="n">
        <v>46309</v>
      </c>
      <c r="F127" t="inlineStr">
        <is>
          <t>DALARNAS LÄN</t>
        </is>
      </c>
      <c r="G127" t="inlineStr">
        <is>
          <t>VANSBRO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45646</v>
      </c>
      <c r="E128" s="1" t="n">
        <v>46309</v>
      </c>
      <c r="F128" t="inlineStr">
        <is>
          <t>DALARNAS LÄN</t>
        </is>
      </c>
      <c r="G128" t="inlineStr">
        <is>
          <t>VANSBRO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46309</v>
      </c>
      <c r="F129" t="inlineStr">
        <is>
          <t>DALARNAS LÄN</t>
        </is>
      </c>
      <c r="G129" t="inlineStr">
        <is>
          <t>VANSBRO</t>
        </is>
      </c>
      <c r="H129" t="inlineStr">
        <is>
          <t>Övriga statliga verk och myndigheter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45832</v>
      </c>
      <c r="E130" s="1" t="n">
        <v>46309</v>
      </c>
      <c r="F130" t="inlineStr">
        <is>
          <t>DALARNAS LÄN</t>
        </is>
      </c>
      <c r="G130" t="inlineStr">
        <is>
          <t>VANSBRO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46309</v>
      </c>
      <c r="F131" t="inlineStr">
        <is>
          <t>DALARNAS LÄN</t>
        </is>
      </c>
      <c r="G131" t="inlineStr">
        <is>
          <t>VANSBRO</t>
        </is>
      </c>
      <c r="I131" t="n">
        <v>27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46309</v>
      </c>
      <c r="F132" t="inlineStr">
        <is>
          <t>DALARNAS LÄN</t>
        </is>
      </c>
      <c r="G132" t="inlineStr">
        <is>
          <t>VANSBRO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32040-2025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45835</v>
      </c>
      <c r="E133" s="1" t="n">
        <v>46309</v>
      </c>
      <c r="F133" t="inlineStr">
        <is>
          <t>DALARNAS LÄN</t>
        </is>
      </c>
      <c r="G133" t="inlineStr">
        <is>
          <t>VANSBRO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46309</v>
      </c>
      <c r="F134" t="inlineStr">
        <is>
          <t>DALARNAS LÄN</t>
        </is>
      </c>
      <c r="G134" t="inlineStr">
        <is>
          <t>VANSBRO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46309</v>
      </c>
      <c r="F135" t="inlineStr">
        <is>
          <t>DALARNAS LÄN</t>
        </is>
      </c>
      <c r="G135" t="inlineStr">
        <is>
          <t>VANSBRO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33109-2025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46309</v>
      </c>
      <c r="F136" t="inlineStr">
        <is>
          <t>DALARNAS LÄN</t>
        </is>
      </c>
      <c r="G136" t="inlineStr">
        <is>
          <t>VANSBRO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33036-2025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45840</v>
      </c>
      <c r="E137" s="1" t="n">
        <v>46309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öst AB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46309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46037</v>
      </c>
      <c r="E139" s="1" t="n">
        <v>46309</v>
      </c>
      <c r="F139" t="inlineStr">
        <is>
          <t>DALARNAS LÄN</t>
        </is>
      </c>
      <c r="G139" t="inlineStr">
        <is>
          <t>VANSBRO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46309</v>
      </c>
      <c r="F140" t="inlineStr">
        <is>
          <t>DALARNAS LÄN</t>
        </is>
      </c>
      <c r="G140" t="inlineStr">
        <is>
          <t>VANSBRO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45183</v>
      </c>
      <c r="E141" s="1" t="n">
        <v>46309</v>
      </c>
      <c r="F141" t="inlineStr">
        <is>
          <t>DALARNAS LÄN</t>
        </is>
      </c>
      <c r="G141" t="inlineStr">
        <is>
          <t>VANSBRO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46309</v>
      </c>
      <c r="F142" t="inlineStr">
        <is>
          <t>DALARNAS LÄN</t>
        </is>
      </c>
      <c r="G142" t="inlineStr">
        <is>
          <t>VANSBRO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48840-2025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45937</v>
      </c>
      <c r="E143" s="1" t="n">
        <v>46309</v>
      </c>
      <c r="F143" t="inlineStr">
        <is>
          <t>DALARNAS LÄN</t>
        </is>
      </c>
      <c r="G143" t="inlineStr">
        <is>
          <t>VANSBRO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46309</v>
      </c>
      <c r="F144" t="inlineStr">
        <is>
          <t>DALARNAS LÄN</t>
        </is>
      </c>
      <c r="G144" t="inlineStr">
        <is>
          <t>VANSBRO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46309</v>
      </c>
      <c r="F145" t="inlineStr">
        <is>
          <t>DALARNAS LÄN</t>
        </is>
      </c>
      <c r="G145" t="inlineStr">
        <is>
          <t>VANSBRO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46309</v>
      </c>
      <c r="F146" t="inlineStr">
        <is>
          <t>DALARNAS LÄN</t>
        </is>
      </c>
      <c r="G146" t="inlineStr">
        <is>
          <t>VANSBRO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46309</v>
      </c>
      <c r="F147" t="inlineStr">
        <is>
          <t>DALARNAS LÄN</t>
        </is>
      </c>
      <c r="G147" t="inlineStr">
        <is>
          <t>VANSBRO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46309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öst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46309</v>
      </c>
      <c r="F149" t="inlineStr">
        <is>
          <t>DALARNAS LÄN</t>
        </is>
      </c>
      <c r="G149" t="inlineStr">
        <is>
          <t>VANSBRO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45860</v>
      </c>
      <c r="E150" s="1" t="n">
        <v>46309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45756</v>
      </c>
      <c r="E151" s="1" t="n">
        <v>46309</v>
      </c>
      <c r="F151" t="inlineStr">
        <is>
          <t>DALARNAS LÄN</t>
        </is>
      </c>
      <c r="G151" t="inlineStr">
        <is>
          <t>VANSBRO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46309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46309</v>
      </c>
      <c r="F153" t="inlineStr">
        <is>
          <t>DALARNAS LÄN</t>
        </is>
      </c>
      <c r="G153" t="inlineStr">
        <is>
          <t>VANSBRO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46309</v>
      </c>
      <c r="F154" t="inlineStr">
        <is>
          <t>DALARNAS LÄN</t>
        </is>
      </c>
      <c r="G154" t="inlineStr">
        <is>
          <t>VANSBRO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45689</v>
      </c>
      <c r="E155" s="1" t="n">
        <v>46309</v>
      </c>
      <c r="F155" t="inlineStr">
        <is>
          <t>DALARNAS LÄN</t>
        </is>
      </c>
      <c r="G155" t="inlineStr">
        <is>
          <t>VANSBRO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51414-2025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45950</v>
      </c>
      <c r="E156" s="1" t="n">
        <v>46309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45754</v>
      </c>
      <c r="E157" s="1" t="n">
        <v>46309</v>
      </c>
      <c r="F157" t="inlineStr">
        <is>
          <t>DALARNAS LÄN</t>
        </is>
      </c>
      <c r="G157" t="inlineStr">
        <is>
          <t>VANSBRO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51855-2025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45952</v>
      </c>
      <c r="E158" s="1" t="n">
        <v>46309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10.2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45868</v>
      </c>
      <c r="E159" s="1" t="n">
        <v>46309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46309</v>
      </c>
      <c r="F160" t="inlineStr">
        <is>
          <t>DALARNAS LÄN</t>
        </is>
      </c>
      <c r="G160" t="inlineStr">
        <is>
          <t>VANSBRO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45956</v>
      </c>
      <c r="E161" s="1" t="n">
        <v>46309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52676-2025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45956</v>
      </c>
      <c r="E162" s="1" t="n">
        <v>46309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45772</v>
      </c>
      <c r="E163" s="1" t="n">
        <v>46309</v>
      </c>
      <c r="F163" t="inlineStr">
        <is>
          <t>DALARNAS LÄN</t>
        </is>
      </c>
      <c r="G163" t="inlineStr">
        <is>
          <t>VANSBRO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46309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45876</v>
      </c>
      <c r="E165" s="1" t="n">
        <v>46309</v>
      </c>
      <c r="F165" t="inlineStr">
        <is>
          <t>DALARNAS LÄN</t>
        </is>
      </c>
      <c r="G165" t="inlineStr">
        <is>
          <t>VANSBRO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46309</v>
      </c>
      <c r="F166" t="inlineStr">
        <is>
          <t>DALARNAS LÄN</t>
        </is>
      </c>
      <c r="G166" t="inlineStr">
        <is>
          <t>VANSBRO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46309</v>
      </c>
      <c r="F167" t="inlineStr">
        <is>
          <t>DALARNAS LÄN</t>
        </is>
      </c>
      <c r="G167" t="inlineStr">
        <is>
          <t>VANSBRO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46309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46309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45961</v>
      </c>
      <c r="E170" s="1" t="n">
        <v>46309</v>
      </c>
      <c r="F170" t="inlineStr">
        <is>
          <t>DALARNAS LÄN</t>
        </is>
      </c>
      <c r="G170" t="inlineStr">
        <is>
          <t>VANSBRO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4937-2026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46048</v>
      </c>
      <c r="E171" s="1" t="n">
        <v>46309</v>
      </c>
      <c r="F171" t="inlineStr">
        <is>
          <t>DALARNAS LÄN</t>
        </is>
      </c>
      <c r="G171" t="inlineStr">
        <is>
          <t>VANSBRO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30889-2024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45498</v>
      </c>
      <c r="E172" s="1" t="n">
        <v>46309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öst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44966</v>
      </c>
      <c r="E173" s="1" t="n">
        <v>46309</v>
      </c>
      <c r="F173" t="inlineStr">
        <is>
          <t>DALARNAS LÄN</t>
        </is>
      </c>
      <c r="G173" t="inlineStr">
        <is>
          <t>VANSBRO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46309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46309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46309</v>
      </c>
      <c r="F176" t="inlineStr">
        <is>
          <t>DALARNAS LÄN</t>
        </is>
      </c>
      <c r="G176" t="inlineStr">
        <is>
          <t>VANSBRO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46309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46309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8.4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45085</v>
      </c>
      <c r="E179" s="1" t="n">
        <v>46309</v>
      </c>
      <c r="F179" t="inlineStr">
        <is>
          <t>DALARNAS LÄN</t>
        </is>
      </c>
      <c r="G179" t="inlineStr">
        <is>
          <t>VANSBRO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45082</v>
      </c>
      <c r="E180" s="1" t="n">
        <v>46309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45972</v>
      </c>
      <c r="E181" s="1" t="n">
        <v>46309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45532</v>
      </c>
      <c r="E182" s="1" t="n">
        <v>46309</v>
      </c>
      <c r="F182" t="inlineStr">
        <is>
          <t>DALARNAS LÄN</t>
        </is>
      </c>
      <c r="G182" t="inlineStr">
        <is>
          <t>VANSBRO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46052</v>
      </c>
      <c r="E183" s="1" t="n">
        <v>46309</v>
      </c>
      <c r="F183" t="inlineStr">
        <is>
          <t>DALARNAS LÄN</t>
        </is>
      </c>
      <c r="G183" t="inlineStr">
        <is>
          <t>VANSBRO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46309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44701</v>
      </c>
      <c r="E185" s="1" t="n">
        <v>46309</v>
      </c>
      <c r="F185" t="inlineStr">
        <is>
          <t>DALARNAS LÄN</t>
        </is>
      </c>
      <c r="G185" t="inlineStr">
        <is>
          <t>VANSBRO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46309</v>
      </c>
      <c r="F186" t="inlineStr">
        <is>
          <t>DALARNAS LÄN</t>
        </is>
      </c>
      <c r="G186" t="inlineStr">
        <is>
          <t>VANSBRO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46309</v>
      </c>
      <c r="F187" t="inlineStr">
        <is>
          <t>DALARNAS LÄN</t>
        </is>
      </c>
      <c r="G187" t="inlineStr">
        <is>
          <t>VANSBRO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46309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46058</v>
      </c>
      <c r="E189" s="1" t="n">
        <v>46309</v>
      </c>
      <c r="F189" t="inlineStr">
        <is>
          <t>DALARNAS LÄN</t>
        </is>
      </c>
      <c r="G189" t="inlineStr">
        <is>
          <t>VANSBRO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46309</v>
      </c>
      <c r="F190" t="inlineStr">
        <is>
          <t>DALARNAS LÄN</t>
        </is>
      </c>
      <c r="G190" t="inlineStr">
        <is>
          <t>VANSBRO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46309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46309</v>
      </c>
      <c r="F192" t="inlineStr">
        <is>
          <t>DALARNAS LÄN</t>
        </is>
      </c>
      <c r="G192" t="inlineStr">
        <is>
          <t>VANSBRO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46309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46309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46309</v>
      </c>
      <c r="F195" t="inlineStr">
        <is>
          <t>DALARNAS LÄN</t>
        </is>
      </c>
      <c r="G195" t="inlineStr">
        <is>
          <t>VANSBRO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46062</v>
      </c>
      <c r="E196" s="1" t="n">
        <v>46309</v>
      </c>
      <c r="F196" t="inlineStr">
        <is>
          <t>DALARNAS LÄN</t>
        </is>
      </c>
      <c r="G196" t="inlineStr">
        <is>
          <t>VANSBRO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45689</v>
      </c>
      <c r="E197" s="1" t="n">
        <v>46309</v>
      </c>
      <c r="F197" t="inlineStr">
        <is>
          <t>DALARNAS LÄN</t>
        </is>
      </c>
      <c r="G197" t="inlineStr">
        <is>
          <t>VANSBRO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46309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46309</v>
      </c>
      <c r="F199" t="inlineStr">
        <is>
          <t>DALARNAS LÄN</t>
        </is>
      </c>
      <c r="G199" t="inlineStr">
        <is>
          <t>VANSBRO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46309</v>
      </c>
      <c r="F200" t="inlineStr">
        <is>
          <t>DALARNAS LÄN</t>
        </is>
      </c>
      <c r="G200" t="inlineStr">
        <is>
          <t>VANSBRO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46309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46041</v>
      </c>
      <c r="E202" s="1" t="n">
        <v>46309</v>
      </c>
      <c r="F202" t="inlineStr">
        <is>
          <t>DALARNAS LÄN</t>
        </is>
      </c>
      <c r="G202" t="inlineStr">
        <is>
          <t>VANSBRO</t>
        </is>
      </c>
      <c r="I202" t="n">
        <v>15.1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50533-2024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45601</v>
      </c>
      <c r="E203" s="1" t="n">
        <v>46309</v>
      </c>
      <c r="F203" t="inlineStr">
        <is>
          <t>DALARNAS LÄN</t>
        </is>
      </c>
      <c r="G203" t="inlineStr">
        <is>
          <t>VANSBRO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46309</v>
      </c>
      <c r="F204" t="inlineStr">
        <is>
          <t>DALARNAS LÄN</t>
        </is>
      </c>
      <c r="G204" t="inlineStr">
        <is>
          <t>VANSBRO</t>
        </is>
      </c>
      <c r="I204" t="n">
        <v>9.1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45666</v>
      </c>
      <c r="E205" s="1" t="n">
        <v>46309</v>
      </c>
      <c r="F205" t="inlineStr">
        <is>
          <t>DALARNAS LÄN</t>
        </is>
      </c>
      <c r="G205" t="inlineStr">
        <is>
          <t>VANSBRO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59856-2024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46309</v>
      </c>
      <c r="F206" t="inlineStr">
        <is>
          <t>DALARNAS LÄN</t>
        </is>
      </c>
      <c r="G206" t="inlineStr">
        <is>
          <t>VANSBRO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28924-2024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45481</v>
      </c>
      <c r="E207" s="1" t="n">
        <v>46309</v>
      </c>
      <c r="F207" t="inlineStr">
        <is>
          <t>DALARNAS LÄN</t>
        </is>
      </c>
      <c r="G207" t="inlineStr">
        <is>
          <t>VANSBRO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25916-2022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44734</v>
      </c>
      <c r="E208" s="1" t="n">
        <v>46309</v>
      </c>
      <c r="F208" t="inlineStr">
        <is>
          <t>DALARNAS LÄN</t>
        </is>
      </c>
      <c r="G208" t="inlineStr">
        <is>
          <t>VANSBRO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46309</v>
      </c>
      <c r="F209" t="inlineStr">
        <is>
          <t>DALARNAS LÄN</t>
        </is>
      </c>
      <c r="G209" t="inlineStr">
        <is>
          <t>VANSBRO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64072-2025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46309</v>
      </c>
      <c r="F210" t="inlineStr">
        <is>
          <t>DALARNAS LÄN</t>
        </is>
      </c>
      <c r="G210" t="inlineStr">
        <is>
          <t>VANSBRO</t>
        </is>
      </c>
      <c r="I210" t="n">
        <v>19.1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59142-2024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46309</v>
      </c>
      <c r="F211" t="inlineStr">
        <is>
          <t>DALARNAS LÄN</t>
        </is>
      </c>
      <c r="G211" t="inlineStr">
        <is>
          <t>VANSBRO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46309</v>
      </c>
      <c r="F212" t="inlineStr">
        <is>
          <t>DALARNAS LÄN</t>
        </is>
      </c>
      <c r="G212" t="inlineStr">
        <is>
          <t>VANSBRO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46309</v>
      </c>
      <c r="F213" t="inlineStr">
        <is>
          <t>DALARNAS LÄN</t>
        </is>
      </c>
      <c r="G213" t="inlineStr">
        <is>
          <t>VANSBRO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39336-2023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46309</v>
      </c>
      <c r="F214" t="inlineStr">
        <is>
          <t>DALARNAS LÄN</t>
        </is>
      </c>
      <c r="G214" t="inlineStr">
        <is>
          <t>VANSBRO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46309</v>
      </c>
      <c r="F215" t="inlineStr">
        <is>
          <t>DALARNAS LÄN</t>
        </is>
      </c>
      <c r="G215" t="inlineStr">
        <is>
          <t>VANSBRO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45631</v>
      </c>
      <c r="E216" s="1" t="n">
        <v>46309</v>
      </c>
      <c r="F216" t="inlineStr">
        <is>
          <t>DALARNAS LÄN</t>
        </is>
      </c>
      <c r="G216" t="inlineStr">
        <is>
          <t>VANSBRO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51396-2022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44869</v>
      </c>
      <c r="E217" s="1" t="n">
        <v>46309</v>
      </c>
      <c r="F217" t="inlineStr">
        <is>
          <t>DALARNAS LÄN</t>
        </is>
      </c>
      <c r="G217" t="inlineStr">
        <is>
          <t>VANSBRO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46082</v>
      </c>
      <c r="E218" s="1" t="n">
        <v>46309</v>
      </c>
      <c r="F218" t="inlineStr">
        <is>
          <t>DALARNAS LÄN</t>
        </is>
      </c>
      <c r="G218" t="inlineStr">
        <is>
          <t>VANSBRO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46309</v>
      </c>
      <c r="F219" t="inlineStr">
        <is>
          <t>DALARNAS LÄN</t>
        </is>
      </c>
      <c r="G219" t="inlineStr">
        <is>
          <t>VANSBRO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46309</v>
      </c>
      <c r="F220" t="inlineStr">
        <is>
          <t>DALARNAS LÄN</t>
        </is>
      </c>
      <c r="G220" t="inlineStr">
        <is>
          <t>VANSBRO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11349-2026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46082</v>
      </c>
      <c r="E221" s="1" t="n">
        <v>46309</v>
      </c>
      <c r="F221" t="inlineStr">
        <is>
          <t>DALARNAS LÄN</t>
        </is>
      </c>
      <c r="G221" t="inlineStr">
        <is>
          <t>VANSBRO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46309</v>
      </c>
      <c r="F222" t="inlineStr">
        <is>
          <t>DALARNAS LÄN</t>
        </is>
      </c>
      <c r="G222" t="inlineStr">
        <is>
          <t>VANSBRO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39974-2022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46309</v>
      </c>
      <c r="F223" t="inlineStr">
        <is>
          <t>DALARNAS LÄN</t>
        </is>
      </c>
      <c r="G223" t="inlineStr">
        <is>
          <t>VANSBRO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61663-2024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45646</v>
      </c>
      <c r="E224" s="1" t="n">
        <v>46309</v>
      </c>
      <c r="F224" t="inlineStr">
        <is>
          <t>DALARNAS LÄN</t>
        </is>
      </c>
      <c r="G224" t="inlineStr">
        <is>
          <t>VANSBRO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12475-2026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46090</v>
      </c>
      <c r="E225" s="1" t="n">
        <v>46309</v>
      </c>
      <c r="F225" t="inlineStr">
        <is>
          <t>DALARNAS LÄN</t>
        </is>
      </c>
      <c r="G225" t="inlineStr">
        <is>
          <t>VANSBRO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45225</v>
      </c>
      <c r="E226" s="1" t="n">
        <v>46309</v>
      </c>
      <c r="F226" t="inlineStr">
        <is>
          <t>DALARNAS LÄN</t>
        </is>
      </c>
      <c r="G226" t="inlineStr">
        <is>
          <t>VANSBRO</t>
        </is>
      </c>
      <c r="H226" t="inlineStr">
        <is>
          <t>Övriga statliga verk och myndigheter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45691</v>
      </c>
      <c r="E227" s="1" t="n">
        <v>46309</v>
      </c>
      <c r="F227" t="inlineStr">
        <is>
          <t>DALARNAS LÄN</t>
        </is>
      </c>
      <c r="G227" t="inlineStr">
        <is>
          <t>VANSBRO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45691</v>
      </c>
      <c r="E228" s="1" t="n">
        <v>46309</v>
      </c>
      <c r="F228" t="inlineStr">
        <is>
          <t>DALARNAS LÄN</t>
        </is>
      </c>
      <c r="G228" t="inlineStr">
        <is>
          <t>VANSBRO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4680-2023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44957</v>
      </c>
      <c r="E229" s="1" t="n">
        <v>46309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46094</v>
      </c>
      <c r="E230" s="1" t="n">
        <v>46309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13495-2026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46309</v>
      </c>
      <c r="F231" t="inlineStr">
        <is>
          <t>DALARNAS LÄN</t>
        </is>
      </c>
      <c r="G231" t="inlineStr">
        <is>
          <t>VANSBRO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46309</v>
      </c>
      <c r="F232" t="inlineStr">
        <is>
          <t>DALARNAS LÄN</t>
        </is>
      </c>
      <c r="G232" t="inlineStr">
        <is>
          <t>VANSBRO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46309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46094</v>
      </c>
      <c r="E234" s="1" t="n">
        <v>46309</v>
      </c>
      <c r="F234" t="inlineStr">
        <is>
          <t>DALARNAS LÄN</t>
        </is>
      </c>
      <c r="G234" t="inlineStr">
        <is>
          <t>VANSBRO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35288-2024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45530</v>
      </c>
      <c r="E235" s="1" t="n">
        <v>46309</v>
      </c>
      <c r="F235" t="inlineStr">
        <is>
          <t>DALARNAS LÄN</t>
        </is>
      </c>
      <c r="G235" t="inlineStr">
        <is>
          <t>VANSBRO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18658-2025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45763</v>
      </c>
      <c r="E236" s="1" t="n">
        <v>46309</v>
      </c>
      <c r="F236" t="inlineStr">
        <is>
          <t>DALARNAS LÄN</t>
        </is>
      </c>
      <c r="G236" t="inlineStr">
        <is>
          <t>VANSBRO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18859-2025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46309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12917-2026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46309</v>
      </c>
      <c r="F238" t="inlineStr">
        <is>
          <t>DALARNAS LÄN</t>
        </is>
      </c>
      <c r="G238" t="inlineStr">
        <is>
          <t>VANSBRO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15676-2026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46309</v>
      </c>
      <c r="F239" t="inlineStr">
        <is>
          <t>DALARNAS LÄN</t>
        </is>
      </c>
      <c r="G239" t="inlineStr">
        <is>
          <t>VANSBRO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45735</v>
      </c>
      <c r="E240" s="1" t="n">
        <v>46309</v>
      </c>
      <c r="F240" t="inlineStr">
        <is>
          <t>DALARNAS LÄN</t>
        </is>
      </c>
      <c r="G240" t="inlineStr">
        <is>
          <t>VANSBRO</t>
        </is>
      </c>
      <c r="H240" t="inlineStr">
        <is>
          <t>Kommuner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46108</v>
      </c>
      <c r="E241" s="1" t="n">
        <v>46309</v>
      </c>
      <c r="F241" t="inlineStr">
        <is>
          <t>DALARNAS LÄN</t>
        </is>
      </c>
      <c r="G241" t="inlineStr">
        <is>
          <t>VANSBRO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45689</v>
      </c>
      <c r="E242" s="1" t="n">
        <v>46309</v>
      </c>
      <c r="F242" t="inlineStr">
        <is>
          <t>DALARNAS LÄN</t>
        </is>
      </c>
      <c r="G242" t="inlineStr">
        <is>
          <t>VANSBRO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45689</v>
      </c>
      <c r="E243" s="1" t="n">
        <v>46309</v>
      </c>
      <c r="F243" t="inlineStr">
        <is>
          <t>DALARNAS LÄN</t>
        </is>
      </c>
      <c r="G243" t="inlineStr">
        <is>
          <t>VANSBRO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46112</v>
      </c>
      <c r="E244" s="1" t="n">
        <v>46309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46114</v>
      </c>
      <c r="E245" s="1" t="n">
        <v>46309</v>
      </c>
      <c r="F245" t="inlineStr">
        <is>
          <t>DALARNAS LÄN</t>
        </is>
      </c>
      <c r="G245" t="inlineStr">
        <is>
          <t>VANSBRO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46309</v>
      </c>
      <c r="F246" t="inlineStr">
        <is>
          <t>DALARNAS LÄN</t>
        </is>
      </c>
      <c r="G246" t="inlineStr">
        <is>
          <t>VANSBRO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17321-2026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46309</v>
      </c>
      <c r="F247" t="inlineStr">
        <is>
          <t>DALARNAS LÄN</t>
        </is>
      </c>
      <c r="G247" t="inlineStr">
        <is>
          <t>VANSBRO</t>
        </is>
      </c>
      <c r="H247" t="inlineStr">
        <is>
          <t>Bergvik skog väst AB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17553-2026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46120</v>
      </c>
      <c r="E248" s="1" t="n">
        <v>46309</v>
      </c>
      <c r="F248" t="inlineStr">
        <is>
          <t>DALARNAS LÄN</t>
        </is>
      </c>
      <c r="G248" t="inlineStr">
        <is>
          <t>VANSBRO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46121</v>
      </c>
      <c r="E249" s="1" t="n">
        <v>46309</v>
      </c>
      <c r="F249" t="inlineStr">
        <is>
          <t>DALARNAS LÄN</t>
        </is>
      </c>
      <c r="G249" t="inlineStr">
        <is>
          <t>VANSBRO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46121</v>
      </c>
      <c r="E250" s="1" t="n">
        <v>46309</v>
      </c>
      <c r="F250" t="inlineStr">
        <is>
          <t>DALARNAS LÄN</t>
        </is>
      </c>
      <c r="G250" t="inlineStr">
        <is>
          <t>VANSBRO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46309</v>
      </c>
      <c r="F251" t="inlineStr">
        <is>
          <t>DALARNAS LÄN</t>
        </is>
      </c>
      <c r="G251" t="inlineStr">
        <is>
          <t>VANSBRO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46120</v>
      </c>
      <c r="E252" s="1" t="n">
        <v>46309</v>
      </c>
      <c r="F252" t="inlineStr">
        <is>
          <t>DALARNAS LÄN</t>
        </is>
      </c>
      <c r="G252" t="inlineStr">
        <is>
          <t>VANSBRO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46309</v>
      </c>
      <c r="F253" t="inlineStr">
        <is>
          <t>DALARNAS LÄN</t>
        </is>
      </c>
      <c r="G253" t="inlineStr">
        <is>
          <t>VANSBRO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46124</v>
      </c>
      <c r="E254" s="1" t="n">
        <v>46309</v>
      </c>
      <c r="F254" t="inlineStr">
        <is>
          <t>DALARNAS LÄN</t>
        </is>
      </c>
      <c r="G254" t="inlineStr">
        <is>
          <t>VANSBRO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46125</v>
      </c>
      <c r="E255" s="1" t="n">
        <v>46309</v>
      </c>
      <c r="F255" t="inlineStr">
        <is>
          <t>DALARNAS LÄN</t>
        </is>
      </c>
      <c r="G255" t="inlineStr">
        <is>
          <t>VANSBRO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8694-2023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44972</v>
      </c>
      <c r="E256" s="1" t="n">
        <v>46309</v>
      </c>
      <c r="F256" t="inlineStr">
        <is>
          <t>DALARNAS LÄN</t>
        </is>
      </c>
      <c r="G256" t="inlineStr">
        <is>
          <t>VANSBRO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46309</v>
      </c>
      <c r="F257" t="inlineStr">
        <is>
          <t>DALARNAS LÄN</t>
        </is>
      </c>
      <c r="G257" t="inlineStr">
        <is>
          <t>VANSBRO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46127</v>
      </c>
      <c r="E258" s="1" t="n">
        <v>46309</v>
      </c>
      <c r="F258" t="inlineStr">
        <is>
          <t>DALARNAS LÄN</t>
        </is>
      </c>
      <c r="G258" t="inlineStr">
        <is>
          <t>VANSBRO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46309</v>
      </c>
      <c r="F259" t="inlineStr">
        <is>
          <t>DALARNAS LÄN</t>
        </is>
      </c>
      <c r="G259" t="inlineStr">
        <is>
          <t>VANSBRO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18588-2026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46127</v>
      </c>
      <c r="E260" s="1" t="n">
        <v>46309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46309</v>
      </c>
      <c r="F261" t="inlineStr">
        <is>
          <t>DALARNAS LÄN</t>
        </is>
      </c>
      <c r="G261" t="inlineStr">
        <is>
          <t>VANSBRO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46128</v>
      </c>
      <c r="E262" s="1" t="n">
        <v>46309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46309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46128</v>
      </c>
      <c r="E264" s="1" t="n">
        <v>46309</v>
      </c>
      <c r="F264" t="inlineStr">
        <is>
          <t>DALARNAS LÄN</t>
        </is>
      </c>
      <c r="G264" t="inlineStr">
        <is>
          <t>VANSBRO</t>
        </is>
      </c>
      <c r="I264" t="n">
        <v>6.4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46309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46135</v>
      </c>
      <c r="E266" s="1" t="n">
        <v>46309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51606-2023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46309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45776</v>
      </c>
      <c r="E268" s="1" t="n">
        <v>46309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45806</v>
      </c>
      <c r="E269" s="1" t="n">
        <v>46309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väst AB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46309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öst AB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44960</v>
      </c>
      <c r="E271" s="1" t="n">
        <v>46309</v>
      </c>
      <c r="F271" t="inlineStr">
        <is>
          <t>DALARNAS LÄN</t>
        </is>
      </c>
      <c r="G271" t="inlineStr">
        <is>
          <t>VANSBRO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46309</v>
      </c>
      <c r="F272" t="inlineStr">
        <is>
          <t>DALARNAS LÄN</t>
        </is>
      </c>
      <c r="G272" t="inlineStr">
        <is>
          <t>VANSBRO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11274-2024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45371</v>
      </c>
      <c r="E273" s="1" t="n">
        <v>46309</v>
      </c>
      <c r="F273" t="inlineStr">
        <is>
          <t>DALARNAS LÄN</t>
        </is>
      </c>
      <c r="G273" t="inlineStr">
        <is>
          <t>VANSBRO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60031-2022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44909</v>
      </c>
      <c r="E274" s="1" t="n">
        <v>46309</v>
      </c>
      <c r="F274" t="inlineStr">
        <is>
          <t>DALARNAS LÄN</t>
        </is>
      </c>
      <c r="G274" t="inlineStr">
        <is>
          <t>VANSBRO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45247</v>
      </c>
      <c r="E275" s="1" t="n">
        <v>46309</v>
      </c>
      <c r="F275" t="inlineStr">
        <is>
          <t>DALARNAS LÄN</t>
        </is>
      </c>
      <c r="G275" t="inlineStr">
        <is>
          <t>VANSBRO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45440</v>
      </c>
      <c r="E276" s="1" t="n">
        <v>46309</v>
      </c>
      <c r="F276" t="inlineStr">
        <is>
          <t>DALARNAS LÄN</t>
        </is>
      </c>
      <c r="G276" t="inlineStr">
        <is>
          <t>VANSBRO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45520</v>
      </c>
      <c r="E277" s="1" t="n">
        <v>46309</v>
      </c>
      <c r="F277" t="inlineStr">
        <is>
          <t>DALARNAS LÄN</t>
        </is>
      </c>
      <c r="G277" t="inlineStr">
        <is>
          <t>VANSBRO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35299-2024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45530</v>
      </c>
      <c r="E278" s="1" t="n">
        <v>46309</v>
      </c>
      <c r="F278" t="inlineStr">
        <is>
          <t>DALARNAS LÄN</t>
        </is>
      </c>
      <c r="G278" t="inlineStr">
        <is>
          <t>VANSBRO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46309</v>
      </c>
      <c r="F279" t="inlineStr">
        <is>
          <t>DALARNAS LÄN</t>
        </is>
      </c>
      <c r="G279" t="inlineStr">
        <is>
          <t>VANSBRO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45714</v>
      </c>
      <c r="E280" s="1" t="n">
        <v>46309</v>
      </c>
      <c r="F280" t="inlineStr">
        <is>
          <t>DALARNAS LÄN</t>
        </is>
      </c>
      <c r="G280" t="inlineStr">
        <is>
          <t>VANSBRO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13062-2023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45002</v>
      </c>
      <c r="E281" s="1" t="n">
        <v>46309</v>
      </c>
      <c r="F281" t="inlineStr">
        <is>
          <t>DALARNAS LÄN</t>
        </is>
      </c>
      <c r="G281" t="inlineStr">
        <is>
          <t>VANSBRO</t>
        </is>
      </c>
      <c r="H281" t="inlineStr">
        <is>
          <t>Övriga statliga verk och myndigheter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62622-2022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44925</v>
      </c>
      <c r="E282" s="1" t="n">
        <v>46309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46051</v>
      </c>
      <c r="E283" s="1" t="n">
        <v>46309</v>
      </c>
      <c r="F283" t="inlineStr">
        <is>
          <t>DALARNAS LÄN</t>
        </is>
      </c>
      <c r="G283" t="inlineStr">
        <is>
          <t>VANSBRO</t>
        </is>
      </c>
      <c r="I283" t="n">
        <v>13.9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46309</v>
      </c>
      <c r="F284" t="inlineStr">
        <is>
          <t>DALARNAS LÄN</t>
        </is>
      </c>
      <c r="G284" t="inlineStr">
        <is>
          <t>VANSBRO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45471</v>
      </c>
      <c r="E285" s="1" t="n">
        <v>46309</v>
      </c>
      <c r="F285" t="inlineStr">
        <is>
          <t>DALARNAS LÄN</t>
        </is>
      </c>
      <c r="G285" t="inlineStr">
        <is>
          <t>VANSBRO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46309</v>
      </c>
      <c r="F286" t="inlineStr">
        <is>
          <t>DALARNAS LÄN</t>
        </is>
      </c>
      <c r="G286" t="inlineStr">
        <is>
          <t>VANSBRO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45363</v>
      </c>
      <c r="E287" s="1" t="n">
        <v>46309</v>
      </c>
      <c r="F287" t="inlineStr">
        <is>
          <t>DALARNAS LÄN</t>
        </is>
      </c>
      <c r="G287" t="inlineStr">
        <is>
          <t>VANSBRO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21973-2024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46309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väst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46309</v>
      </c>
      <c r="F289" t="inlineStr">
        <is>
          <t>DALARNAS LÄN</t>
        </is>
      </c>
      <c r="G289" t="inlineStr">
        <is>
          <t>VANSBRO</t>
        </is>
      </c>
      <c r="I289" t="n">
        <v>15.8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46141</v>
      </c>
      <c r="E290" s="1" t="n">
        <v>46309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46079</v>
      </c>
      <c r="E291" s="1" t="n">
        <v>46309</v>
      </c>
      <c r="F291" t="inlineStr">
        <is>
          <t>DALARNAS LÄN</t>
        </is>
      </c>
      <c r="G291" t="inlineStr">
        <is>
          <t>VANSBRO</t>
        </is>
      </c>
      <c r="H291" t="inlineStr">
        <is>
          <t>Övriga statliga verk och myndigheter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46149</v>
      </c>
      <c r="E292" s="1" t="n">
        <v>46309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öst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45350</v>
      </c>
      <c r="E293" s="1" t="n">
        <v>46309</v>
      </c>
      <c r="F293" t="inlineStr">
        <is>
          <t>DALARNAS LÄN</t>
        </is>
      </c>
      <c r="G293" t="inlineStr">
        <is>
          <t>VANSBRO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22379-2026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46154</v>
      </c>
      <c r="E294" s="1" t="n">
        <v>46309</v>
      </c>
      <c r="F294" t="inlineStr">
        <is>
          <t>DALARNAS LÄN</t>
        </is>
      </c>
      <c r="G294" t="inlineStr">
        <is>
          <t>VANSBRO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46309</v>
      </c>
      <c r="F295" t="inlineStr">
        <is>
          <t>DALARNAS LÄN</t>
        </is>
      </c>
      <c r="G295" t="inlineStr">
        <is>
          <t>VANSBRO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5420-2024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45331</v>
      </c>
      <c r="E296" s="1" t="n">
        <v>46309</v>
      </c>
      <c r="F296" t="inlineStr">
        <is>
          <t>DALARNAS LÄN</t>
        </is>
      </c>
      <c r="G296" t="inlineStr">
        <is>
          <t>VANSBRO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46309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50258-2024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46309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öst AB</t>
        </is>
      </c>
      <c r="I298" t="n">
        <v>45.8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23899-2023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45078</v>
      </c>
      <c r="E299" s="1" t="n">
        <v>46309</v>
      </c>
      <c r="F299" t="inlineStr">
        <is>
          <t>DALARNAS LÄN</t>
        </is>
      </c>
      <c r="G299" t="inlineStr">
        <is>
          <t>VANSBRO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23059-2026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46309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11485-2024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45372</v>
      </c>
      <c r="E301" s="1" t="n">
        <v>46309</v>
      </c>
      <c r="F301" t="inlineStr">
        <is>
          <t>DALARNAS LÄN</t>
        </is>
      </c>
      <c r="G301" t="inlineStr">
        <is>
          <t>VANSBRO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44805</v>
      </c>
      <c r="E302" s="1" t="n">
        <v>46309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5386-2024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45331</v>
      </c>
      <c r="E303" s="1" t="n">
        <v>46309</v>
      </c>
      <c r="F303" t="inlineStr">
        <is>
          <t>DALARNAS LÄN</t>
        </is>
      </c>
      <c r="G303" t="inlineStr">
        <is>
          <t>VANSBRO</t>
        </is>
      </c>
      <c r="I303" t="n">
        <v>11.4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45608-2023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45194</v>
      </c>
      <c r="E304" s="1" t="n">
        <v>46309</v>
      </c>
      <c r="F304" t="inlineStr">
        <is>
          <t>DALARNAS LÄN</t>
        </is>
      </c>
      <c r="G304" t="inlineStr">
        <is>
          <t>VANSBRO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46164</v>
      </c>
      <c r="E305" s="1" t="n">
        <v>46309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öst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46164</v>
      </c>
      <c r="E306" s="1" t="n">
        <v>46309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44648</v>
      </c>
      <c r="E307" s="1" t="n">
        <v>46309</v>
      </c>
      <c r="F307" t="inlineStr">
        <is>
          <t>DALARNAS LÄN</t>
        </is>
      </c>
      <c r="G307" t="inlineStr">
        <is>
          <t>VANSBRO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921-2025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45665</v>
      </c>
      <c r="E308" s="1" t="n">
        <v>46309</v>
      </c>
      <c r="F308" t="inlineStr">
        <is>
          <t>DALARNAS LÄN</t>
        </is>
      </c>
      <c r="G308" t="inlineStr">
        <is>
          <t>VANSBRO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18306-2025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46309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56988-2023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45244</v>
      </c>
      <c r="E310" s="1" t="n">
        <v>46309</v>
      </c>
      <c r="F310" t="inlineStr">
        <is>
          <t>DALARNAS LÄN</t>
        </is>
      </c>
      <c r="G310" t="inlineStr">
        <is>
          <t>VANSBRO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46309</v>
      </c>
      <c r="F311" t="inlineStr">
        <is>
          <t>DALARNAS LÄN</t>
        </is>
      </c>
      <c r="G311" t="inlineStr">
        <is>
          <t>VANSBRO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46309</v>
      </c>
      <c r="F312" t="inlineStr">
        <is>
          <t>DALARNAS LÄN</t>
        </is>
      </c>
      <c r="G312" t="inlineStr">
        <is>
          <t>VANSBRO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24827-2022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44728</v>
      </c>
      <c r="E313" s="1" t="n">
        <v>46309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44728</v>
      </c>
      <c r="E314" s="1" t="n">
        <v>46309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25045-2026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46309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46309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46309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45665</v>
      </c>
      <c r="E318" s="1" t="n">
        <v>46309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väst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46309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25496-2024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46309</v>
      </c>
      <c r="F320" t="inlineStr">
        <is>
          <t>DALARNAS LÄN</t>
        </is>
      </c>
      <c r="G320" t="inlineStr">
        <is>
          <t>VANSBRO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25958-2026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46181</v>
      </c>
      <c r="E321" s="1" t="n">
        <v>46309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40290-2023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45169</v>
      </c>
      <c r="E322" s="1" t="n">
        <v>46309</v>
      </c>
      <c r="F322" t="inlineStr">
        <is>
          <t>DALARNAS LÄN</t>
        </is>
      </c>
      <c r="G322" t="inlineStr">
        <is>
          <t>VANSBRO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45187</v>
      </c>
      <c r="E323" s="1" t="n">
        <v>46309</v>
      </c>
      <c r="F323" t="inlineStr">
        <is>
          <t>DALARNAS LÄN</t>
        </is>
      </c>
      <c r="G323" t="inlineStr">
        <is>
          <t>VANSBRO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50741-2022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44867</v>
      </c>
      <c r="E324" s="1" t="n">
        <v>46309</v>
      </c>
      <c r="F324" t="inlineStr">
        <is>
          <t>DALARNAS LÄN</t>
        </is>
      </c>
      <c r="G324" t="inlineStr">
        <is>
          <t>VANSBRO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46183</v>
      </c>
      <c r="E325" s="1" t="n">
        <v>46309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15088-2025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45744</v>
      </c>
      <c r="E326" s="1" t="n">
        <v>46309</v>
      </c>
      <c r="F326" t="inlineStr">
        <is>
          <t>DALARNAS LÄN</t>
        </is>
      </c>
      <c r="G326" t="inlineStr">
        <is>
          <t>VANSBRO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45215</v>
      </c>
      <c r="E327" s="1" t="n">
        <v>46309</v>
      </c>
      <c r="F327" t="inlineStr">
        <is>
          <t>DALARNAS LÄN</t>
        </is>
      </c>
      <c r="G327" t="inlineStr">
        <is>
          <t>VANSBRO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50141-2023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45215</v>
      </c>
      <c r="E328" s="1" t="n">
        <v>46309</v>
      </c>
      <c r="F328" t="inlineStr">
        <is>
          <t>DALARNAS LÄN</t>
        </is>
      </c>
      <c r="G328" t="inlineStr">
        <is>
          <t>VANSBRO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26689-2026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46309</v>
      </c>
      <c r="F329" t="inlineStr">
        <is>
          <t>DALARNAS LÄN</t>
        </is>
      </c>
      <c r="G329" t="inlineStr">
        <is>
          <t>VANSBRO</t>
        </is>
      </c>
      <c r="H329" t="inlineStr">
        <is>
          <t>Övriga statliga verk och myndigheter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46309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27629-2026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46309</v>
      </c>
      <c r="F331" t="inlineStr">
        <is>
          <t>DALARNAS LÄN</t>
        </is>
      </c>
      <c r="G331" t="inlineStr">
        <is>
          <t>VANSBRO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46309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46309</v>
      </c>
      <c r="F333" t="inlineStr">
        <is>
          <t>DALARNAS LÄN</t>
        </is>
      </c>
      <c r="G333" t="inlineStr">
        <is>
          <t>VANSBRO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27195-2026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46309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46309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27937-2026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46309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öst AB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45254</v>
      </c>
      <c r="E337" s="1" t="n">
        <v>46309</v>
      </c>
      <c r="F337" t="inlineStr">
        <is>
          <t>DALARNAS LÄN</t>
        </is>
      </c>
      <c r="G337" t="inlineStr">
        <is>
          <t>VANSBRO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45322</v>
      </c>
      <c r="E338" s="1" t="n">
        <v>46309</v>
      </c>
      <c r="F338" t="inlineStr">
        <is>
          <t>DALARNAS LÄN</t>
        </is>
      </c>
      <c r="G338" t="inlineStr">
        <is>
          <t>VANSBRO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45254</v>
      </c>
      <c r="E339" s="1" t="n">
        <v>46309</v>
      </c>
      <c r="F339" t="inlineStr">
        <is>
          <t>DALARNAS LÄN</t>
        </is>
      </c>
      <c r="G339" t="inlineStr">
        <is>
          <t>VANSBRO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46309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46184</v>
      </c>
      <c r="E341" s="1" t="n">
        <v>46309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46309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10.5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44930</v>
      </c>
      <c r="E343" s="1" t="n">
        <v>46309</v>
      </c>
      <c r="F343" t="inlineStr">
        <is>
          <t>DALARNAS LÄN</t>
        </is>
      </c>
      <c r="G343" t="inlineStr">
        <is>
          <t>VANSBRO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46309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10.7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55078-2022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44886</v>
      </c>
      <c r="E345" s="1" t="n">
        <v>46309</v>
      </c>
      <c r="F345" t="inlineStr">
        <is>
          <t>DALARNAS LÄN</t>
        </is>
      </c>
      <c r="G345" t="inlineStr">
        <is>
          <t>VANSBRO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46197</v>
      </c>
      <c r="E346" s="1" t="n">
        <v>46309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46309</v>
      </c>
      <c r="F347" t="inlineStr">
        <is>
          <t>DALARNAS LÄN</t>
        </is>
      </c>
      <c r="G347" t="inlineStr">
        <is>
          <t>VANSBRO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29439-2026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46203</v>
      </c>
      <c r="E348" s="1" t="n">
        <v>46309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29174-2026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46202</v>
      </c>
      <c r="E349" s="1" t="n">
        <v>46309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öst AB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45775</v>
      </c>
      <c r="E350" s="1" t="n">
        <v>46309</v>
      </c>
      <c r="F350" t="inlineStr">
        <is>
          <t>DALARNAS LÄN</t>
        </is>
      </c>
      <c r="G350" t="inlineStr">
        <is>
          <t>VANSBRO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61717-2023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45265</v>
      </c>
      <c r="E351" s="1" t="n">
        <v>46309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45315</v>
      </c>
      <c r="E352" s="1" t="n">
        <v>46309</v>
      </c>
      <c r="F352" t="inlineStr">
        <is>
          <t>DALARNAS LÄN</t>
        </is>
      </c>
      <c r="G352" t="inlineStr">
        <is>
          <t>VANSBRO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46203</v>
      </c>
      <c r="E353" s="1" t="n">
        <v>46309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46309</v>
      </c>
      <c r="F354" t="inlineStr">
        <is>
          <t>DALARNAS LÄN</t>
        </is>
      </c>
      <c r="G354" t="inlineStr">
        <is>
          <t>VANSBRO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46204</v>
      </c>
      <c r="E355" s="1" t="n">
        <v>46309</v>
      </c>
      <c r="F355" t="inlineStr">
        <is>
          <t>DALARNAS LÄN</t>
        </is>
      </c>
      <c r="G355" t="inlineStr">
        <is>
          <t>VANSBRO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11408-2025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45726</v>
      </c>
      <c r="E356" s="1" t="n">
        <v>46309</v>
      </c>
      <c r="F356" t="inlineStr">
        <is>
          <t>DALARNAS LÄN</t>
        </is>
      </c>
      <c r="G356" t="inlineStr">
        <is>
          <t>VANSBRO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46309</v>
      </c>
      <c r="F357" t="inlineStr">
        <is>
          <t>DALARNAS LÄN</t>
        </is>
      </c>
      <c r="G357" t="inlineStr">
        <is>
          <t>VANSBRO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29687-2026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46204</v>
      </c>
      <c r="E358" s="1" t="n">
        <v>46309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45520</v>
      </c>
      <c r="E359" s="1" t="n">
        <v>46309</v>
      </c>
      <c r="F359" t="inlineStr">
        <is>
          <t>DALARNAS LÄN</t>
        </is>
      </c>
      <c r="G359" t="inlineStr">
        <is>
          <t>VANSBRO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35537-2024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45531</v>
      </c>
      <c r="E360" s="1" t="n">
        <v>46309</v>
      </c>
      <c r="F360" t="inlineStr">
        <is>
          <t>DALARNAS LÄN</t>
        </is>
      </c>
      <c r="G360" t="inlineStr">
        <is>
          <t>VANSBRO</t>
        </is>
      </c>
      <c r="H360" t="inlineStr">
        <is>
          <t>Övriga statliga verk och myndigheter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61515-2022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44916</v>
      </c>
      <c r="E361" s="1" t="n">
        <v>46309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14057-2023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45008</v>
      </c>
      <c r="E362" s="1" t="n">
        <v>46309</v>
      </c>
      <c r="F362" t="inlineStr">
        <is>
          <t>DALARNAS LÄN</t>
        </is>
      </c>
      <c r="G362" t="inlineStr">
        <is>
          <t>VANSBRO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44960</v>
      </c>
      <c r="E363" s="1" t="n">
        <v>46309</v>
      </c>
      <c r="F363" t="inlineStr">
        <is>
          <t>DALARNAS LÄN</t>
        </is>
      </c>
      <c r="G363" t="inlineStr">
        <is>
          <t>VANSBRO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46210</v>
      </c>
      <c r="E364" s="1" t="n">
        <v>46309</v>
      </c>
      <c r="F364" t="inlineStr">
        <is>
          <t>DALARNAS LÄN</t>
        </is>
      </c>
      <c r="G364" t="inlineStr">
        <is>
          <t>VANSBRO</t>
        </is>
      </c>
      <c r="H364" t="inlineStr">
        <is>
          <t>Övriga statliga verk och myndigheter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46210</v>
      </c>
      <c r="E365" s="1" t="n">
        <v>46309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41371-2022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44826</v>
      </c>
      <c r="E366" s="1" t="n">
        <v>46309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46309</v>
      </c>
      <c r="F367" t="inlineStr">
        <is>
          <t>DALARNAS LÄN</t>
        </is>
      </c>
      <c r="G367" t="inlineStr">
        <is>
          <t>VANSBRO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7142-2023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46309</v>
      </c>
      <c r="F368" t="inlineStr">
        <is>
          <t>DALARNAS LÄN</t>
        </is>
      </c>
      <c r="G368" t="inlineStr">
        <is>
          <t>VANSBRO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28872-2026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46309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17807-2022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44673</v>
      </c>
      <c r="E370" s="1" t="n">
        <v>46309</v>
      </c>
      <c r="F370" t="inlineStr">
        <is>
          <t>DALARNAS LÄN</t>
        </is>
      </c>
      <c r="G370" t="inlineStr">
        <is>
          <t>VANSBRO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30784-2026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46212</v>
      </c>
      <c r="E371" s="1" t="n">
        <v>46309</v>
      </c>
      <c r="F371" t="inlineStr">
        <is>
          <t>DALARNAS LÄN</t>
        </is>
      </c>
      <c r="G371" t="inlineStr">
        <is>
          <t>VANSBRO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54159-2022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44881</v>
      </c>
      <c r="E372" s="1" t="n">
        <v>46309</v>
      </c>
      <c r="F372" t="inlineStr">
        <is>
          <t>DALARNAS LÄN</t>
        </is>
      </c>
      <c r="G372" t="inlineStr">
        <is>
          <t>VANSBRO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22756-2024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45448</v>
      </c>
      <c r="E373" s="1" t="n">
        <v>46309</v>
      </c>
      <c r="F373" t="inlineStr">
        <is>
          <t>DALARNAS LÄN</t>
        </is>
      </c>
      <c r="G373" t="inlineStr">
        <is>
          <t>VANSBRO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46309</v>
      </c>
      <c r="F374" t="inlineStr">
        <is>
          <t>DALARNAS LÄN</t>
        </is>
      </c>
      <c r="G374" t="inlineStr">
        <is>
          <t>VANSBRO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46309</v>
      </c>
      <c r="F375" t="inlineStr">
        <is>
          <t>DALARNAS LÄN</t>
        </is>
      </c>
      <c r="G375" t="inlineStr">
        <is>
          <t>VANSBRO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45596</v>
      </c>
      <c r="E376" s="1" t="n">
        <v>46309</v>
      </c>
      <c r="F376" t="inlineStr">
        <is>
          <t>DALARNAS LÄN</t>
        </is>
      </c>
      <c r="G376" t="inlineStr">
        <is>
          <t>VANSBRO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46309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45240</v>
      </c>
      <c r="E378" s="1" t="n">
        <v>46309</v>
      </c>
      <c r="F378" t="inlineStr">
        <is>
          <t>DALARNAS LÄN</t>
        </is>
      </c>
      <c r="G378" t="inlineStr">
        <is>
          <t>VANSBRO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56129-2023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45240</v>
      </c>
      <c r="E379" s="1" t="n">
        <v>46309</v>
      </c>
      <c r="F379" t="inlineStr">
        <is>
          <t>DALARNAS LÄN</t>
        </is>
      </c>
      <c r="G379" t="inlineStr">
        <is>
          <t>VANSBRO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46268</v>
      </c>
      <c r="E380" s="1" t="n">
        <v>46309</v>
      </c>
      <c r="F380" t="inlineStr">
        <is>
          <t>DALARNAS LÄN</t>
        </is>
      </c>
      <c r="G380" t="inlineStr">
        <is>
          <t>VANSBRO</t>
        </is>
      </c>
      <c r="H380" t="inlineStr">
        <is>
          <t>Kyrkan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36379-2026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46268</v>
      </c>
      <c r="E381" s="1" t="n">
        <v>46309</v>
      </c>
      <c r="F381" t="inlineStr">
        <is>
          <t>DALARNAS LÄN</t>
        </is>
      </c>
      <c r="G381" t="inlineStr">
        <is>
          <t>VANSBRO</t>
        </is>
      </c>
      <c r="H381" t="inlineStr">
        <is>
          <t>Kyrkan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44855</v>
      </c>
      <c r="E382" s="1" t="n">
        <v>46309</v>
      </c>
      <c r="F382" t="inlineStr">
        <is>
          <t>DALARNAS LÄN</t>
        </is>
      </c>
      <c r="G382" t="inlineStr">
        <is>
          <t>VANSBRO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34882-2022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44796</v>
      </c>
      <c r="E383" s="1" t="n">
        <v>46309</v>
      </c>
      <c r="F383" t="inlineStr">
        <is>
          <t>DALARNAS LÄN</t>
        </is>
      </c>
      <c r="G383" t="inlineStr">
        <is>
          <t>VANSBRO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36375-2026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46309</v>
      </c>
      <c r="F384" t="inlineStr">
        <is>
          <t>DALARNAS LÄN</t>
        </is>
      </c>
      <c r="G384" t="inlineStr">
        <is>
          <t>VANSBRO</t>
        </is>
      </c>
      <c r="H384" t="inlineStr">
        <is>
          <t>Kyrkan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49921-2023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45214</v>
      </c>
      <c r="E385" s="1" t="n">
        <v>46309</v>
      </c>
      <c r="F385" t="inlineStr">
        <is>
          <t>DALARNAS LÄN</t>
        </is>
      </c>
      <c r="G385" t="inlineStr">
        <is>
          <t>VANSBRO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46272</v>
      </c>
      <c r="E386" s="1" t="n">
        <v>46309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46272</v>
      </c>
      <c r="E387" s="1" t="n">
        <v>46309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46272</v>
      </c>
      <c r="E388" s="1" t="n">
        <v>46309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45471</v>
      </c>
      <c r="E389" s="1" t="n">
        <v>46309</v>
      </c>
      <c r="F389" t="inlineStr">
        <is>
          <t>DALARNAS LÄN</t>
        </is>
      </c>
      <c r="G389" t="inlineStr">
        <is>
          <t>VANSBRO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45356-2024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45576</v>
      </c>
      <c r="E390" s="1" t="n">
        <v>46309</v>
      </c>
      <c r="F390" t="inlineStr">
        <is>
          <t>DALARNAS LÄN</t>
        </is>
      </c>
      <c r="G390" t="inlineStr">
        <is>
          <t>VANSBRO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31867-2026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46231</v>
      </c>
      <c r="E391" s="1" t="n">
        <v>46309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20.2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46274</v>
      </c>
      <c r="E392" s="1" t="n">
        <v>46309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öst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45689</v>
      </c>
      <c r="E393" s="1" t="n">
        <v>46309</v>
      </c>
      <c r="F393" t="inlineStr">
        <is>
          <t>DALARNAS LÄN</t>
        </is>
      </c>
      <c r="G393" t="inlineStr">
        <is>
          <t>VANSBRO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44980</v>
      </c>
      <c r="E394" s="1" t="n">
        <v>46309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37433-2026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46275</v>
      </c>
      <c r="E395" s="1" t="n">
        <v>46309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37499-2026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46275</v>
      </c>
      <c r="E396" s="1" t="n">
        <v>46309</v>
      </c>
      <c r="F396" t="inlineStr">
        <is>
          <t>DALARNAS LÄN</t>
        </is>
      </c>
      <c r="G396" t="inlineStr">
        <is>
          <t>VANSBRO</t>
        </is>
      </c>
      <c r="H396" t="inlineStr">
        <is>
          <t>Kyrkan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21418-2023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45063</v>
      </c>
      <c r="E397" s="1" t="n">
        <v>46309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46276</v>
      </c>
      <c r="E398" s="1" t="n">
        <v>46309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46276</v>
      </c>
      <c r="E399" s="1" t="n">
        <v>46309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55570-2023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45238</v>
      </c>
      <c r="E400" s="1" t="n">
        <v>46309</v>
      </c>
      <c r="F400" t="inlineStr">
        <is>
          <t>DALARNAS LÄN</t>
        </is>
      </c>
      <c r="G400" t="inlineStr">
        <is>
          <t>VANSBRO</t>
        </is>
      </c>
      <c r="H400" t="inlineStr">
        <is>
          <t>Övriga statliga verk och myndigheter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757-2023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44931</v>
      </c>
      <c r="E401" s="1" t="n">
        <v>46309</v>
      </c>
      <c r="F401" t="inlineStr">
        <is>
          <t>DALARNAS LÄN</t>
        </is>
      </c>
      <c r="G401" t="inlineStr">
        <is>
          <t>VANSBRO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37443-2026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46275</v>
      </c>
      <c r="E402" s="1" t="n">
        <v>46309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37467-2026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46275</v>
      </c>
      <c r="E403" s="1" t="n">
        <v>46309</v>
      </c>
      <c r="F403" t="inlineStr">
        <is>
          <t>DALARNAS LÄN</t>
        </is>
      </c>
      <c r="G403" t="inlineStr">
        <is>
          <t>VANSBRO</t>
        </is>
      </c>
      <c r="H403" t="inlineStr">
        <is>
          <t>Kommuner</t>
        </is>
      </c>
      <c r="I403" t="n">
        <v>6.9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53498-2024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46309</v>
      </c>
      <c r="F404" t="inlineStr">
        <is>
          <t>DALARNAS LÄN</t>
        </is>
      </c>
      <c r="G404" t="inlineStr">
        <is>
          <t>VANSBRO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46309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46309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48111-2024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45589</v>
      </c>
      <c r="E407" s="1" t="n">
        <v>46309</v>
      </c>
      <c r="F407" t="inlineStr">
        <is>
          <t>DALARNAS LÄN</t>
        </is>
      </c>
      <c r="G407" t="inlineStr">
        <is>
          <t>VANSBRO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46280</v>
      </c>
      <c r="E408" s="1" t="n">
        <v>46309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46280</v>
      </c>
      <c r="E409" s="1" t="n">
        <v>46309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38253-2026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46281</v>
      </c>
      <c r="E410" s="1" t="n">
        <v>46309</v>
      </c>
      <c r="F410" t="inlineStr">
        <is>
          <t>DALARNAS LÄN</t>
        </is>
      </c>
      <c r="G410" t="inlineStr">
        <is>
          <t>VANSBRO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9298-2023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44980</v>
      </c>
      <c r="E411" s="1" t="n">
        <v>46309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46281</v>
      </c>
      <c r="E412" s="1" t="n">
        <v>46309</v>
      </c>
      <c r="F412" t="inlineStr">
        <is>
          <t>DALARNAS LÄN</t>
        </is>
      </c>
      <c r="G412" t="inlineStr">
        <is>
          <t>VANSBRO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46309</v>
      </c>
      <c r="F413" t="inlineStr">
        <is>
          <t>DALARNAS LÄN</t>
        </is>
      </c>
      <c r="G413" t="inlineStr">
        <is>
          <t>VANSBRO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46281</v>
      </c>
      <c r="E414" s="1" t="n">
        <v>46309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32393-2026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46238</v>
      </c>
      <c r="E415" s="1" t="n">
        <v>46309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29.6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34738-2023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45141</v>
      </c>
      <c r="E416" s="1" t="n">
        <v>46309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40382-2023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45169</v>
      </c>
      <c r="E417" s="1" t="n">
        <v>46309</v>
      </c>
      <c r="F417" t="inlineStr">
        <is>
          <t>DALARNAS LÄN</t>
        </is>
      </c>
      <c r="G417" t="inlineStr">
        <is>
          <t>VANSBRO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40383-2023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45169</v>
      </c>
      <c r="E418" s="1" t="n">
        <v>46309</v>
      </c>
      <c r="F418" t="inlineStr">
        <is>
          <t>DALARNAS LÄN</t>
        </is>
      </c>
      <c r="G418" t="inlineStr">
        <is>
          <t>VANSBRO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38797-2026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46286</v>
      </c>
      <c r="E419" s="1" t="n">
        <v>46309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34277-2022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44791</v>
      </c>
      <c r="E420" s="1" t="n">
        <v>46309</v>
      </c>
      <c r="F420" t="inlineStr">
        <is>
          <t>DALARNAS LÄN</t>
        </is>
      </c>
      <c r="G420" t="inlineStr">
        <is>
          <t>VANSBRO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45296</v>
      </c>
      <c r="E421" s="1" t="n">
        <v>46309</v>
      </c>
      <c r="F421" t="inlineStr">
        <is>
          <t>DALARNAS LÄN</t>
        </is>
      </c>
      <c r="G421" t="inlineStr">
        <is>
          <t>VANSBRO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46283</v>
      </c>
      <c r="E422" s="1" t="n">
        <v>46309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46283</v>
      </c>
      <c r="E423" s="1" t="n">
        <v>46309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8447-2022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44612</v>
      </c>
      <c r="E424" s="1" t="n">
        <v>46309</v>
      </c>
      <c r="F424" t="inlineStr">
        <is>
          <t>DALARNAS LÄN</t>
        </is>
      </c>
      <c r="G424" t="inlineStr">
        <is>
          <t>VANSBRO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35365-2022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44798</v>
      </c>
      <c r="E425" s="1" t="n">
        <v>46309</v>
      </c>
      <c r="F425" t="inlineStr">
        <is>
          <t>DALARNAS LÄN</t>
        </is>
      </c>
      <c r="G425" t="inlineStr">
        <is>
          <t>VANSBRO</t>
        </is>
      </c>
      <c r="H425" t="inlineStr">
        <is>
          <t>Kommuner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46309</v>
      </c>
      <c r="F426" t="inlineStr">
        <is>
          <t>DALARNAS LÄN</t>
        </is>
      </c>
      <c r="G426" t="inlineStr">
        <is>
          <t>VANSBRO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10886-2025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45722</v>
      </c>
      <c r="E427" s="1" t="n">
        <v>46309</v>
      </c>
      <c r="F427" t="inlineStr">
        <is>
          <t>DALARNAS LÄN</t>
        </is>
      </c>
      <c r="G427" t="inlineStr">
        <is>
          <t>VANSBRO</t>
        </is>
      </c>
      <c r="I427" t="n">
        <v>15.5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33520-2024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45519</v>
      </c>
      <c r="E428" s="1" t="n">
        <v>46309</v>
      </c>
      <c r="F428" t="inlineStr">
        <is>
          <t>DALARNAS LÄN</t>
        </is>
      </c>
      <c r="G428" t="inlineStr">
        <is>
          <t>VANSBRO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62398-2021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44503</v>
      </c>
      <c r="E429" s="1" t="n">
        <v>46309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öst AB</t>
        </is>
      </c>
      <c r="I429" t="n">
        <v>22.1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23432-2024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45453</v>
      </c>
      <c r="E430" s="1" t="n">
        <v>46309</v>
      </c>
      <c r="F430" t="inlineStr">
        <is>
          <t>DALARNAS LÄN</t>
        </is>
      </c>
      <c r="G430" t="inlineStr">
        <is>
          <t>VANSBRO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39500-2026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46289</v>
      </c>
      <c r="E431" s="1" t="n">
        <v>46309</v>
      </c>
      <c r="F431" t="inlineStr">
        <is>
          <t>DALARNAS LÄN</t>
        </is>
      </c>
      <c r="G431" t="inlineStr">
        <is>
          <t>VANSBRO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45666</v>
      </c>
      <c r="E432" s="1" t="n">
        <v>46309</v>
      </c>
      <c r="F432" t="inlineStr">
        <is>
          <t>DALARNAS LÄN</t>
        </is>
      </c>
      <c r="G432" t="inlineStr">
        <is>
          <t>VANSBRO</t>
        </is>
      </c>
      <c r="H432" t="inlineStr">
        <is>
          <t>Övriga statliga verk och myndigheter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16823-2025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45754</v>
      </c>
      <c r="E433" s="1" t="n">
        <v>46309</v>
      </c>
      <c r="F433" t="inlineStr">
        <is>
          <t>DALARNAS LÄN</t>
        </is>
      </c>
      <c r="G433" t="inlineStr">
        <is>
          <t>VANSBRO</t>
        </is>
      </c>
      <c r="I433" t="n">
        <v>9.9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8793-2025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45712</v>
      </c>
      <c r="E434" s="1" t="n">
        <v>46309</v>
      </c>
      <c r="F434" t="inlineStr">
        <is>
          <t>DALARNAS LÄN</t>
        </is>
      </c>
      <c r="G434" t="inlineStr">
        <is>
          <t>VANSBRO</t>
        </is>
      </c>
      <c r="I434" t="n">
        <v>13.8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39871-2026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46290</v>
      </c>
      <c r="E435" s="1" t="n">
        <v>46309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46309</v>
      </c>
      <c r="F436" t="inlineStr">
        <is>
          <t>DALARNAS LÄN</t>
        </is>
      </c>
      <c r="G436" t="inlineStr">
        <is>
          <t>VANSBRO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40424-2026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46294</v>
      </c>
      <c r="E437" s="1" t="n">
        <v>46309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10.1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2086-2024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45309</v>
      </c>
      <c r="E438" s="1" t="n">
        <v>46309</v>
      </c>
      <c r="F438" t="inlineStr">
        <is>
          <t>DALARNAS LÄN</t>
        </is>
      </c>
      <c r="G438" t="inlineStr">
        <is>
          <t>VANSBRO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40143-2026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46293</v>
      </c>
      <c r="E439" s="1" t="n">
        <v>46309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46294</v>
      </c>
      <c r="E440" s="1" t="n">
        <v>46309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46293</v>
      </c>
      <c r="E441" s="1" t="n">
        <v>46309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47824-2023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46309</v>
      </c>
      <c r="F442" t="inlineStr">
        <is>
          <t>DALARNAS LÄN</t>
        </is>
      </c>
      <c r="G442" t="inlineStr">
        <is>
          <t>VANSBRO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42824-2023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45182</v>
      </c>
      <c r="E443" s="1" t="n">
        <v>46309</v>
      </c>
      <c r="F443" t="inlineStr">
        <is>
          <t>DALARNAS LÄN</t>
        </is>
      </c>
      <c r="G443" t="inlineStr">
        <is>
          <t>VANSBRO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40343-2026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46294</v>
      </c>
      <c r="E444" s="1" t="n">
        <v>46309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56986-2023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45244</v>
      </c>
      <c r="E445" s="1" t="n">
        <v>46309</v>
      </c>
      <c r="F445" t="inlineStr">
        <is>
          <t>DALARNAS LÄN</t>
        </is>
      </c>
      <c r="G445" t="inlineStr">
        <is>
          <t>VANSBRO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40391-2026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46294</v>
      </c>
      <c r="E446" s="1" t="n">
        <v>46309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46294</v>
      </c>
      <c r="E447" s="1" t="n">
        <v>46309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46252</v>
      </c>
      <c r="E448" s="1" t="n">
        <v>46309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46309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46253</v>
      </c>
      <c r="E450" s="1" t="n">
        <v>46309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46309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13.3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46309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46253</v>
      </c>
      <c r="E453" s="1" t="n">
        <v>46309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18.9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46309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12.1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34210-2026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46309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46252</v>
      </c>
      <c r="E456" s="1" t="n">
        <v>46309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29288-2024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45483</v>
      </c>
      <c r="E457" s="1" t="n">
        <v>46309</v>
      </c>
      <c r="F457" t="inlineStr">
        <is>
          <t>DALARNAS LÄN</t>
        </is>
      </c>
      <c r="G457" t="inlineStr">
        <is>
          <t>VANSBRO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21616-2025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45783</v>
      </c>
      <c r="E458" s="1" t="n">
        <v>46309</v>
      </c>
      <c r="F458" t="inlineStr">
        <is>
          <t>DALARNAS LÄN</t>
        </is>
      </c>
      <c r="G458" t="inlineStr">
        <is>
          <t>VANSBRO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45674</v>
      </c>
      <c r="E459" s="1" t="n">
        <v>46309</v>
      </c>
      <c r="F459" t="inlineStr">
        <is>
          <t>DALARNAS LÄN</t>
        </is>
      </c>
      <c r="G459" t="inlineStr">
        <is>
          <t>VANSBRO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45783</v>
      </c>
      <c r="E460" s="1" t="n">
        <v>46309</v>
      </c>
      <c r="F460" t="inlineStr">
        <is>
          <t>DALARNAS LÄN</t>
        </is>
      </c>
      <c r="G460" t="inlineStr">
        <is>
          <t>VANSBRO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41279-2026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46300</v>
      </c>
      <c r="E461" s="1" t="n">
        <v>46309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41183-2026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46300</v>
      </c>
      <c r="E462" s="1" t="n">
        <v>46309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23085-2022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44719</v>
      </c>
      <c r="E463" s="1" t="n">
        <v>46309</v>
      </c>
      <c r="F463" t="inlineStr">
        <is>
          <t>DALARNAS LÄN</t>
        </is>
      </c>
      <c r="G463" t="inlineStr">
        <is>
          <t>VANSBRO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41015-2026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46297</v>
      </c>
      <c r="E464" s="1" t="n">
        <v>46309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41176-2026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46300</v>
      </c>
      <c r="E465" s="1" t="n">
        <v>46309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väst AB</t>
        </is>
      </c>
      <c r="I465" t="n">
        <v>19.7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46309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väst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45492</v>
      </c>
      <c r="E467" s="1" t="n">
        <v>46309</v>
      </c>
      <c r="F467" t="inlineStr">
        <is>
          <t>DALARNAS LÄN</t>
        </is>
      </c>
      <c r="G467" t="inlineStr">
        <is>
          <t>VANSBRO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40996-2026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46297</v>
      </c>
      <c r="E468" s="1" t="n">
        <v>46309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öst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46309</v>
      </c>
      <c r="F469" t="inlineStr">
        <is>
          <t>DALARNAS LÄN</t>
        </is>
      </c>
      <c r="G469" t="inlineStr">
        <is>
          <t>VANSBRO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34583-2026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46255</v>
      </c>
      <c r="E470" s="1" t="n">
        <v>46309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41285-2026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46300</v>
      </c>
      <c r="E471" s="1" t="n">
        <v>46309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öst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46191</v>
      </c>
      <c r="E472" s="1" t="n">
        <v>46309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46302</v>
      </c>
      <c r="E473" s="1" t="n">
        <v>46309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öst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35042-2026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46259</v>
      </c>
      <c r="E474" s="1" t="n">
        <v>46309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öst AB</t>
        </is>
      </c>
      <c r="I474" t="n">
        <v>6.9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46309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41606-2026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46302</v>
      </c>
      <c r="E476" s="1" t="n">
        <v>46309</v>
      </c>
      <c r="F476" t="inlineStr">
        <is>
          <t>DALARNAS LÄN</t>
        </is>
      </c>
      <c r="G476" t="inlineStr">
        <is>
          <t>VANSBRO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42021-2026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46304</v>
      </c>
      <c r="E477" s="1" t="n">
        <v>46309</v>
      </c>
      <c r="F477" t="inlineStr">
        <is>
          <t>DALARNAS LÄN</t>
        </is>
      </c>
      <c r="G477" t="inlineStr">
        <is>
          <t>VANSBRO</t>
        </is>
      </c>
      <c r="I477" t="n">
        <v>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42026-2026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46304</v>
      </c>
      <c r="E478" s="1" t="n">
        <v>46309</v>
      </c>
      <c r="F478" t="inlineStr">
        <is>
          <t>DALARNAS LÄN</t>
        </is>
      </c>
      <c r="G478" t="inlineStr">
        <is>
          <t>VANSBRO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41858-2026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46303</v>
      </c>
      <c r="E479" s="1" t="n">
        <v>46309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öst AB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41921-2026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46303</v>
      </c>
      <c r="E480" s="1" t="n">
        <v>46309</v>
      </c>
      <c r="F480" t="inlineStr">
        <is>
          <t>DALARNAS LÄN</t>
        </is>
      </c>
      <c r="G480" t="inlineStr">
        <is>
          <t>VANSBRO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35330-2026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46261</v>
      </c>
      <c r="E481" s="1" t="n">
        <v>46309</v>
      </c>
      <c r="F481" t="inlineStr">
        <is>
          <t>DALARNAS LÄN</t>
        </is>
      </c>
      <c r="G481" t="inlineStr">
        <is>
          <t>VANSBRO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42424-2026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46308</v>
      </c>
      <c r="E482" s="1" t="n">
        <v>46309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35752-2026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46265</v>
      </c>
      <c r="E483" s="1" t="n">
        <v>46309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46307</v>
      </c>
      <c r="E484" s="1" t="n">
        <v>46309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väst AB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45890</v>
      </c>
      <c r="E485" s="1" t="n">
        <v>46309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42479-2026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46308</v>
      </c>
      <c r="E486" s="1" t="n">
        <v>46309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väst AB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27932-2026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46309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46266</v>
      </c>
      <c r="E488" s="1" t="n">
        <v>46309</v>
      </c>
      <c r="F488" t="inlineStr">
        <is>
          <t>DALARNAS LÄN</t>
        </is>
      </c>
      <c r="G488" t="inlineStr">
        <is>
          <t>VANSBRO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35579-2026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46262</v>
      </c>
      <c r="E489" s="1" t="n">
        <v>46309</v>
      </c>
      <c r="F489" t="inlineStr">
        <is>
          <t>DALARNAS LÄN</t>
        </is>
      </c>
      <c r="G489" t="inlineStr">
        <is>
          <t>VANSBRO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42482-2026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46308</v>
      </c>
      <c r="E490" s="1" t="n">
        <v>46309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väst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1286-2024</t>
        </is>
      </c>
      <c r="B491" t="inlineStr">
        <is>
          <t>samrådsanmälan</t>
        </is>
      </c>
      <c r="C491" t="inlineStr">
        <is>
          <t>Skogsgödsling</t>
        </is>
      </c>
      <c r="D491" s="1" t="n">
        <v>45401</v>
      </c>
      <c r="E491" s="1" t="n">
        <v>46309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väst AB</t>
        </is>
      </c>
      <c r="I491" t="n">
        <v>220.8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4782-2022</t>
        </is>
      </c>
      <c r="B492" t="inlineStr">
        <is>
          <t>samrådsanmälan</t>
        </is>
      </c>
      <c r="C492" t="inlineStr">
        <is>
          <t>Skogsbilväg</t>
        </is>
      </c>
      <c r="D492" s="1" t="n">
        <v>44802</v>
      </c>
      <c r="E492" s="1" t="n">
        <v>46309</v>
      </c>
      <c r="F492" t="inlineStr">
        <is>
          <t>DALARNAS LÄN</t>
        </is>
      </c>
      <c r="G492" t="inlineStr">
        <is>
          <t>VANSBRO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3514-2023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45208</v>
      </c>
      <c r="E493" s="1" t="n">
        <v>46309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väst AB</t>
        </is>
      </c>
      <c r="I493" t="n">
        <v>37.8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409-2025</t>
        </is>
      </c>
      <c r="B494" t="inlineStr">
        <is>
          <t>samrådsanmälan</t>
        </is>
      </c>
      <c r="C494" t="inlineStr">
        <is>
          <t>Skogsgödsling</t>
        </is>
      </c>
      <c r="D494" s="1" t="n">
        <v>45699</v>
      </c>
      <c r="E494" s="1" t="n">
        <v>46309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öst AB</t>
        </is>
      </c>
      <c r="I494" t="n">
        <v>277.1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91-2026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46035</v>
      </c>
      <c r="E495" s="1" t="n">
        <v>46309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väst AB</t>
        </is>
      </c>
      <c r="I495" t="n">
        <v>153.5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>
      <c r="A496" t="inlineStr">
        <is>
          <t>S 747-2026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46089</v>
      </c>
      <c r="E496" s="1" t="n">
        <v>46309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öst AB</t>
        </is>
      </c>
      <c r="I496" t="n">
        <v>82.40000000000001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2026-10-14T02:02:16Z</dcterms:created>
  <dcterms:modified xmlns:dcterms="http://purl.org/dc/terms/" xmlns:xsi="http://www.w3.org/2001/XMLSchema-instance" xsi:type="dcterms:W3CDTF">2026-10-14T02:02:17Z</dcterms:modified>
</cp:coreProperties>
</file>