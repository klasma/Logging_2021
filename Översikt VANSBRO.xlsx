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45904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45904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45904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45904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45904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45904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Knärot
Rynkskinn
Garnlav
Granticka
Mindre hackspett
Tretåig hackspett
Ullticka
Fjällig taggsvamp s.str.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45904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45904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45904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45876-2020</t>
        </is>
      </c>
      <c r="B11" s="1" t="n">
        <v>44091</v>
      </c>
      <c r="C11" s="1" t="n">
        <v>45904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11.3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Garnlav
Spillkråka
Vedskivlav
Dropptaggsvamp</t>
        </is>
      </c>
      <c r="S11">
        <f>HYPERLINK("https://klasma.github.io/Logging_2021/artfynd/A 45876-2020 artfynd.xlsx", "A 45876-2020")</f>
        <v/>
      </c>
      <c r="T11">
        <f>HYPERLINK("https://klasma.github.io/Logging_2021/kartor/A 45876-2020 karta.png", "A 45876-2020")</f>
        <v/>
      </c>
      <c r="V11">
        <f>HYPERLINK("https://klasma.github.io/Logging_2021/klagomål/A 45876-2020 FSC-klagomål.docx", "A 45876-2020")</f>
        <v/>
      </c>
      <c r="W11">
        <f>HYPERLINK("https://klasma.github.io/Logging_2021/klagomålsmail/A 45876-2020 FSC-klagomål mail.docx", "A 45876-2020")</f>
        <v/>
      </c>
      <c r="X11">
        <f>HYPERLINK("https://klasma.github.io/Logging_2021/tillsyn/A 45876-2020 tillsynsbegäran.docx", "A 45876-2020")</f>
        <v/>
      </c>
      <c r="Y11">
        <f>HYPERLINK("https://klasma.github.io/Logging_2021/tillsynsmail/A 45876-2020 tillsynsbegäran mail.docx", "A 45876-2020")</f>
        <v/>
      </c>
      <c r="Z11">
        <f>HYPERLINK("https://klasma.github.io/Logging_2021/fåglar/A 45876-2020 prioriterade fågelarter.docx", "A 45876-2020")</f>
        <v/>
      </c>
    </row>
    <row r="12" ht="15" customHeight="1">
      <c r="A12" t="inlineStr">
        <is>
          <t>A 38390-2025</t>
        </is>
      </c>
      <c r="B12" s="1" t="n">
        <v>45883.5749074074</v>
      </c>
      <c r="C12" s="1" t="n">
        <v>45904</v>
      </c>
      <c r="D12" t="inlineStr">
        <is>
          <t>DALARNAS LÄN</t>
        </is>
      </c>
      <c r="E12" t="inlineStr">
        <is>
          <t>VANSBRO</t>
        </is>
      </c>
      <c r="G12" t="n">
        <v>2.9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Torrmusseron
Garnlav
Bollvitmossa
Dropptaggsvamp
Mindre märgborre</t>
        </is>
      </c>
      <c r="S12">
        <f>HYPERLINK("https://klasma.github.io/Logging_2021/artfynd/A 38390-2025 artfynd.xlsx", "A 38390-2025")</f>
        <v/>
      </c>
      <c r="T12">
        <f>HYPERLINK("https://klasma.github.io/Logging_2021/kartor/A 38390-2025 karta.png", "A 38390-2025")</f>
        <v/>
      </c>
      <c r="V12">
        <f>HYPERLINK("https://klasma.github.io/Logging_2021/klagomål/A 38390-2025 FSC-klagomål.docx", "A 38390-2025")</f>
        <v/>
      </c>
      <c r="W12">
        <f>HYPERLINK("https://klasma.github.io/Logging_2021/klagomålsmail/A 38390-2025 FSC-klagomål mail.docx", "A 38390-2025")</f>
        <v/>
      </c>
      <c r="X12">
        <f>HYPERLINK("https://klasma.github.io/Logging_2021/tillsyn/A 38390-2025 tillsynsbegäran.docx", "A 38390-2025")</f>
        <v/>
      </c>
      <c r="Y12">
        <f>HYPERLINK("https://klasma.github.io/Logging_2021/tillsynsmail/A 38390-2025 tillsynsbegäran mail.docx", "A 38390-2025")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45904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45904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16725-2024</t>
        </is>
      </c>
      <c r="B15" s="1" t="n">
        <v>45409.75594907408</v>
      </c>
      <c r="C15" s="1" t="n">
        <v>45904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11433-2025</t>
        </is>
      </c>
      <c r="B16" s="1" t="n">
        <v>45726</v>
      </c>
      <c r="C16" s="1" t="n">
        <v>45904</v>
      </c>
      <c r="D16" t="inlineStr">
        <is>
          <t>DALARNAS LÄN</t>
        </is>
      </c>
      <c r="E16" t="inlineStr">
        <is>
          <t>VANSBRO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Bollvitmossa</t>
        </is>
      </c>
      <c r="S16">
        <f>HYPERLINK("https://klasma.github.io/Logging_2021/artfynd/A 11433-2025 artfynd.xlsx", "A 11433-2025")</f>
        <v/>
      </c>
      <c r="T16">
        <f>HYPERLINK("https://klasma.github.io/Logging_2021/kartor/A 11433-2025 karta.png", "A 11433-2025")</f>
        <v/>
      </c>
      <c r="U16">
        <f>HYPERLINK("https://klasma.github.io/Logging_2021/knärot/A 11433-2025 karta knärot.png", "A 11433-2025")</f>
        <v/>
      </c>
      <c r="V16">
        <f>HYPERLINK("https://klasma.github.io/Logging_2021/klagomål/A 11433-2025 FSC-klagomål.docx", "A 11433-2025")</f>
        <v/>
      </c>
      <c r="W16">
        <f>HYPERLINK("https://klasma.github.io/Logging_2021/klagomålsmail/A 11433-2025 FSC-klagomål mail.docx", "A 11433-2025")</f>
        <v/>
      </c>
      <c r="X16">
        <f>HYPERLINK("https://klasma.github.io/Logging_2021/tillsyn/A 11433-2025 tillsynsbegäran.docx", "A 11433-2025")</f>
        <v/>
      </c>
      <c r="Y16">
        <f>HYPERLINK("https://klasma.github.io/Logging_2021/tillsynsmail/A 11433-2025 tillsynsbegäran mail.docx", "A 11433-2025")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45904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1389-2021</t>
        </is>
      </c>
      <c r="B18" s="1" t="n">
        <v>44208</v>
      </c>
      <c r="C18" s="1" t="n">
        <v>45904</v>
      </c>
      <c r="D18" t="inlineStr">
        <is>
          <t>DALARNAS LÄN</t>
        </is>
      </c>
      <c r="E18" t="inlineStr">
        <is>
          <t>VANSBRO</t>
        </is>
      </c>
      <c r="G18" t="n">
        <v>3</v>
      </c>
      <c r="H18" t="n">
        <v>1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Knärot
Rynkskinn
Ullticka</t>
        </is>
      </c>
      <c r="S18">
        <f>HYPERLINK("https://klasma.github.io/Logging_2021/artfynd/A 1389-2021 artfynd.xlsx", "A 1389-2021")</f>
        <v/>
      </c>
      <c r="T18">
        <f>HYPERLINK("https://klasma.github.io/Logging_2021/kartor/A 1389-2021 karta.png", "A 1389-2021")</f>
        <v/>
      </c>
      <c r="U18">
        <f>HYPERLINK("https://klasma.github.io/Logging_2021/knärot/A 1389-2021 karta knärot.png", "A 1389-2021")</f>
        <v/>
      </c>
      <c r="V18">
        <f>HYPERLINK("https://klasma.github.io/Logging_2021/klagomål/A 1389-2021 FSC-klagomål.docx", "A 1389-2021")</f>
        <v/>
      </c>
      <c r="W18">
        <f>HYPERLINK("https://klasma.github.io/Logging_2021/klagomålsmail/A 1389-2021 FSC-klagomål mail.docx", "A 1389-2021")</f>
        <v/>
      </c>
      <c r="X18">
        <f>HYPERLINK("https://klasma.github.io/Logging_2021/tillsyn/A 1389-2021 tillsynsbegäran.docx", "A 1389-2021")</f>
        <v/>
      </c>
      <c r="Y18">
        <f>HYPERLINK("https://klasma.github.io/Logging_2021/tillsynsmail/A 1389-2021 tillsynsbegäran mail.docx", "A 1389-2021")</f>
        <v/>
      </c>
    </row>
    <row r="19" ht="15" customHeight="1">
      <c r="A19" t="inlineStr">
        <is>
          <t>A 33962-2025</t>
        </is>
      </c>
      <c r="B19" s="1" t="n">
        <v>45842.70543981482</v>
      </c>
      <c r="C19" s="1" t="n">
        <v>45904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45904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13323-2025</t>
        </is>
      </c>
      <c r="B21" s="1" t="n">
        <v>45735.5975925926</v>
      </c>
      <c r="C21" s="1" t="n">
        <v>45904</v>
      </c>
      <c r="D21" t="inlineStr">
        <is>
          <t>DALARNAS LÄN</t>
        </is>
      </c>
      <c r="E21" t="inlineStr">
        <is>
          <t>VANSBRO</t>
        </is>
      </c>
      <c r="G21" t="n">
        <v>2.1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HYPERLINK("https://klasma.github.io/Logging_2021/artfynd/A 13323-2025 artfynd.xlsx", "A 13323-2025")</f>
        <v/>
      </c>
      <c r="T21">
        <f>HYPERLINK("https://klasma.github.io/Logging_2021/kartor/A 13323-2025 karta.png", "A 13323-2025")</f>
        <v/>
      </c>
      <c r="U21">
        <f>HYPERLINK("https://klasma.github.io/Logging_2021/knärot/A 13323-2025 karta knärot.png", "A 13323-2025")</f>
        <v/>
      </c>
      <c r="V21">
        <f>HYPERLINK("https://klasma.github.io/Logging_2021/klagomål/A 13323-2025 FSC-klagomål.docx", "A 13323-2025")</f>
        <v/>
      </c>
      <c r="W21">
        <f>HYPERLINK("https://klasma.github.io/Logging_2021/klagomålsmail/A 13323-2025 FSC-klagomål mail.docx", "A 13323-2025")</f>
        <v/>
      </c>
      <c r="X21">
        <f>HYPERLINK("https://klasma.github.io/Logging_2021/tillsyn/A 13323-2025 tillsynsbegäran.docx", "A 13323-2025")</f>
        <v/>
      </c>
      <c r="Y21">
        <f>HYPERLINK("https://klasma.github.io/Logging_2021/tillsynsmail/A 13323-2025 tillsynsbegäran mail.docx", "A 13323-2025")</f>
        <v/>
      </c>
    </row>
    <row r="22" ht="15" customHeight="1">
      <c r="A22" t="inlineStr">
        <is>
          <t>A 2236-2025</t>
        </is>
      </c>
      <c r="B22" s="1" t="n">
        <v>45673.48043981481</v>
      </c>
      <c r="C22" s="1" t="n">
        <v>45904</v>
      </c>
      <c r="D22" t="inlineStr">
        <is>
          <t>DALARNAS LÄN</t>
        </is>
      </c>
      <c r="E22" t="inlineStr">
        <is>
          <t>VANSBRO</t>
        </is>
      </c>
      <c r="G22" t="n">
        <v>12.5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Kolflarnlav</t>
        </is>
      </c>
      <c r="S22">
        <f>HYPERLINK("https://klasma.github.io/Logging_2021/artfynd/A 2236-2025 artfynd.xlsx", "A 2236-2025")</f>
        <v/>
      </c>
      <c r="T22">
        <f>HYPERLINK("https://klasma.github.io/Logging_2021/kartor/A 2236-2025 karta.png", "A 2236-2025")</f>
        <v/>
      </c>
      <c r="V22">
        <f>HYPERLINK("https://klasma.github.io/Logging_2021/klagomål/A 2236-2025 FSC-klagomål.docx", "A 2236-2025")</f>
        <v/>
      </c>
      <c r="W22">
        <f>HYPERLINK("https://klasma.github.io/Logging_2021/klagomålsmail/A 2236-2025 FSC-klagomål mail.docx", "A 2236-2025")</f>
        <v/>
      </c>
      <c r="X22">
        <f>HYPERLINK("https://klasma.github.io/Logging_2021/tillsyn/A 2236-2025 tillsynsbegäran.docx", "A 2236-2025")</f>
        <v/>
      </c>
      <c r="Y22">
        <f>HYPERLINK("https://klasma.github.io/Logging_2021/tillsynsmail/A 2236-2025 tillsynsbegäran mail.docx", "A 2236-2025")</f>
        <v/>
      </c>
    </row>
    <row r="23" ht="15" customHeight="1">
      <c r="A23" t="inlineStr">
        <is>
          <t>A 14475-2024</t>
        </is>
      </c>
      <c r="B23" s="1" t="n">
        <v>45394.56071759259</v>
      </c>
      <c r="C23" s="1" t="n">
        <v>45904</v>
      </c>
      <c r="D23" t="inlineStr">
        <is>
          <t>DALARNAS LÄN</t>
        </is>
      </c>
      <c r="E23" t="inlineStr">
        <is>
          <t>VANSBRO</t>
        </is>
      </c>
      <c r="G23" t="n">
        <v>20.4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HYPERLINK("https://klasma.github.io/Logging_2021/artfynd/A 14475-2024 artfynd.xlsx", "A 14475-2024")</f>
        <v/>
      </c>
      <c r="T23">
        <f>HYPERLINK("https://klasma.github.io/Logging_2021/kartor/A 14475-2024 karta.png", "A 14475-2024")</f>
        <v/>
      </c>
      <c r="V23">
        <f>HYPERLINK("https://klasma.github.io/Logging_2021/klagomål/A 14475-2024 FSC-klagomål.docx", "A 14475-2024")</f>
        <v/>
      </c>
      <c r="W23">
        <f>HYPERLINK("https://klasma.github.io/Logging_2021/klagomålsmail/A 14475-2024 FSC-klagomål mail.docx", "A 14475-2024")</f>
        <v/>
      </c>
      <c r="X23">
        <f>HYPERLINK("https://klasma.github.io/Logging_2021/tillsyn/A 14475-2024 tillsynsbegäran.docx", "A 14475-2024")</f>
        <v/>
      </c>
      <c r="Y23">
        <f>HYPERLINK("https://klasma.github.io/Logging_2021/tillsynsmail/A 14475-2024 tillsynsbegäran mail.docx", "A 14475-2024")</f>
        <v/>
      </c>
    </row>
    <row r="24" ht="15" customHeight="1">
      <c r="A24" t="inlineStr">
        <is>
          <t>A 45205-2021</t>
        </is>
      </c>
      <c r="B24" s="1" t="n">
        <v>44439</v>
      </c>
      <c r="C24" s="1" t="n">
        <v>45904</v>
      </c>
      <c r="D24" t="inlineStr">
        <is>
          <t>DALARNAS LÄN</t>
        </is>
      </c>
      <c r="E24" t="inlineStr">
        <is>
          <t>VANSBRO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HYPERLINK("https://klasma.github.io/Logging_2021/artfynd/A 45205-2021 artfynd.xlsx", "A 45205-2021")</f>
        <v/>
      </c>
      <c r="T24">
        <f>HYPERLINK("https://klasma.github.io/Logging_2021/kartor/A 45205-2021 karta.png", "A 45205-2021")</f>
        <v/>
      </c>
      <c r="V24">
        <f>HYPERLINK("https://klasma.github.io/Logging_2021/klagomål/A 45205-2021 FSC-klagomål.docx", "A 45205-2021")</f>
        <v/>
      </c>
      <c r="W24">
        <f>HYPERLINK("https://klasma.github.io/Logging_2021/klagomålsmail/A 45205-2021 FSC-klagomål mail.docx", "A 45205-2021")</f>
        <v/>
      </c>
      <c r="X24">
        <f>HYPERLINK("https://klasma.github.io/Logging_2021/tillsyn/A 45205-2021 tillsynsbegäran.docx", "A 45205-2021")</f>
        <v/>
      </c>
      <c r="Y24">
        <f>HYPERLINK("https://klasma.github.io/Logging_2021/tillsynsmail/A 45205-2021 tillsynsbegäran mail.docx", "A 45205-2021")</f>
        <v/>
      </c>
    </row>
    <row r="25" ht="15" customHeight="1">
      <c r="A25" t="inlineStr">
        <is>
          <t>A 33898-2022</t>
        </is>
      </c>
      <c r="B25" s="1" t="n">
        <v>44790</v>
      </c>
      <c r="C25" s="1" t="n">
        <v>45904</v>
      </c>
      <c r="D25" t="inlineStr">
        <is>
          <t>DALARNAS LÄN</t>
        </is>
      </c>
      <c r="E25" t="inlineStr">
        <is>
          <t>VANSBRO</t>
        </is>
      </c>
      <c r="G25" t="n">
        <v>2.8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33898-2022 artfynd.xlsx", "A 33898-2022")</f>
        <v/>
      </c>
      <c r="T25">
        <f>HYPERLINK("https://klasma.github.io/Logging_2021/kartor/A 33898-2022 karta.png", "A 33898-2022")</f>
        <v/>
      </c>
      <c r="U25">
        <f>HYPERLINK("https://klasma.github.io/Logging_2021/knärot/A 33898-2022 karta knärot.png", "A 33898-2022")</f>
        <v/>
      </c>
      <c r="V25">
        <f>HYPERLINK("https://klasma.github.io/Logging_2021/klagomål/A 33898-2022 FSC-klagomål.docx", "A 33898-2022")</f>
        <v/>
      </c>
      <c r="W25">
        <f>HYPERLINK("https://klasma.github.io/Logging_2021/klagomålsmail/A 33898-2022 FSC-klagomål mail.docx", "A 33898-2022")</f>
        <v/>
      </c>
      <c r="X25">
        <f>HYPERLINK("https://klasma.github.io/Logging_2021/tillsyn/A 33898-2022 tillsynsbegäran.docx", "A 33898-2022")</f>
        <v/>
      </c>
      <c r="Y25">
        <f>HYPERLINK("https://klasma.github.io/Logging_2021/tillsynsmail/A 33898-2022 tillsynsbegäran mail.docx", "A 33898-2022")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45904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45904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45362-2024</t>
        </is>
      </c>
      <c r="B28" s="1" t="n">
        <v>45576</v>
      </c>
      <c r="C28" s="1" t="n">
        <v>45904</v>
      </c>
      <c r="D28" t="inlineStr">
        <is>
          <t>DALARNAS LÄN</t>
        </is>
      </c>
      <c r="E28" t="inlineStr">
        <is>
          <t>VANSBRO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HYPERLINK("https://klasma.github.io/Logging_2021/artfynd/A 45362-2024 artfynd.xlsx", "A 45362-2024")</f>
        <v/>
      </c>
      <c r="T28">
        <f>HYPERLINK("https://klasma.github.io/Logging_2021/kartor/A 45362-2024 karta.png", "A 45362-2024")</f>
        <v/>
      </c>
      <c r="V28">
        <f>HYPERLINK("https://klasma.github.io/Logging_2021/klagomål/A 45362-2024 FSC-klagomål.docx", "A 45362-2024")</f>
        <v/>
      </c>
      <c r="W28">
        <f>HYPERLINK("https://klasma.github.io/Logging_2021/klagomålsmail/A 45362-2024 FSC-klagomål mail.docx", "A 45362-2024")</f>
        <v/>
      </c>
      <c r="X28">
        <f>HYPERLINK("https://klasma.github.io/Logging_2021/tillsyn/A 45362-2024 tillsynsbegäran.docx", "A 45362-2024")</f>
        <v/>
      </c>
      <c r="Y28">
        <f>HYPERLINK("https://klasma.github.io/Logging_2021/tillsynsmail/A 45362-2024 tillsynsbegäran mail.docx", "A 45362-2024")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45904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45904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45904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45904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44387-2020</t>
        </is>
      </c>
      <c r="B33" s="1" t="n">
        <v>44084</v>
      </c>
      <c r="C33" s="1" t="n">
        <v>45904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45904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56973-2020</t>
        </is>
      </c>
      <c r="B35" s="1" t="n">
        <v>44138.60527777778</v>
      </c>
      <c r="C35" s="1" t="n">
        <v>45904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45904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45904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45904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66705-2021</t>
        </is>
      </c>
      <c r="B39" s="1" t="n">
        <v>44519</v>
      </c>
      <c r="C39" s="1" t="n">
        <v>45904</v>
      </c>
      <c r="D39" t="inlineStr">
        <is>
          <t>DALARNAS LÄN</t>
        </is>
      </c>
      <c r="E39" t="inlineStr">
        <is>
          <t>VANSBRO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45904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45904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45904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21752-2022</t>
        </is>
      </c>
      <c r="B43" s="1" t="n">
        <v>44708</v>
      </c>
      <c r="C43" s="1" t="n">
        <v>45904</v>
      </c>
      <c r="D43" t="inlineStr">
        <is>
          <t>DALARNAS LÄN</t>
        </is>
      </c>
      <c r="E43" t="inlineStr">
        <is>
          <t>VANSBRO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45904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45904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45904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45904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45904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44705-2020</t>
        </is>
      </c>
      <c r="B49" s="1" t="n">
        <v>44085</v>
      </c>
      <c r="C49" s="1" t="n">
        <v>45904</v>
      </c>
      <c r="D49" t="inlineStr">
        <is>
          <t>DALARNAS LÄN</t>
        </is>
      </c>
      <c r="E49" t="inlineStr">
        <is>
          <t>VANSBRO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35661-2021</t>
        </is>
      </c>
      <c r="B50" s="1" t="n">
        <v>44386.4465162037</v>
      </c>
      <c r="C50" s="1" t="n">
        <v>45904</v>
      </c>
      <c r="D50" t="inlineStr">
        <is>
          <t>DALARNAS LÄN</t>
        </is>
      </c>
      <c r="E50" t="inlineStr">
        <is>
          <t>VANSBRO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58810-2020</t>
        </is>
      </c>
      <c r="B51" s="1" t="n">
        <v>44146</v>
      </c>
      <c r="C51" s="1" t="n">
        <v>45904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45904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45904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45904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65391-2020</t>
        </is>
      </c>
      <c r="B55" s="1" t="n">
        <v>44173</v>
      </c>
      <c r="C55" s="1" t="n">
        <v>45904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65396-2020</t>
        </is>
      </c>
      <c r="B56" s="1" t="n">
        <v>44173</v>
      </c>
      <c r="C56" s="1" t="n">
        <v>45904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64714-2020</t>
        </is>
      </c>
      <c r="B57" s="1" t="n">
        <v>44169</v>
      </c>
      <c r="C57" s="1" t="n">
        <v>45904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16640-2022</t>
        </is>
      </c>
      <c r="B58" s="1" t="n">
        <v>44672</v>
      </c>
      <c r="C58" s="1" t="n">
        <v>45904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26571-2022</t>
        </is>
      </c>
      <c r="B59" s="1" t="n">
        <v>44739</v>
      </c>
      <c r="C59" s="1" t="n">
        <v>45904</v>
      </c>
      <c r="D59" t="inlineStr">
        <is>
          <t>DALARNAS LÄN</t>
        </is>
      </c>
      <c r="E59" t="inlineStr">
        <is>
          <t>VANSBRO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33917-2022</t>
        </is>
      </c>
      <c r="B60" s="1" t="n">
        <v>44790.63685185185</v>
      </c>
      <c r="C60" s="1" t="n">
        <v>45904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24070-2021</t>
        </is>
      </c>
      <c r="B61" s="1" t="n">
        <v>44336.408125</v>
      </c>
      <c r="C61" s="1" t="n">
        <v>45904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32377-2021</t>
        </is>
      </c>
      <c r="B62" s="1" t="n">
        <v>44371.61636574074</v>
      </c>
      <c r="C62" s="1" t="n">
        <v>45904</v>
      </c>
      <c r="D62" t="inlineStr">
        <is>
          <t>DALARNAS LÄN</t>
        </is>
      </c>
      <c r="E62" t="inlineStr">
        <is>
          <t>VANSBRO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52385-2021</t>
        </is>
      </c>
      <c r="B63" s="1" t="n">
        <v>44465.84288194445</v>
      </c>
      <c r="C63" s="1" t="n">
        <v>45904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56817-2020</t>
        </is>
      </c>
      <c r="B64" s="1" t="n">
        <v>44134</v>
      </c>
      <c r="C64" s="1" t="n">
        <v>45904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53889-2020</t>
        </is>
      </c>
      <c r="B65" s="1" t="n">
        <v>44125</v>
      </c>
      <c r="C65" s="1" t="n">
        <v>45904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53038-2020</t>
        </is>
      </c>
      <c r="B66" s="1" t="n">
        <v>44120</v>
      </c>
      <c r="C66" s="1" t="n">
        <v>45904</v>
      </c>
      <c r="D66" t="inlineStr">
        <is>
          <t>DALARNAS LÄN</t>
        </is>
      </c>
      <c r="E66" t="inlineStr">
        <is>
          <t>VANSBRO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31383-2022</t>
        </is>
      </c>
      <c r="B67" s="1" t="n">
        <v>44774</v>
      </c>
      <c r="C67" s="1" t="n">
        <v>45904</v>
      </c>
      <c r="D67" t="inlineStr">
        <is>
          <t>DALARNAS LÄN</t>
        </is>
      </c>
      <c r="E67" t="inlineStr">
        <is>
          <t>VANSBRO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62734-2021</t>
        </is>
      </c>
      <c r="B68" s="1" t="n">
        <v>44504.38153935185</v>
      </c>
      <c r="C68" s="1" t="n">
        <v>45904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53227-2020</t>
        </is>
      </c>
      <c r="B69" s="1" t="n">
        <v>44123</v>
      </c>
      <c r="C69" s="1" t="n">
        <v>45904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61471-2020</t>
        </is>
      </c>
      <c r="B70" s="1" t="n">
        <v>44158</v>
      </c>
      <c r="C70" s="1" t="n">
        <v>45904</v>
      </c>
      <c r="D70" t="inlineStr">
        <is>
          <t>DALARNAS LÄN</t>
        </is>
      </c>
      <c r="E70" t="inlineStr">
        <is>
          <t>VANSBRO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45904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39438-2021</t>
        </is>
      </c>
      <c r="B72" s="1" t="n">
        <v>44414</v>
      </c>
      <c r="C72" s="1" t="n">
        <v>45904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33929-2022</t>
        </is>
      </c>
      <c r="B73" s="1" t="n">
        <v>44790.64916666667</v>
      </c>
      <c r="C73" s="1" t="n">
        <v>45904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3257-2021</t>
        </is>
      </c>
      <c r="B74" s="1" t="n">
        <v>44217</v>
      </c>
      <c r="C74" s="1" t="n">
        <v>45904</v>
      </c>
      <c r="D74" t="inlineStr">
        <is>
          <t>DALARNAS LÄN</t>
        </is>
      </c>
      <c r="E74" t="inlineStr">
        <is>
          <t>VANSBRO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61684-2020</t>
        </is>
      </c>
      <c r="B75" s="1" t="n">
        <v>44158</v>
      </c>
      <c r="C75" s="1" t="n">
        <v>45904</v>
      </c>
      <c r="D75" t="inlineStr">
        <is>
          <t>DALARNAS LÄN</t>
        </is>
      </c>
      <c r="E75" t="inlineStr">
        <is>
          <t>VANSBRO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8890-2022</t>
        </is>
      </c>
      <c r="B76" s="1" t="n">
        <v>44614</v>
      </c>
      <c r="C76" s="1" t="n">
        <v>45904</v>
      </c>
      <c r="D76" t="inlineStr">
        <is>
          <t>DALARNAS LÄN</t>
        </is>
      </c>
      <c r="E76" t="inlineStr">
        <is>
          <t>VANSBRO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46801-2021</t>
        </is>
      </c>
      <c r="B77" s="1" t="n">
        <v>44446.30186342593</v>
      </c>
      <c r="C77" s="1" t="n">
        <v>45904</v>
      </c>
      <c r="D77" t="inlineStr">
        <is>
          <t>DALARNAS LÄN</t>
        </is>
      </c>
      <c r="E77" t="inlineStr">
        <is>
          <t>VANSBRO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17687-2021</t>
        </is>
      </c>
      <c r="B78" s="1" t="n">
        <v>44300.45302083333</v>
      </c>
      <c r="C78" s="1" t="n">
        <v>45904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53267-2020</t>
        </is>
      </c>
      <c r="B79" s="1" t="n">
        <v>44123</v>
      </c>
      <c r="C79" s="1" t="n">
        <v>45904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13094-2022</t>
        </is>
      </c>
      <c r="B80" s="1" t="n">
        <v>44643</v>
      </c>
      <c r="C80" s="1" t="n">
        <v>45904</v>
      </c>
      <c r="D80" t="inlineStr">
        <is>
          <t>DALARNAS LÄN</t>
        </is>
      </c>
      <c r="E80" t="inlineStr">
        <is>
          <t>VANSBRO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46409-2020</t>
        </is>
      </c>
      <c r="B81" s="1" t="n">
        <v>44094</v>
      </c>
      <c r="C81" s="1" t="n">
        <v>45904</v>
      </c>
      <c r="D81" t="inlineStr">
        <is>
          <t>DALARNAS LÄN</t>
        </is>
      </c>
      <c r="E81" t="inlineStr">
        <is>
          <t>VANSBRO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44392-2020</t>
        </is>
      </c>
      <c r="B82" s="1" t="n">
        <v>44084</v>
      </c>
      <c r="C82" s="1" t="n">
        <v>45904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25916-2022</t>
        </is>
      </c>
      <c r="B83" s="1" t="n">
        <v>44734.32988425926</v>
      </c>
      <c r="C83" s="1" t="n">
        <v>45904</v>
      </c>
      <c r="D83" t="inlineStr">
        <is>
          <t>DALARNAS LÄN</t>
        </is>
      </c>
      <c r="E83" t="inlineStr">
        <is>
          <t>VANSBRO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2088-2021</t>
        </is>
      </c>
      <c r="B84" s="1" t="n">
        <v>44211</v>
      </c>
      <c r="C84" s="1" t="n">
        <v>45904</v>
      </c>
      <c r="D84" t="inlineStr">
        <is>
          <t>DALARNAS LÄN</t>
        </is>
      </c>
      <c r="E84" t="inlineStr">
        <is>
          <t>VANSBRO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25624-2022</t>
        </is>
      </c>
      <c r="B85" s="1" t="n">
        <v>44732</v>
      </c>
      <c r="C85" s="1" t="n">
        <v>45904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41709-2022</t>
        </is>
      </c>
      <c r="B86" s="1" t="n">
        <v>44827.6090625</v>
      </c>
      <c r="C86" s="1" t="n">
        <v>45904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55774-2021</t>
        </is>
      </c>
      <c r="B87" s="1" t="n">
        <v>44476</v>
      </c>
      <c r="C87" s="1" t="n">
        <v>45904</v>
      </c>
      <c r="D87" t="inlineStr">
        <is>
          <t>DALARNAS LÄN</t>
        </is>
      </c>
      <c r="E87" t="inlineStr">
        <is>
          <t>VANSBRO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65393-2020</t>
        </is>
      </c>
      <c r="B88" s="1" t="n">
        <v>44173</v>
      </c>
      <c r="C88" s="1" t="n">
        <v>45904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28657-2022</t>
        </is>
      </c>
      <c r="B89" s="1" t="n">
        <v>44748.65480324074</v>
      </c>
      <c r="C89" s="1" t="n">
        <v>45904</v>
      </c>
      <c r="D89" t="inlineStr">
        <is>
          <t>DALARNAS LÄN</t>
        </is>
      </c>
      <c r="E89" t="inlineStr">
        <is>
          <t>VANSBRO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39043-2022</t>
        </is>
      </c>
      <c r="B90" s="1" t="n">
        <v>44817.35511574074</v>
      </c>
      <c r="C90" s="1" t="n">
        <v>45904</v>
      </c>
      <c r="D90" t="inlineStr">
        <is>
          <t>DALARNAS LÄN</t>
        </is>
      </c>
      <c r="E90" t="inlineStr">
        <is>
          <t>VANSBRO</t>
        </is>
      </c>
      <c r="F90" t="inlineStr">
        <is>
          <t>Övriga statliga verk och myndigheter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38253-2022</t>
        </is>
      </c>
      <c r="B91" s="1" t="n">
        <v>44812.48827546297</v>
      </c>
      <c r="C91" s="1" t="n">
        <v>45904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29574-2022</t>
        </is>
      </c>
      <c r="B92" s="1" t="n">
        <v>44754.39405092593</v>
      </c>
      <c r="C92" s="1" t="n">
        <v>45904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öst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29575-2022</t>
        </is>
      </c>
      <c r="B93" s="1" t="n">
        <v>44754.39853009259</v>
      </c>
      <c r="C93" s="1" t="n">
        <v>45904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öst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30889-2024</t>
        </is>
      </c>
      <c r="B94" s="1" t="n">
        <v>45498.40660879629</v>
      </c>
      <c r="C94" s="1" t="n">
        <v>45904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46165-2021</t>
        </is>
      </c>
      <c r="B95" s="1" t="n">
        <v>44442</v>
      </c>
      <c r="C95" s="1" t="n">
        <v>45904</v>
      </c>
      <c r="D95" t="inlineStr">
        <is>
          <t>DALARNAS LÄN</t>
        </is>
      </c>
      <c r="E95" t="inlineStr">
        <is>
          <t>VANSBRO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38773-2022</t>
        </is>
      </c>
      <c r="B96" s="1" t="n">
        <v>44816.40621527778</v>
      </c>
      <c r="C96" s="1" t="n">
        <v>45904</v>
      </c>
      <c r="D96" t="inlineStr">
        <is>
          <t>DALARNAS LÄN</t>
        </is>
      </c>
      <c r="E96" t="inlineStr">
        <is>
          <t>VANSBRO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15141-2025</t>
        </is>
      </c>
      <c r="B97" s="1" t="n">
        <v>45744.39063657408</v>
      </c>
      <c r="C97" s="1" t="n">
        <v>45904</v>
      </c>
      <c r="D97" t="inlineStr">
        <is>
          <t>DALARNAS LÄN</t>
        </is>
      </c>
      <c r="E97" t="inlineStr">
        <is>
          <t>VANSBRO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46472-2024</t>
        </is>
      </c>
      <c r="B98" s="1" t="n">
        <v>45582.55339120371</v>
      </c>
      <c r="C98" s="1" t="n">
        <v>45904</v>
      </c>
      <c r="D98" t="inlineStr">
        <is>
          <t>DALARNAS LÄN</t>
        </is>
      </c>
      <c r="E98" t="inlineStr">
        <is>
          <t>VANSBRO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50125-2023</t>
        </is>
      </c>
      <c r="B99" s="1" t="n">
        <v>45215.64871527778</v>
      </c>
      <c r="C99" s="1" t="n">
        <v>45904</v>
      </c>
      <c r="D99" t="inlineStr">
        <is>
          <t>DALARNAS LÄN</t>
        </is>
      </c>
      <c r="E99" t="inlineStr">
        <is>
          <t>VANSBRO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50141-2023</t>
        </is>
      </c>
      <c r="B100" s="1" t="n">
        <v>45215</v>
      </c>
      <c r="C100" s="1" t="n">
        <v>45904</v>
      </c>
      <c r="D100" t="inlineStr">
        <is>
          <t>DALARNAS LÄN</t>
        </is>
      </c>
      <c r="E100" t="inlineStr">
        <is>
          <t>VANSBRO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6632-2023</t>
        </is>
      </c>
      <c r="B101" s="1" t="n">
        <v>44966.57096064815</v>
      </c>
      <c r="C101" s="1" t="n">
        <v>45904</v>
      </c>
      <c r="D101" t="inlineStr">
        <is>
          <t>DALARNAS LÄN</t>
        </is>
      </c>
      <c r="E101" t="inlineStr">
        <is>
          <t>VANSBRO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34738-2023</t>
        </is>
      </c>
      <c r="B102" s="1" t="n">
        <v>45141.37741898148</v>
      </c>
      <c r="C102" s="1" t="n">
        <v>45904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54423-2024</t>
        </is>
      </c>
      <c r="B103" s="1" t="n">
        <v>45617.4893287037</v>
      </c>
      <c r="C103" s="1" t="n">
        <v>45904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16698-2025</t>
        </is>
      </c>
      <c r="B104" s="1" t="n">
        <v>45754</v>
      </c>
      <c r="C104" s="1" t="n">
        <v>45904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21973-2024</t>
        </is>
      </c>
      <c r="B105" s="1" t="n">
        <v>45443.52902777777</v>
      </c>
      <c r="C105" s="1" t="n">
        <v>45904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5377-2024</t>
        </is>
      </c>
      <c r="B106" s="1" t="n">
        <v>45331.49379629629</v>
      </c>
      <c r="C106" s="1" t="n">
        <v>45904</v>
      </c>
      <c r="D106" t="inlineStr">
        <is>
          <t>DALARNAS LÄN</t>
        </is>
      </c>
      <c r="E106" t="inlineStr">
        <is>
          <t>VANSBRO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20669-2025</t>
        </is>
      </c>
      <c r="B107" s="1" t="n">
        <v>45776</v>
      </c>
      <c r="C107" s="1" t="n">
        <v>45904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55078-2022</t>
        </is>
      </c>
      <c r="B108" s="1" t="n">
        <v>44886</v>
      </c>
      <c r="C108" s="1" t="n">
        <v>45904</v>
      </c>
      <c r="D108" t="inlineStr">
        <is>
          <t>DALARNAS LÄN</t>
        </is>
      </c>
      <c r="E108" t="inlineStr">
        <is>
          <t>VANSBRO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28924-2024</t>
        </is>
      </c>
      <c r="B109" s="1" t="n">
        <v>45481.30422453704</v>
      </c>
      <c r="C109" s="1" t="n">
        <v>45904</v>
      </c>
      <c r="D109" t="inlineStr">
        <is>
          <t>DALARNAS LÄN</t>
        </is>
      </c>
      <c r="E109" t="inlineStr">
        <is>
          <t>VANSBRO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35288-2024</t>
        </is>
      </c>
      <c r="B110" s="1" t="n">
        <v>45530.64337962963</v>
      </c>
      <c r="C110" s="1" t="n">
        <v>45904</v>
      </c>
      <c r="D110" t="inlineStr">
        <is>
          <t>DALARNAS LÄN</t>
        </is>
      </c>
      <c r="E110" t="inlineStr">
        <is>
          <t>VANSBRO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20636-2025</t>
        </is>
      </c>
      <c r="B111" s="1" t="n">
        <v>45776</v>
      </c>
      <c r="C111" s="1" t="n">
        <v>45904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44995-2024</t>
        </is>
      </c>
      <c r="B112" s="1" t="n">
        <v>45575</v>
      </c>
      <c r="C112" s="1" t="n">
        <v>45904</v>
      </c>
      <c r="D112" t="inlineStr">
        <is>
          <t>DALARNAS LÄN</t>
        </is>
      </c>
      <c r="E112" t="inlineStr">
        <is>
          <t>VANSBRO</t>
        </is>
      </c>
      <c r="F112" t="inlineStr">
        <is>
          <t>Övriga statliga verk och myndigheter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4680-2023</t>
        </is>
      </c>
      <c r="B113" s="1" t="n">
        <v>44957</v>
      </c>
      <c r="C113" s="1" t="n">
        <v>45904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öst AB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23899-2023</t>
        </is>
      </c>
      <c r="B114" s="1" t="n">
        <v>45078</v>
      </c>
      <c r="C114" s="1" t="n">
        <v>45904</v>
      </c>
      <c r="D114" t="inlineStr">
        <is>
          <t>DALARNAS LÄN</t>
        </is>
      </c>
      <c r="E114" t="inlineStr">
        <is>
          <t>VANSBRO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39489-2024</t>
        </is>
      </c>
      <c r="B115" s="1" t="n">
        <v>45551.65304398148</v>
      </c>
      <c r="C115" s="1" t="n">
        <v>45904</v>
      </c>
      <c r="D115" t="inlineStr">
        <is>
          <t>DALARNAS LÄN</t>
        </is>
      </c>
      <c r="E115" t="inlineStr">
        <is>
          <t>VANSBRO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6401-2021</t>
        </is>
      </c>
      <c r="B116" s="1" t="n">
        <v>44235.63366898148</v>
      </c>
      <c r="C116" s="1" t="n">
        <v>45904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3854-2024</t>
        </is>
      </c>
      <c r="B117" s="1" t="n">
        <v>45322</v>
      </c>
      <c r="C117" s="1" t="n">
        <v>45904</v>
      </c>
      <c r="D117" t="inlineStr">
        <is>
          <t>DALARNAS LÄN</t>
        </is>
      </c>
      <c r="E117" t="inlineStr">
        <is>
          <t>VANSBRO</t>
        </is>
      </c>
      <c r="F117" t="inlineStr">
        <is>
          <t>Kyrkan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11408-2025</t>
        </is>
      </c>
      <c r="B118" s="1" t="n">
        <v>45726.58685185185</v>
      </c>
      <c r="C118" s="1" t="n">
        <v>45904</v>
      </c>
      <c r="D118" t="inlineStr">
        <is>
          <t>DALARNAS LÄN</t>
        </is>
      </c>
      <c r="E118" t="inlineStr">
        <is>
          <t>VANSBRO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45608-2023</t>
        </is>
      </c>
      <c r="B119" s="1" t="n">
        <v>45194.64940972222</v>
      </c>
      <c r="C119" s="1" t="n">
        <v>45904</v>
      </c>
      <c r="D119" t="inlineStr">
        <is>
          <t>DALARNAS LÄN</t>
        </is>
      </c>
      <c r="E119" t="inlineStr">
        <is>
          <t>VANSBRO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21616-2025</t>
        </is>
      </c>
      <c r="B120" s="1" t="n">
        <v>45783.40085648148</v>
      </c>
      <c r="C120" s="1" t="n">
        <v>45904</v>
      </c>
      <c r="D120" t="inlineStr">
        <is>
          <t>DALARNAS LÄN</t>
        </is>
      </c>
      <c r="E120" t="inlineStr">
        <is>
          <t>VANSBRO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2558-2025</t>
        </is>
      </c>
      <c r="B121" s="1" t="n">
        <v>45674.65028935186</v>
      </c>
      <c r="C121" s="1" t="n">
        <v>45904</v>
      </c>
      <c r="D121" t="inlineStr">
        <is>
          <t>DALARNAS LÄN</t>
        </is>
      </c>
      <c r="E121" t="inlineStr">
        <is>
          <t>VANSBRO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21656-2025</t>
        </is>
      </c>
      <c r="B122" s="1" t="n">
        <v>45783.45273148148</v>
      </c>
      <c r="C122" s="1" t="n">
        <v>45904</v>
      </c>
      <c r="D122" t="inlineStr">
        <is>
          <t>DALARNAS LÄN</t>
        </is>
      </c>
      <c r="E122" t="inlineStr">
        <is>
          <t>VANSBRO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21647-2025</t>
        </is>
      </c>
      <c r="B123" s="1" t="n">
        <v>45783</v>
      </c>
      <c r="C123" s="1" t="n">
        <v>45904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42207-2021</t>
        </is>
      </c>
      <c r="B124" s="1" t="n">
        <v>44426</v>
      </c>
      <c r="C124" s="1" t="n">
        <v>45904</v>
      </c>
      <c r="D124" t="inlineStr">
        <is>
          <t>DALARNAS LÄN</t>
        </is>
      </c>
      <c r="E124" t="inlineStr">
        <is>
          <t>VANSBRO</t>
        </is>
      </c>
      <c r="G124" t="n">
        <v>25.5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24384-2024</t>
        </is>
      </c>
      <c r="B125" s="1" t="n">
        <v>45457.62734953704</v>
      </c>
      <c r="C125" s="1" t="n">
        <v>45904</v>
      </c>
      <c r="D125" t="inlineStr">
        <is>
          <t>DALARNAS LÄN</t>
        </is>
      </c>
      <c r="E125" t="inlineStr">
        <is>
          <t>VANSBRO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29288-2024</t>
        </is>
      </c>
      <c r="B126" s="1" t="n">
        <v>45483.31819444444</v>
      </c>
      <c r="C126" s="1" t="n">
        <v>45904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48923-2024</t>
        </is>
      </c>
      <c r="B127" s="1" t="n">
        <v>45594.3728125</v>
      </c>
      <c r="C127" s="1" t="n">
        <v>45904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13062-2023</t>
        </is>
      </c>
      <c r="B128" s="1" t="n">
        <v>45002.38197916667</v>
      </c>
      <c r="C128" s="1" t="n">
        <v>45904</v>
      </c>
      <c r="D128" t="inlineStr">
        <is>
          <t>DALARNAS LÄN</t>
        </is>
      </c>
      <c r="E128" t="inlineStr">
        <is>
          <t>VANSBRO</t>
        </is>
      </c>
      <c r="F128" t="inlineStr">
        <is>
          <t>Övriga statliga verk och myndigheter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33250-2024</t>
        </is>
      </c>
      <c r="B129" s="1" t="n">
        <v>45518.63627314815</v>
      </c>
      <c r="C129" s="1" t="n">
        <v>45904</v>
      </c>
      <c r="D129" t="inlineStr">
        <is>
          <t>DALARNAS LÄN</t>
        </is>
      </c>
      <c r="E129" t="inlineStr">
        <is>
          <t>VANSBRO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30544-2024</t>
        </is>
      </c>
      <c r="B130" s="1" t="n">
        <v>45492</v>
      </c>
      <c r="C130" s="1" t="n">
        <v>45904</v>
      </c>
      <c r="D130" t="inlineStr">
        <is>
          <t>DALARNAS LÄN</t>
        </is>
      </c>
      <c r="E130" t="inlineStr">
        <is>
          <t>VANSBRO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43254-2023</t>
        </is>
      </c>
      <c r="B131" s="1" t="n">
        <v>45183.49590277778</v>
      </c>
      <c r="C131" s="1" t="n">
        <v>45904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23085-2022</t>
        </is>
      </c>
      <c r="B132" s="1" t="n">
        <v>44719</v>
      </c>
      <c r="C132" s="1" t="n">
        <v>45904</v>
      </c>
      <c r="D132" t="inlineStr">
        <is>
          <t>DALARNAS LÄN</t>
        </is>
      </c>
      <c r="E132" t="inlineStr">
        <is>
          <t>VANSBRO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23868-2024</t>
        </is>
      </c>
      <c r="B133" s="1" t="n">
        <v>45455.60853009259</v>
      </c>
      <c r="C133" s="1" t="n">
        <v>45904</v>
      </c>
      <c r="D133" t="inlineStr">
        <is>
          <t>DALARNAS LÄN</t>
        </is>
      </c>
      <c r="E133" t="inlineStr">
        <is>
          <t>VANSBRO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34277-2022</t>
        </is>
      </c>
      <c r="B134" s="1" t="n">
        <v>44791</v>
      </c>
      <c r="C134" s="1" t="n">
        <v>45904</v>
      </c>
      <c r="D134" t="inlineStr">
        <is>
          <t>DALARNAS LÄN</t>
        </is>
      </c>
      <c r="E134" t="inlineStr">
        <is>
          <t>VANSBRO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41371-2022</t>
        </is>
      </c>
      <c r="B135" s="1" t="n">
        <v>44826.57543981481</v>
      </c>
      <c r="C135" s="1" t="n">
        <v>45904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17841-2024</t>
        </is>
      </c>
      <c r="B136" s="1" t="n">
        <v>45418</v>
      </c>
      <c r="C136" s="1" t="n">
        <v>45904</v>
      </c>
      <c r="D136" t="inlineStr">
        <is>
          <t>DALARNAS LÄN</t>
        </is>
      </c>
      <c r="E136" t="inlineStr">
        <is>
          <t>VANSBRO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46466-2024</t>
        </is>
      </c>
      <c r="B137" s="1" t="n">
        <v>45582</v>
      </c>
      <c r="C137" s="1" t="n">
        <v>45904</v>
      </c>
      <c r="D137" t="inlineStr">
        <is>
          <t>DALARNAS LÄN</t>
        </is>
      </c>
      <c r="E137" t="inlineStr">
        <is>
          <t>VANSBRO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53498-2024</t>
        </is>
      </c>
      <c r="B138" s="1" t="n">
        <v>45614.58354166667</v>
      </c>
      <c r="C138" s="1" t="n">
        <v>45904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9145-2025</t>
        </is>
      </c>
      <c r="B139" s="1" t="n">
        <v>45714.32625</v>
      </c>
      <c r="C139" s="1" t="n">
        <v>45904</v>
      </c>
      <c r="D139" t="inlineStr">
        <is>
          <t>DALARNAS LÄN</t>
        </is>
      </c>
      <c r="E139" t="inlineStr">
        <is>
          <t>VANSBRO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22277-2025</t>
        </is>
      </c>
      <c r="B140" s="1" t="n">
        <v>45786</v>
      </c>
      <c r="C140" s="1" t="n">
        <v>45904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54467-2024</t>
        </is>
      </c>
      <c r="B141" s="1" t="n">
        <v>45617.54045138889</v>
      </c>
      <c r="C141" s="1" t="n">
        <v>45904</v>
      </c>
      <c r="D141" t="inlineStr">
        <is>
          <t>DALARNAS LÄN</t>
        </is>
      </c>
      <c r="E141" t="inlineStr">
        <is>
          <t>VANSBRO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3167-2025</t>
        </is>
      </c>
      <c r="B142" s="1" t="n">
        <v>45679</v>
      </c>
      <c r="C142" s="1" t="n">
        <v>45904</v>
      </c>
      <c r="D142" t="inlineStr">
        <is>
          <t>DALARNAS LÄN</t>
        </is>
      </c>
      <c r="E142" t="inlineStr">
        <is>
          <t>VANSBRO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43139-2023</t>
        </is>
      </c>
      <c r="B143" s="1" t="n">
        <v>45183.26203703704</v>
      </c>
      <c r="C143" s="1" t="n">
        <v>45904</v>
      </c>
      <c r="D143" t="inlineStr">
        <is>
          <t>DALARNAS LÄN</t>
        </is>
      </c>
      <c r="E143" t="inlineStr">
        <is>
          <t>VANSBRO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29492-2023</t>
        </is>
      </c>
      <c r="B144" s="1" t="n">
        <v>45106.58868055556</v>
      </c>
      <c r="C144" s="1" t="n">
        <v>45904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62398-2021</t>
        </is>
      </c>
      <c r="B145" s="1" t="n">
        <v>44503</v>
      </c>
      <c r="C145" s="1" t="n">
        <v>45904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22.1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38034-2024</t>
        </is>
      </c>
      <c r="B146" s="1" t="n">
        <v>45544.67094907408</v>
      </c>
      <c r="C146" s="1" t="n">
        <v>45904</v>
      </c>
      <c r="D146" t="inlineStr">
        <is>
          <t>DALARNAS LÄN</t>
        </is>
      </c>
      <c r="E146" t="inlineStr">
        <is>
          <t>VANSBRO</t>
        </is>
      </c>
      <c r="F146" t="inlineStr">
        <is>
          <t>Övriga statliga verk och myndigheter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2938-2024</t>
        </is>
      </c>
      <c r="B147" s="1" t="n">
        <v>45315.61605324074</v>
      </c>
      <c r="C147" s="1" t="n">
        <v>45904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55267-2024</t>
        </is>
      </c>
      <c r="B148" s="1" t="n">
        <v>45621.60984953704</v>
      </c>
      <c r="C148" s="1" t="n">
        <v>45904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34882-2022</t>
        </is>
      </c>
      <c r="B149" s="1" t="n">
        <v>44796.504375</v>
      </c>
      <c r="C149" s="1" t="n">
        <v>45904</v>
      </c>
      <c r="D149" t="inlineStr">
        <is>
          <t>DALARNAS LÄN</t>
        </is>
      </c>
      <c r="E149" t="inlineStr">
        <is>
          <t>VANSBRO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48111-2024</t>
        </is>
      </c>
      <c r="B150" s="1" t="n">
        <v>45589.62921296297</v>
      </c>
      <c r="C150" s="1" t="n">
        <v>45904</v>
      </c>
      <c r="D150" t="inlineStr">
        <is>
          <t>DALARNAS LÄN</t>
        </is>
      </c>
      <c r="E150" t="inlineStr">
        <is>
          <t>VANSBRO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23792-2025</t>
        </is>
      </c>
      <c r="B151" s="1" t="n">
        <v>45793.54155092593</v>
      </c>
      <c r="C151" s="1" t="n">
        <v>45904</v>
      </c>
      <c r="D151" t="inlineStr">
        <is>
          <t>DALARNAS LÄN</t>
        </is>
      </c>
      <c r="E151" t="inlineStr">
        <is>
          <t>VANSBRO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35752-2024</t>
        </is>
      </c>
      <c r="B152" s="1" t="n">
        <v>45532</v>
      </c>
      <c r="C152" s="1" t="n">
        <v>45904</v>
      </c>
      <c r="D152" t="inlineStr">
        <is>
          <t>DALARNAS LÄN</t>
        </is>
      </c>
      <c r="E152" t="inlineStr">
        <is>
          <t>VANSBRO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35757-2024</t>
        </is>
      </c>
      <c r="B153" s="1" t="n">
        <v>45532</v>
      </c>
      <c r="C153" s="1" t="n">
        <v>45904</v>
      </c>
      <c r="D153" t="inlineStr">
        <is>
          <t>DALARNAS LÄN</t>
        </is>
      </c>
      <c r="E153" t="inlineStr">
        <is>
          <t>VANSBRO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23743-2025</t>
        </is>
      </c>
      <c r="B154" s="1" t="n">
        <v>45793</v>
      </c>
      <c r="C154" s="1" t="n">
        <v>45904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4760-2025</t>
        </is>
      </c>
      <c r="B155" s="1" t="n">
        <v>45688.47202546296</v>
      </c>
      <c r="C155" s="1" t="n">
        <v>45904</v>
      </c>
      <c r="D155" t="inlineStr">
        <is>
          <t>DALARNAS LÄN</t>
        </is>
      </c>
      <c r="E155" t="inlineStr">
        <is>
          <t>VANSBRO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20321-2025</t>
        </is>
      </c>
      <c r="B156" s="1" t="n">
        <v>45775.33918981482</v>
      </c>
      <c r="C156" s="1" t="n">
        <v>45904</v>
      </c>
      <c r="D156" t="inlineStr">
        <is>
          <t>DALARNAS LÄN</t>
        </is>
      </c>
      <c r="E156" t="inlineStr">
        <is>
          <t>VANSBRO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2941-2024</t>
        </is>
      </c>
      <c r="B157" s="1" t="n">
        <v>45315.61822916667</v>
      </c>
      <c r="C157" s="1" t="n">
        <v>45904</v>
      </c>
      <c r="D157" t="inlineStr">
        <is>
          <t>DALARNAS LÄN</t>
        </is>
      </c>
      <c r="E157" t="inlineStr">
        <is>
          <t>VANSBRO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18829-2021</t>
        </is>
      </c>
      <c r="B158" s="1" t="n">
        <v>44307</v>
      </c>
      <c r="C158" s="1" t="n">
        <v>45904</v>
      </c>
      <c r="D158" t="inlineStr">
        <is>
          <t>DALARNAS LÄN</t>
        </is>
      </c>
      <c r="E158" t="inlineStr">
        <is>
          <t>VANSBRO</t>
        </is>
      </c>
      <c r="F158" t="inlineStr">
        <is>
          <t>Kyrkan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5477-2023</t>
        </is>
      </c>
      <c r="B159" s="1" t="n">
        <v>44960</v>
      </c>
      <c r="C159" s="1" t="n">
        <v>45904</v>
      </c>
      <c r="D159" t="inlineStr">
        <is>
          <t>DALARNAS LÄN</t>
        </is>
      </c>
      <c r="E159" t="inlineStr">
        <is>
          <t>VANSBRO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29411-2024</t>
        </is>
      </c>
      <c r="B160" s="1" t="n">
        <v>45483.67493055556</v>
      </c>
      <c r="C160" s="1" t="n">
        <v>45904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13054-2021</t>
        </is>
      </c>
      <c r="B161" s="1" t="n">
        <v>44272</v>
      </c>
      <c r="C161" s="1" t="n">
        <v>45904</v>
      </c>
      <c r="D161" t="inlineStr">
        <is>
          <t>DALARNAS LÄN</t>
        </is>
      </c>
      <c r="E161" t="inlineStr">
        <is>
          <t>VANSBRO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35516-2024</t>
        </is>
      </c>
      <c r="B162" s="1" t="n">
        <v>45531.56623842593</v>
      </c>
      <c r="C162" s="1" t="n">
        <v>45904</v>
      </c>
      <c r="D162" t="inlineStr">
        <is>
          <t>DALARNAS LÄN</t>
        </is>
      </c>
      <c r="E162" t="inlineStr">
        <is>
          <t>VANSBRO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47824-2023</t>
        </is>
      </c>
      <c r="B163" s="1" t="n">
        <v>45204.35577546297</v>
      </c>
      <c r="C163" s="1" t="n">
        <v>45904</v>
      </c>
      <c r="D163" t="inlineStr">
        <is>
          <t>DALARNAS LÄN</t>
        </is>
      </c>
      <c r="E163" t="inlineStr">
        <is>
          <t>VANSBRO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24982-2023</t>
        </is>
      </c>
      <c r="B164" s="1" t="n">
        <v>45085</v>
      </c>
      <c r="C164" s="1" t="n">
        <v>45904</v>
      </c>
      <c r="D164" t="inlineStr">
        <is>
          <t>DALARNAS LÄN</t>
        </is>
      </c>
      <c r="E164" t="inlineStr">
        <is>
          <t>VANSBRO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11860-2024</t>
        </is>
      </c>
      <c r="B165" s="1" t="n">
        <v>45376.44659722222</v>
      </c>
      <c r="C165" s="1" t="n">
        <v>45904</v>
      </c>
      <c r="D165" t="inlineStr">
        <is>
          <t>DALARNAS LÄN</t>
        </is>
      </c>
      <c r="E165" t="inlineStr">
        <is>
          <t>VANSBRO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52115-2024</t>
        </is>
      </c>
      <c r="B166" s="1" t="n">
        <v>45608.44224537037</v>
      </c>
      <c r="C166" s="1" t="n">
        <v>45904</v>
      </c>
      <c r="D166" t="inlineStr">
        <is>
          <t>DALARNAS LÄN</t>
        </is>
      </c>
      <c r="E166" t="inlineStr">
        <is>
          <t>VANSBRO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5644-2021</t>
        </is>
      </c>
      <c r="B167" s="1" t="n">
        <v>44230</v>
      </c>
      <c r="C167" s="1" t="n">
        <v>45904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24522-2025</t>
        </is>
      </c>
      <c r="B168" s="1" t="n">
        <v>45798</v>
      </c>
      <c r="C168" s="1" t="n">
        <v>45904</v>
      </c>
      <c r="D168" t="inlineStr">
        <is>
          <t>DALARNAS LÄN</t>
        </is>
      </c>
      <c r="E168" t="inlineStr">
        <is>
          <t>VANSBRO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4955-2025</t>
        </is>
      </c>
      <c r="B169" s="1" t="n">
        <v>45689.54017361111</v>
      </c>
      <c r="C169" s="1" t="n">
        <v>45904</v>
      </c>
      <c r="D169" t="inlineStr">
        <is>
          <t>DALARNAS LÄN</t>
        </is>
      </c>
      <c r="E169" t="inlineStr">
        <is>
          <t>VANSBRO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13805-2025</t>
        </is>
      </c>
      <c r="B170" s="1" t="n">
        <v>45737.48921296297</v>
      </c>
      <c r="C170" s="1" t="n">
        <v>45904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59142-2024</t>
        </is>
      </c>
      <c r="B171" s="1" t="n">
        <v>45637.44667824074</v>
      </c>
      <c r="C171" s="1" t="n">
        <v>45904</v>
      </c>
      <c r="D171" t="inlineStr">
        <is>
          <t>DALARNAS LÄN</t>
        </is>
      </c>
      <c r="E171" t="inlineStr">
        <is>
          <t>VANSBRO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13639-2022</t>
        </is>
      </c>
      <c r="B172" s="1" t="n">
        <v>44648.63498842593</v>
      </c>
      <c r="C172" s="1" t="n">
        <v>45904</v>
      </c>
      <c r="D172" t="inlineStr">
        <is>
          <t>DALARNAS LÄN</t>
        </is>
      </c>
      <c r="E172" t="inlineStr">
        <is>
          <t>VANSBRO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37875-2023</t>
        </is>
      </c>
      <c r="B173" s="1" t="n">
        <v>45160.4325462963</v>
      </c>
      <c r="C173" s="1" t="n">
        <v>45904</v>
      </c>
      <c r="D173" t="inlineStr">
        <is>
          <t>DALARNAS LÄN</t>
        </is>
      </c>
      <c r="E173" t="inlineStr">
        <is>
          <t>VANSBRO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16830-2025</t>
        </is>
      </c>
      <c r="B174" s="1" t="n">
        <v>45754.65806712963</v>
      </c>
      <c r="C174" s="1" t="n">
        <v>45904</v>
      </c>
      <c r="D174" t="inlineStr">
        <is>
          <t>DALARNAS LÄN</t>
        </is>
      </c>
      <c r="E174" t="inlineStr">
        <is>
          <t>VANSBRO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25494-2025</t>
        </is>
      </c>
      <c r="B175" s="1" t="n">
        <v>45803.33614583333</v>
      </c>
      <c r="C175" s="1" t="n">
        <v>45904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25247-2025</t>
        </is>
      </c>
      <c r="B176" s="1" t="n">
        <v>45800.49591435185</v>
      </c>
      <c r="C176" s="1" t="n">
        <v>45904</v>
      </c>
      <c r="D176" t="inlineStr">
        <is>
          <t>DALARNAS LÄN</t>
        </is>
      </c>
      <c r="E176" t="inlineStr">
        <is>
          <t>VANSBRO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3482-2025</t>
        </is>
      </c>
      <c r="B177" s="1" t="n">
        <v>45680.54168981482</v>
      </c>
      <c r="C177" s="1" t="n">
        <v>45904</v>
      </c>
      <c r="D177" t="inlineStr">
        <is>
          <t>DALARNAS LÄN</t>
        </is>
      </c>
      <c r="E177" t="inlineStr">
        <is>
          <t>VANSBRO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49649-2020</t>
        </is>
      </c>
      <c r="B178" s="1" t="n">
        <v>44106</v>
      </c>
      <c r="C178" s="1" t="n">
        <v>45904</v>
      </c>
      <c r="D178" t="inlineStr">
        <is>
          <t>DALARNAS LÄN</t>
        </is>
      </c>
      <c r="E178" t="inlineStr">
        <is>
          <t>VANSBRO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65322-2020</t>
        </is>
      </c>
      <c r="B179" s="1" t="n">
        <v>44173</v>
      </c>
      <c r="C179" s="1" t="n">
        <v>45904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44679-2023</t>
        </is>
      </c>
      <c r="B180" s="1" t="n">
        <v>45189.83035879629</v>
      </c>
      <c r="C180" s="1" t="n">
        <v>45904</v>
      </c>
      <c r="D180" t="inlineStr">
        <is>
          <t>DALARNAS LÄN</t>
        </is>
      </c>
      <c r="E180" t="inlineStr">
        <is>
          <t>VANSBRO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32383-2024</t>
        </is>
      </c>
      <c r="B181" s="1" t="n">
        <v>45512.62424768518</v>
      </c>
      <c r="C181" s="1" t="n">
        <v>45904</v>
      </c>
      <c r="D181" t="inlineStr">
        <is>
          <t>DALARNAS LÄN</t>
        </is>
      </c>
      <c r="E181" t="inlineStr">
        <is>
          <t>VANSBRO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26510-2025</t>
        </is>
      </c>
      <c r="B182" s="1" t="n">
        <v>45807</v>
      </c>
      <c r="C182" s="1" t="n">
        <v>45904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26508-2025</t>
        </is>
      </c>
      <c r="B183" s="1" t="n">
        <v>45807</v>
      </c>
      <c r="C183" s="1" t="n">
        <v>45904</v>
      </c>
      <c r="D183" t="inlineStr">
        <is>
          <t>DALARNAS LÄN</t>
        </is>
      </c>
      <c r="E183" t="inlineStr">
        <is>
          <t>VANSBRO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26387-2025</t>
        </is>
      </c>
      <c r="B184" s="1" t="n">
        <v>45806.5102662037</v>
      </c>
      <c r="C184" s="1" t="n">
        <v>45904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19710-2025</t>
        </is>
      </c>
      <c r="B185" s="1" t="n">
        <v>45771.34391203704</v>
      </c>
      <c r="C185" s="1" t="n">
        <v>45904</v>
      </c>
      <c r="D185" t="inlineStr">
        <is>
          <t>DALARNAS LÄN</t>
        </is>
      </c>
      <c r="E185" t="inlineStr">
        <is>
          <t>VANSBRO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16827-2025</t>
        </is>
      </c>
      <c r="B186" s="1" t="n">
        <v>45754.65372685185</v>
      </c>
      <c r="C186" s="1" t="n">
        <v>45904</v>
      </c>
      <c r="D186" t="inlineStr">
        <is>
          <t>DALARNAS LÄN</t>
        </is>
      </c>
      <c r="E186" t="inlineStr">
        <is>
          <t>VANSBRO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16832-2025</t>
        </is>
      </c>
      <c r="B187" s="1" t="n">
        <v>45754.66079861111</v>
      </c>
      <c r="C187" s="1" t="n">
        <v>45904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12016-2024</t>
        </is>
      </c>
      <c r="B188" s="1" t="n">
        <v>45377.34850694444</v>
      </c>
      <c r="C188" s="1" t="n">
        <v>45904</v>
      </c>
      <c r="D188" t="inlineStr">
        <is>
          <t>DALARNAS LÄN</t>
        </is>
      </c>
      <c r="E188" t="inlineStr">
        <is>
          <t>VANSBRO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26689-2025</t>
        </is>
      </c>
      <c r="B189" s="1" t="n">
        <v>45810.43638888889</v>
      </c>
      <c r="C189" s="1" t="n">
        <v>45904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26997-2025</t>
        </is>
      </c>
      <c r="B190" s="1" t="n">
        <v>45811.54238425926</v>
      </c>
      <c r="C190" s="1" t="n">
        <v>45904</v>
      </c>
      <c r="D190" t="inlineStr">
        <is>
          <t>DALARNAS LÄN</t>
        </is>
      </c>
      <c r="E190" t="inlineStr">
        <is>
          <t>VANSBRO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27000-2025</t>
        </is>
      </c>
      <c r="B191" s="1" t="n">
        <v>45811.54483796296</v>
      </c>
      <c r="C191" s="1" t="n">
        <v>45904</v>
      </c>
      <c r="D191" t="inlineStr">
        <is>
          <t>DALARNAS LÄN</t>
        </is>
      </c>
      <c r="E191" t="inlineStr">
        <is>
          <t>VANSBRO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44298.57814814815</v>
      </c>
      <c r="C192" s="1" t="n">
        <v>45904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26667-2025</t>
        </is>
      </c>
      <c r="B193" s="1" t="n">
        <v>45810.4090625</v>
      </c>
      <c r="C193" s="1" t="n">
        <v>45904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4953-2025</t>
        </is>
      </c>
      <c r="B194" s="1" t="n">
        <v>45689.52416666667</v>
      </c>
      <c r="C194" s="1" t="n">
        <v>45904</v>
      </c>
      <c r="D194" t="inlineStr">
        <is>
          <t>DALARNAS LÄN</t>
        </is>
      </c>
      <c r="E194" t="inlineStr">
        <is>
          <t>VANSBRO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51140-2024</t>
        </is>
      </c>
      <c r="B195" s="1" t="n">
        <v>45603.54407407407</v>
      </c>
      <c r="C195" s="1" t="n">
        <v>45904</v>
      </c>
      <c r="D195" t="inlineStr">
        <is>
          <t>DALARNAS LÄN</t>
        </is>
      </c>
      <c r="E195" t="inlineStr">
        <is>
          <t>VANSBRO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58409-2024</t>
        </is>
      </c>
      <c r="B196" s="1" t="n">
        <v>45634.73024305556</v>
      </c>
      <c r="C196" s="1" t="n">
        <v>45904</v>
      </c>
      <c r="D196" t="inlineStr">
        <is>
          <t>DALARNAS LÄN</t>
        </is>
      </c>
      <c r="E196" t="inlineStr">
        <is>
          <t>VANSBRO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72635-2021</t>
        </is>
      </c>
      <c r="B197" s="1" t="n">
        <v>44546</v>
      </c>
      <c r="C197" s="1" t="n">
        <v>45904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26990-2025</t>
        </is>
      </c>
      <c r="B198" s="1" t="n">
        <v>45811.51887731482</v>
      </c>
      <c r="C198" s="1" t="n">
        <v>45904</v>
      </c>
      <c r="D198" t="inlineStr">
        <is>
          <t>DALARNAS LÄN</t>
        </is>
      </c>
      <c r="E198" t="inlineStr">
        <is>
          <t>VANSBRO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26995-2025</t>
        </is>
      </c>
      <c r="B199" s="1" t="n">
        <v>45811.53903935185</v>
      </c>
      <c r="C199" s="1" t="n">
        <v>45904</v>
      </c>
      <c r="D199" t="inlineStr">
        <is>
          <t>DALARNAS LÄN</t>
        </is>
      </c>
      <c r="E199" t="inlineStr">
        <is>
          <t>VANSBRO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2310-2023</t>
        </is>
      </c>
      <c r="B200" s="1" t="n">
        <v>44942</v>
      </c>
      <c r="C200" s="1" t="n">
        <v>45904</v>
      </c>
      <c r="D200" t="inlineStr">
        <is>
          <t>DALARNAS LÄN</t>
        </is>
      </c>
      <c r="E200" t="inlineStr">
        <is>
          <t>VANSBRO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35299-2024</t>
        </is>
      </c>
      <c r="B201" s="1" t="n">
        <v>45530.66306712963</v>
      </c>
      <c r="C201" s="1" t="n">
        <v>45904</v>
      </c>
      <c r="D201" t="inlineStr">
        <is>
          <t>DALARNAS LÄN</t>
        </is>
      </c>
      <c r="E201" t="inlineStr">
        <is>
          <t>VANSBRO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35699-2023</t>
        </is>
      </c>
      <c r="B202" s="1" t="n">
        <v>45147.65657407408</v>
      </c>
      <c r="C202" s="1" t="n">
        <v>45904</v>
      </c>
      <c r="D202" t="inlineStr">
        <is>
          <t>DALARNAS LÄN</t>
        </is>
      </c>
      <c r="E202" t="inlineStr">
        <is>
          <t>VANSBRO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27015-2025</t>
        </is>
      </c>
      <c r="B203" s="1" t="n">
        <v>45811.56743055556</v>
      </c>
      <c r="C203" s="1" t="n">
        <v>45904</v>
      </c>
      <c r="D203" t="inlineStr">
        <is>
          <t>DALARNAS LÄN</t>
        </is>
      </c>
      <c r="E203" t="inlineStr">
        <is>
          <t>VANSBRO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43658-2023</t>
        </is>
      </c>
      <c r="B204" s="1" t="n">
        <v>45187.34733796296</v>
      </c>
      <c r="C204" s="1" t="n">
        <v>45904</v>
      </c>
      <c r="D204" t="inlineStr">
        <is>
          <t>DALARNAS LÄN</t>
        </is>
      </c>
      <c r="E204" t="inlineStr">
        <is>
          <t>VANSBRO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27052-2025</t>
        </is>
      </c>
      <c r="B205" s="1" t="n">
        <v>45811.62408564815</v>
      </c>
      <c r="C205" s="1" t="n">
        <v>45904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21560-2024</t>
        </is>
      </c>
      <c r="B206" s="1" t="n">
        <v>45441.6519675926</v>
      </c>
      <c r="C206" s="1" t="n">
        <v>45904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62622-2022</t>
        </is>
      </c>
      <c r="B207" s="1" t="n">
        <v>44925</v>
      </c>
      <c r="C207" s="1" t="n">
        <v>45904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6050-2025</t>
        </is>
      </c>
      <c r="B208" s="1" t="n">
        <v>45695</v>
      </c>
      <c r="C208" s="1" t="n">
        <v>45904</v>
      </c>
      <c r="D208" t="inlineStr">
        <is>
          <t>DALARNAS LÄN</t>
        </is>
      </c>
      <c r="E208" t="inlineStr">
        <is>
          <t>VANSBRO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27556-2025</t>
        </is>
      </c>
      <c r="B209" s="1" t="n">
        <v>45813</v>
      </c>
      <c r="C209" s="1" t="n">
        <v>45904</v>
      </c>
      <c r="D209" t="inlineStr">
        <is>
          <t>DALARNAS LÄN</t>
        </is>
      </c>
      <c r="E209" t="inlineStr">
        <is>
          <t>VANSBRO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12607-2025</t>
        </is>
      </c>
      <c r="B210" s="1" t="n">
        <v>45733.32369212963</v>
      </c>
      <c r="C210" s="1" t="n">
        <v>45904</v>
      </c>
      <c r="D210" t="inlineStr">
        <is>
          <t>DALARNAS LÄN</t>
        </is>
      </c>
      <c r="E210" t="inlineStr">
        <is>
          <t>VANSBRO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27124-2025</t>
        </is>
      </c>
      <c r="B211" s="1" t="n">
        <v>45811.81252314815</v>
      </c>
      <c r="C211" s="1" t="n">
        <v>45904</v>
      </c>
      <c r="D211" t="inlineStr">
        <is>
          <t>DALARNAS LÄN</t>
        </is>
      </c>
      <c r="E211" t="inlineStr">
        <is>
          <t>VANSBRO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27504-2025</t>
        </is>
      </c>
      <c r="B212" s="1" t="n">
        <v>45813.42409722223</v>
      </c>
      <c r="C212" s="1" t="n">
        <v>45904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49565-2022</t>
        </is>
      </c>
      <c r="B213" s="1" t="n">
        <v>44862</v>
      </c>
      <c r="C213" s="1" t="n">
        <v>45904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28007-2025</t>
        </is>
      </c>
      <c r="B214" s="1" t="n">
        <v>45817</v>
      </c>
      <c r="C214" s="1" t="n">
        <v>45904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28010-2025</t>
        </is>
      </c>
      <c r="B215" s="1" t="n">
        <v>45817</v>
      </c>
      <c r="C215" s="1" t="n">
        <v>45904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28011-2025</t>
        </is>
      </c>
      <c r="B216" s="1" t="n">
        <v>45817.60616898148</v>
      </c>
      <c r="C216" s="1" t="n">
        <v>45904</v>
      </c>
      <c r="D216" t="inlineStr">
        <is>
          <t>DALARNAS LÄN</t>
        </is>
      </c>
      <c r="E216" t="inlineStr">
        <is>
          <t>VANSBRO</t>
        </is>
      </c>
      <c r="G216" t="n">
        <v>15.8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27963-2025</t>
        </is>
      </c>
      <c r="B217" s="1" t="n">
        <v>45817.55212962963</v>
      </c>
      <c r="C217" s="1" t="n">
        <v>45904</v>
      </c>
      <c r="D217" t="inlineStr">
        <is>
          <t>DALARNAS LÄN</t>
        </is>
      </c>
      <c r="E217" t="inlineStr">
        <is>
          <t>VANSBRO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28469-2025</t>
        </is>
      </c>
      <c r="B218" s="1" t="n">
        <v>45819.42872685185</v>
      </c>
      <c r="C218" s="1" t="n">
        <v>45904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60481-2024</t>
        </is>
      </c>
      <c r="B219" s="1" t="n">
        <v>45643.63615740741</v>
      </c>
      <c r="C219" s="1" t="n">
        <v>45904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39336-2023</t>
        </is>
      </c>
      <c r="B220" s="1" t="n">
        <v>45166.59652777778</v>
      </c>
      <c r="C220" s="1" t="n">
        <v>45904</v>
      </c>
      <c r="D220" t="inlineStr">
        <is>
          <t>DALARNAS LÄN</t>
        </is>
      </c>
      <c r="E220" t="inlineStr">
        <is>
          <t>VANSBRO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30342-2023</t>
        </is>
      </c>
      <c r="B221" s="1" t="n">
        <v>45111</v>
      </c>
      <c r="C221" s="1" t="n">
        <v>45904</v>
      </c>
      <c r="D221" t="inlineStr">
        <is>
          <t>DALARNAS LÄN</t>
        </is>
      </c>
      <c r="E221" t="inlineStr">
        <is>
          <t>VANSBRO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28470-2025</t>
        </is>
      </c>
      <c r="B222" s="1" t="n">
        <v>45819.43546296296</v>
      </c>
      <c r="C222" s="1" t="n">
        <v>45904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56269-2023</t>
        </is>
      </c>
      <c r="B223" s="1" t="n">
        <v>45240.98564814815</v>
      </c>
      <c r="C223" s="1" t="n">
        <v>45904</v>
      </c>
      <c r="D223" t="inlineStr">
        <is>
          <t>DALARNAS LÄN</t>
        </is>
      </c>
      <c r="E223" t="inlineStr">
        <is>
          <t>VANSBRO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60848-2024</t>
        </is>
      </c>
      <c r="B224" s="1" t="n">
        <v>45644.65783564815</v>
      </c>
      <c r="C224" s="1" t="n">
        <v>45904</v>
      </c>
      <c r="D224" t="inlineStr">
        <is>
          <t>DALARNAS LÄN</t>
        </is>
      </c>
      <c r="E224" t="inlineStr">
        <is>
          <t>VANSBRO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45356-2024</t>
        </is>
      </c>
      <c r="B225" s="1" t="n">
        <v>45576</v>
      </c>
      <c r="C225" s="1" t="n">
        <v>45904</v>
      </c>
      <c r="D225" t="inlineStr">
        <is>
          <t>DALARNAS LÄN</t>
        </is>
      </c>
      <c r="E225" t="inlineStr">
        <is>
          <t>VANSBRO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41290-2023</t>
        </is>
      </c>
      <c r="B226" s="1" t="n">
        <v>45174.5846875</v>
      </c>
      <c r="C226" s="1" t="n">
        <v>45904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26658-2022</t>
        </is>
      </c>
      <c r="B227" s="1" t="n">
        <v>44739</v>
      </c>
      <c r="C227" s="1" t="n">
        <v>45904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29281-2025</t>
        </is>
      </c>
      <c r="B228" s="1" t="n">
        <v>45824.42596064815</v>
      </c>
      <c r="C228" s="1" t="n">
        <v>45904</v>
      </c>
      <c r="D228" t="inlineStr">
        <is>
          <t>DALARNAS LÄN</t>
        </is>
      </c>
      <c r="E228" t="inlineStr">
        <is>
          <t>VANSBRO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30133-2025</t>
        </is>
      </c>
      <c r="B229" s="1" t="n">
        <v>45826</v>
      </c>
      <c r="C229" s="1" t="n">
        <v>45904</v>
      </c>
      <c r="D229" t="inlineStr">
        <is>
          <t>DALARNAS LÄN</t>
        </is>
      </c>
      <c r="E229" t="inlineStr">
        <is>
          <t>VANSBRO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10012-2024</t>
        </is>
      </c>
      <c r="B230" s="1" t="n">
        <v>45363.86148148148</v>
      </c>
      <c r="C230" s="1" t="n">
        <v>45904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10013-2024</t>
        </is>
      </c>
      <c r="B231" s="1" t="n">
        <v>45363.87252314815</v>
      </c>
      <c r="C231" s="1" t="n">
        <v>45904</v>
      </c>
      <c r="D231" t="inlineStr">
        <is>
          <t>DALARNAS LÄN</t>
        </is>
      </c>
      <c r="E231" t="inlineStr">
        <is>
          <t>VANSBRO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50808-2023</t>
        </is>
      </c>
      <c r="B232" s="1" t="n">
        <v>45217</v>
      </c>
      <c r="C232" s="1" t="n">
        <v>45904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53828-2021</t>
        </is>
      </c>
      <c r="B233" s="1" t="n">
        <v>44469.61916666666</v>
      </c>
      <c r="C233" s="1" t="n">
        <v>45904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30093-2025</t>
        </is>
      </c>
      <c r="B234" s="1" t="n">
        <v>45826</v>
      </c>
      <c r="C234" s="1" t="n">
        <v>45904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6241-2021</t>
        </is>
      </c>
      <c r="B235" s="1" t="n">
        <v>44235</v>
      </c>
      <c r="C235" s="1" t="n">
        <v>45904</v>
      </c>
      <c r="D235" t="inlineStr">
        <is>
          <t>DALARNAS LÄN</t>
        </is>
      </c>
      <c r="E235" t="inlineStr">
        <is>
          <t>VANSBRO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36382-2025</t>
        </is>
      </c>
      <c r="B236" s="1" t="n">
        <v>45868.57556712963</v>
      </c>
      <c r="C236" s="1" t="n">
        <v>45904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51396-2022</t>
        </is>
      </c>
      <c r="B237" s="1" t="n">
        <v>44869</v>
      </c>
      <c r="C237" s="1" t="n">
        <v>45904</v>
      </c>
      <c r="D237" t="inlineStr">
        <is>
          <t>DALARNAS LÄN</t>
        </is>
      </c>
      <c r="E237" t="inlineStr">
        <is>
          <t>VANSBRO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37219-2024</t>
        </is>
      </c>
      <c r="B238" s="1" t="n">
        <v>45539.7515625</v>
      </c>
      <c r="C238" s="1" t="n">
        <v>45904</v>
      </c>
      <c r="D238" t="inlineStr">
        <is>
          <t>DALARNAS LÄN</t>
        </is>
      </c>
      <c r="E238" t="inlineStr">
        <is>
          <t>VANSBRO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51601-2023</t>
        </is>
      </c>
      <c r="B239" s="1" t="n">
        <v>45222.48548611111</v>
      </c>
      <c r="C239" s="1" t="n">
        <v>45904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24827-2022</t>
        </is>
      </c>
      <c r="B240" s="1" t="n">
        <v>44728.4549537037</v>
      </c>
      <c r="C240" s="1" t="n">
        <v>45904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öst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24839-2022</t>
        </is>
      </c>
      <c r="B241" s="1" t="n">
        <v>44728</v>
      </c>
      <c r="C241" s="1" t="n">
        <v>45904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öst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31494-2025</t>
        </is>
      </c>
      <c r="B242" s="1" t="n">
        <v>45833</v>
      </c>
      <c r="C242" s="1" t="n">
        <v>45904</v>
      </c>
      <c r="D242" t="inlineStr">
        <is>
          <t>DALARNAS LÄN</t>
        </is>
      </c>
      <c r="E242" t="inlineStr">
        <is>
          <t>VANSBRO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31516-2025</t>
        </is>
      </c>
      <c r="B243" s="1" t="n">
        <v>45833</v>
      </c>
      <c r="C243" s="1" t="n">
        <v>45904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31191-2025</t>
        </is>
      </c>
      <c r="B244" s="1" t="n">
        <v>45832.68217592593</v>
      </c>
      <c r="C244" s="1" t="n">
        <v>45904</v>
      </c>
      <c r="D244" t="inlineStr">
        <is>
          <t>DALARNAS LÄN</t>
        </is>
      </c>
      <c r="E244" t="inlineStr">
        <is>
          <t>VANSBRO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31329-2025</t>
        </is>
      </c>
      <c r="B245" s="1" t="n">
        <v>45833.41353009259</v>
      </c>
      <c r="C245" s="1" t="n">
        <v>45904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31125-2025</t>
        </is>
      </c>
      <c r="B246" s="1" t="n">
        <v>45832.62859953703</v>
      </c>
      <c r="C246" s="1" t="n">
        <v>45904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44864-2022</t>
        </is>
      </c>
      <c r="B247" s="1" t="n">
        <v>44841</v>
      </c>
      <c r="C247" s="1" t="n">
        <v>45904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31196-2025</t>
        </is>
      </c>
      <c r="B248" s="1" t="n">
        <v>45832.68709490741</v>
      </c>
      <c r="C248" s="1" t="n">
        <v>45904</v>
      </c>
      <c r="D248" t="inlineStr">
        <is>
          <t>DALARNAS LÄN</t>
        </is>
      </c>
      <c r="E248" t="inlineStr">
        <is>
          <t>VANSBRO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31198-2025</t>
        </is>
      </c>
      <c r="B249" s="1" t="n">
        <v>45832</v>
      </c>
      <c r="C249" s="1" t="n">
        <v>45904</v>
      </c>
      <c r="D249" t="inlineStr">
        <is>
          <t>DALARNAS LÄN</t>
        </is>
      </c>
      <c r="E249" t="inlineStr">
        <is>
          <t>VANSBRO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15972-2025</t>
        </is>
      </c>
      <c r="B250" s="1" t="n">
        <v>45749.55953703704</v>
      </c>
      <c r="C250" s="1" t="n">
        <v>45904</v>
      </c>
      <c r="D250" t="inlineStr">
        <is>
          <t>DALARNAS LÄN</t>
        </is>
      </c>
      <c r="E250" t="inlineStr">
        <is>
          <t>VANSBRO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36855-2022</t>
        </is>
      </c>
      <c r="B251" s="1" t="n">
        <v>44805</v>
      </c>
      <c r="C251" s="1" t="n">
        <v>45904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31499-2025</t>
        </is>
      </c>
      <c r="B252" s="1" t="n">
        <v>45833.5853125</v>
      </c>
      <c r="C252" s="1" t="n">
        <v>45904</v>
      </c>
      <c r="D252" t="inlineStr">
        <is>
          <t>DALARNAS LÄN</t>
        </is>
      </c>
      <c r="E252" t="inlineStr">
        <is>
          <t>VANSBRO</t>
        </is>
      </c>
      <c r="G252" t="n">
        <v>27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31489-2025</t>
        </is>
      </c>
      <c r="B253" s="1" t="n">
        <v>45833</v>
      </c>
      <c r="C253" s="1" t="n">
        <v>45904</v>
      </c>
      <c r="D253" t="inlineStr">
        <is>
          <t>DALARNAS LÄN</t>
        </is>
      </c>
      <c r="E253" t="inlineStr">
        <is>
          <t>VANSBRO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31495-2025</t>
        </is>
      </c>
      <c r="B254" s="1" t="n">
        <v>45833.5831712963</v>
      </c>
      <c r="C254" s="1" t="n">
        <v>45904</v>
      </c>
      <c r="D254" t="inlineStr">
        <is>
          <t>DALARNAS LÄN</t>
        </is>
      </c>
      <c r="E254" t="inlineStr">
        <is>
          <t>VANSBRO</t>
        </is>
      </c>
      <c r="G254" t="n">
        <v>11.6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31474-2025</t>
        </is>
      </c>
      <c r="B255" s="1" t="n">
        <v>45833</v>
      </c>
      <c r="C255" s="1" t="n">
        <v>45904</v>
      </c>
      <c r="D255" t="inlineStr">
        <is>
          <t>DALARNAS LÄN</t>
        </is>
      </c>
      <c r="E255" t="inlineStr">
        <is>
          <t>VANSBRO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15088-2025</t>
        </is>
      </c>
      <c r="B256" s="1" t="n">
        <v>45744.32628472222</v>
      </c>
      <c r="C256" s="1" t="n">
        <v>45904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572-2024</t>
        </is>
      </c>
      <c r="B257" s="1" t="n">
        <v>45299</v>
      </c>
      <c r="C257" s="1" t="n">
        <v>45904</v>
      </c>
      <c r="D257" t="inlineStr">
        <is>
          <t>DALARNAS LÄN</t>
        </is>
      </c>
      <c r="E257" t="inlineStr">
        <is>
          <t>VANSBRO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60036-2023</t>
        </is>
      </c>
      <c r="B258" s="1" t="n">
        <v>45258.3330787037</v>
      </c>
      <c r="C258" s="1" t="n">
        <v>45904</v>
      </c>
      <c r="D258" t="inlineStr">
        <is>
          <t>DALARNAS LÄN</t>
        </is>
      </c>
      <c r="E258" t="inlineStr">
        <is>
          <t>VANSBRO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4951-2025</t>
        </is>
      </c>
      <c r="B259" s="1" t="n">
        <v>45689.46016203704</v>
      </c>
      <c r="C259" s="1" t="n">
        <v>45904</v>
      </c>
      <c r="D259" t="inlineStr">
        <is>
          <t>DALARNAS LÄN</t>
        </is>
      </c>
      <c r="E259" t="inlineStr">
        <is>
          <t>VANSBRO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4952-2025</t>
        </is>
      </c>
      <c r="B260" s="1" t="n">
        <v>45689.51372685185</v>
      </c>
      <c r="C260" s="1" t="n">
        <v>45904</v>
      </c>
      <c r="D260" t="inlineStr">
        <is>
          <t>DALARNAS LÄN</t>
        </is>
      </c>
      <c r="E260" t="inlineStr">
        <is>
          <t>VANSBRO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32849-2024</t>
        </is>
      </c>
      <c r="B261" s="1" t="n">
        <v>45516.63180555555</v>
      </c>
      <c r="C261" s="1" t="n">
        <v>45904</v>
      </c>
      <c r="D261" t="inlineStr">
        <is>
          <t>DALARNAS LÄN</t>
        </is>
      </c>
      <c r="E261" t="inlineStr">
        <is>
          <t>VANSBRO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20695-2021</t>
        </is>
      </c>
      <c r="B262" s="1" t="n">
        <v>44316.48511574074</v>
      </c>
      <c r="C262" s="1" t="n">
        <v>45904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20705-2021</t>
        </is>
      </c>
      <c r="B263" s="1" t="n">
        <v>44316.49489583333</v>
      </c>
      <c r="C263" s="1" t="n">
        <v>45904</v>
      </c>
      <c r="D263" t="inlineStr">
        <is>
          <t>DALARNAS LÄN</t>
        </is>
      </c>
      <c r="E263" t="inlineStr">
        <is>
          <t>VANSBRO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57904-2024</t>
        </is>
      </c>
      <c r="B264" s="1" t="n">
        <v>45631.48799768519</v>
      </c>
      <c r="C264" s="1" t="n">
        <v>45904</v>
      </c>
      <c r="D264" t="inlineStr">
        <is>
          <t>DALARNAS LÄN</t>
        </is>
      </c>
      <c r="E264" t="inlineStr">
        <is>
          <t>VANSBRO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56988-2023</t>
        </is>
      </c>
      <c r="B265" s="1" t="n">
        <v>45244.66481481482</v>
      </c>
      <c r="C265" s="1" t="n">
        <v>45904</v>
      </c>
      <c r="D265" t="inlineStr">
        <is>
          <t>DALARNAS LÄN</t>
        </is>
      </c>
      <c r="E265" t="inlineStr">
        <is>
          <t>VANSBRO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54453-2024</t>
        </is>
      </c>
      <c r="B266" s="1" t="n">
        <v>45617.52883101852</v>
      </c>
      <c r="C266" s="1" t="n">
        <v>45904</v>
      </c>
      <c r="D266" t="inlineStr">
        <is>
          <t>DALARNAS LÄN</t>
        </is>
      </c>
      <c r="E266" t="inlineStr">
        <is>
          <t>VANSBRO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32150-2025</t>
        </is>
      </c>
      <c r="B267" s="1" t="n">
        <v>45835.53105324074</v>
      </c>
      <c r="C267" s="1" t="n">
        <v>45904</v>
      </c>
      <c r="D267" t="inlineStr">
        <is>
          <t>DALARNAS LÄN</t>
        </is>
      </c>
      <c r="E267" t="inlineStr">
        <is>
          <t>VANSBRO</t>
        </is>
      </c>
      <c r="F267" t="inlineStr">
        <is>
          <t>Övriga statliga verk och myndigheter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32040-2025</t>
        </is>
      </c>
      <c r="B268" s="1" t="n">
        <v>45835.42917824074</v>
      </c>
      <c r="C268" s="1" t="n">
        <v>45904</v>
      </c>
      <c r="D268" t="inlineStr">
        <is>
          <t>DALARNAS LÄN</t>
        </is>
      </c>
      <c r="E268" t="inlineStr">
        <is>
          <t>VANSBRO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37380-2025</t>
        </is>
      </c>
      <c r="B269" s="1" t="n">
        <v>45877.37292824074</v>
      </c>
      <c r="C269" s="1" t="n">
        <v>45904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43258-2023</t>
        </is>
      </c>
      <c r="B270" s="1" t="n">
        <v>45183.49864583334</v>
      </c>
      <c r="C270" s="1" t="n">
        <v>45904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59736-2022</t>
        </is>
      </c>
      <c r="B271" s="1" t="n">
        <v>44908</v>
      </c>
      <c r="C271" s="1" t="n">
        <v>45904</v>
      </c>
      <c r="D271" t="inlineStr">
        <is>
          <t>DALARNAS LÄN</t>
        </is>
      </c>
      <c r="E271" t="inlineStr">
        <is>
          <t>VANSBRO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37285-2025</t>
        </is>
      </c>
      <c r="B272" s="1" t="n">
        <v>45876.50083333333</v>
      </c>
      <c r="C272" s="1" t="n">
        <v>45904</v>
      </c>
      <c r="D272" t="inlineStr">
        <is>
          <t>DALARNAS LÄN</t>
        </is>
      </c>
      <c r="E272" t="inlineStr">
        <is>
          <t>VANSBRO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37287-2025</t>
        </is>
      </c>
      <c r="B273" s="1" t="n">
        <v>45876.50278935185</v>
      </c>
      <c r="C273" s="1" t="n">
        <v>45904</v>
      </c>
      <c r="D273" t="inlineStr">
        <is>
          <t>DALARNAS LÄN</t>
        </is>
      </c>
      <c r="E273" t="inlineStr">
        <is>
          <t>VANSBRO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18859-2025</t>
        </is>
      </c>
      <c r="B274" s="1" t="n">
        <v>45764</v>
      </c>
      <c r="C274" s="1" t="n">
        <v>45904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18882-2025</t>
        </is>
      </c>
      <c r="B275" s="1" t="n">
        <v>45764</v>
      </c>
      <c r="C275" s="1" t="n">
        <v>45904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49635-2024</t>
        </is>
      </c>
      <c r="B276" s="1" t="n">
        <v>45596.5975</v>
      </c>
      <c r="C276" s="1" t="n">
        <v>45904</v>
      </c>
      <c r="D276" t="inlineStr">
        <is>
          <t>DALARNAS LÄN</t>
        </is>
      </c>
      <c r="E276" t="inlineStr">
        <is>
          <t>VANSBRO</t>
        </is>
      </c>
      <c r="F276" t="inlineStr">
        <is>
          <t>Övriga statliga verk och myndigheter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58009-2023</t>
        </is>
      </c>
      <c r="B277" s="1" t="n">
        <v>45247.61887731482</v>
      </c>
      <c r="C277" s="1" t="n">
        <v>45904</v>
      </c>
      <c r="D277" t="inlineStr">
        <is>
          <t>DALARNAS LÄN</t>
        </is>
      </c>
      <c r="E277" t="inlineStr">
        <is>
          <t>VANSBRO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2994-2025</t>
        </is>
      </c>
      <c r="B278" s="1" t="n">
        <v>45678</v>
      </c>
      <c r="C278" s="1" t="n">
        <v>45904</v>
      </c>
      <c r="D278" t="inlineStr">
        <is>
          <t>DALARNAS LÄN</t>
        </is>
      </c>
      <c r="E278" t="inlineStr">
        <is>
          <t>VANSBRO</t>
        </is>
      </c>
      <c r="G278" t="n">
        <v>16.1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52572-2023</t>
        </is>
      </c>
      <c r="B279" s="1" t="n">
        <v>45225.58869212963</v>
      </c>
      <c r="C279" s="1" t="n">
        <v>45904</v>
      </c>
      <c r="D279" t="inlineStr">
        <is>
          <t>DALARNAS LÄN</t>
        </is>
      </c>
      <c r="E279" t="inlineStr">
        <is>
          <t>VANSBRO</t>
        </is>
      </c>
      <c r="F279" t="inlineStr">
        <is>
          <t>Övriga statliga verk och myndigheter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51414-2021</t>
        </is>
      </c>
      <c r="B280" s="1" t="n">
        <v>44461</v>
      </c>
      <c r="C280" s="1" t="n">
        <v>45904</v>
      </c>
      <c r="D280" t="inlineStr">
        <is>
          <t>DALARNAS LÄN</t>
        </is>
      </c>
      <c r="E280" t="inlineStr">
        <is>
          <t>VANSBRO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823-2025</t>
        </is>
      </c>
      <c r="B281" s="1" t="n">
        <v>45665.56862268518</v>
      </c>
      <c r="C281" s="1" t="n">
        <v>45904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17628-2024</t>
        </is>
      </c>
      <c r="B282" s="1" t="n">
        <v>45418.31195601852</v>
      </c>
      <c r="C282" s="1" t="n">
        <v>45904</v>
      </c>
      <c r="D282" t="inlineStr">
        <is>
          <t>DALARNAS LÄN</t>
        </is>
      </c>
      <c r="E282" t="inlineStr">
        <is>
          <t>VANSBRO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39974-2022</t>
        </is>
      </c>
      <c r="B283" s="1" t="n">
        <v>44820</v>
      </c>
      <c r="C283" s="1" t="n">
        <v>45904</v>
      </c>
      <c r="D283" t="inlineStr">
        <is>
          <t>DALARNAS LÄN</t>
        </is>
      </c>
      <c r="E283" t="inlineStr">
        <is>
          <t>VANSBRO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36833-2025</t>
        </is>
      </c>
      <c r="B284" s="1" t="n">
        <v>45874</v>
      </c>
      <c r="C284" s="1" t="n">
        <v>45904</v>
      </c>
      <c r="D284" t="inlineStr">
        <is>
          <t>DALARNAS LÄN</t>
        </is>
      </c>
      <c r="E284" t="inlineStr">
        <is>
          <t>VANSBRO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35537-2024</t>
        </is>
      </c>
      <c r="B285" s="1" t="n">
        <v>45531</v>
      </c>
      <c r="C285" s="1" t="n">
        <v>45904</v>
      </c>
      <c r="D285" t="inlineStr">
        <is>
          <t>DALARNAS LÄN</t>
        </is>
      </c>
      <c r="E285" t="inlineStr">
        <is>
          <t>VANSBRO</t>
        </is>
      </c>
      <c r="F285" t="inlineStr">
        <is>
          <t>Övriga statliga verk och myndigheter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61653-2024</t>
        </is>
      </c>
      <c r="B286" s="1" t="n">
        <v>45646.73391203704</v>
      </c>
      <c r="C286" s="1" t="n">
        <v>45904</v>
      </c>
      <c r="D286" t="inlineStr">
        <is>
          <t>DALARNAS LÄN</t>
        </is>
      </c>
      <c r="E286" t="inlineStr">
        <is>
          <t>VANSBRO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5255-2022</t>
        </is>
      </c>
      <c r="B287" s="1" t="n">
        <v>44594.55498842592</v>
      </c>
      <c r="C287" s="1" t="n">
        <v>45904</v>
      </c>
      <c r="D287" t="inlineStr">
        <is>
          <t>DALARNAS LÄN</t>
        </is>
      </c>
      <c r="E287" t="inlineStr">
        <is>
          <t>VANSBRO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38016-2025</t>
        </is>
      </c>
      <c r="B288" s="1" t="n">
        <v>45882.33015046296</v>
      </c>
      <c r="C288" s="1" t="n">
        <v>45904</v>
      </c>
      <c r="D288" t="inlineStr">
        <is>
          <t>DALARNAS LÄN</t>
        </is>
      </c>
      <c r="E288" t="inlineStr">
        <is>
          <t>VANSBRO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40290-2023</t>
        </is>
      </c>
      <c r="B289" s="1" t="n">
        <v>45169</v>
      </c>
      <c r="C289" s="1" t="n">
        <v>45904</v>
      </c>
      <c r="D289" t="inlineStr">
        <is>
          <t>DALARNAS LÄN</t>
        </is>
      </c>
      <c r="E289" t="inlineStr">
        <is>
          <t>VANSBRO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33000-2025</t>
        </is>
      </c>
      <c r="B290" s="1" t="n">
        <v>45840.3518287037</v>
      </c>
      <c r="C290" s="1" t="n">
        <v>45904</v>
      </c>
      <c r="D290" t="inlineStr">
        <is>
          <t>DALARNAS LÄN</t>
        </is>
      </c>
      <c r="E290" t="inlineStr">
        <is>
          <t>VANSBRO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33109-2025</t>
        </is>
      </c>
      <c r="B291" s="1" t="n">
        <v>45840</v>
      </c>
      <c r="C291" s="1" t="n">
        <v>45904</v>
      </c>
      <c r="D291" t="inlineStr">
        <is>
          <t>DALARNAS LÄN</t>
        </is>
      </c>
      <c r="E291" t="inlineStr">
        <is>
          <t>VANSBRO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33056-2025</t>
        </is>
      </c>
      <c r="B292" s="1" t="n">
        <v>45840</v>
      </c>
      <c r="C292" s="1" t="n">
        <v>45904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33036-2025</t>
        </is>
      </c>
      <c r="B293" s="1" t="n">
        <v>45840.39614583334</v>
      </c>
      <c r="C293" s="1" t="n">
        <v>45904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38144-2025</t>
        </is>
      </c>
      <c r="B294" s="1" t="n">
        <v>45882.58366898148</v>
      </c>
      <c r="C294" s="1" t="n">
        <v>45904</v>
      </c>
      <c r="D294" t="inlineStr">
        <is>
          <t>DALARNAS LÄN</t>
        </is>
      </c>
      <c r="E294" t="inlineStr">
        <is>
          <t>VANSBRO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38171-2025</t>
        </is>
      </c>
      <c r="B295" s="1" t="n">
        <v>45882.63377314815</v>
      </c>
      <c r="C295" s="1" t="n">
        <v>45904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38186-2025</t>
        </is>
      </c>
      <c r="B296" s="1" t="n">
        <v>45882.65212962963</v>
      </c>
      <c r="C296" s="1" t="n">
        <v>45904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38422-2025</t>
        </is>
      </c>
      <c r="B297" s="1" t="n">
        <v>45883.63190972222</v>
      </c>
      <c r="C297" s="1" t="n">
        <v>45904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33003-2025</t>
        </is>
      </c>
      <c r="B298" s="1" t="n">
        <v>45840.35265046296</v>
      </c>
      <c r="C298" s="1" t="n">
        <v>45904</v>
      </c>
      <c r="D298" t="inlineStr">
        <is>
          <t>DALARNAS LÄN</t>
        </is>
      </c>
      <c r="E298" t="inlineStr">
        <is>
          <t>VANSBRO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33005-2025</t>
        </is>
      </c>
      <c r="B299" s="1" t="n">
        <v>45840</v>
      </c>
      <c r="C299" s="1" t="n">
        <v>45904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25496-2024</t>
        </is>
      </c>
      <c r="B300" s="1" t="n">
        <v>45463.47873842593</v>
      </c>
      <c r="C300" s="1" t="n">
        <v>45904</v>
      </c>
      <c r="D300" t="inlineStr">
        <is>
          <t>DALARNAS LÄN</t>
        </is>
      </c>
      <c r="E300" t="inlineStr">
        <is>
          <t>VANSBRO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38670-2025</t>
        </is>
      </c>
      <c r="B301" s="1" t="n">
        <v>45884.62741898148</v>
      </c>
      <c r="C301" s="1" t="n">
        <v>45904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1050-2025</t>
        </is>
      </c>
      <c r="B302" s="1" t="n">
        <v>45666.56121527778</v>
      </c>
      <c r="C302" s="1" t="n">
        <v>45904</v>
      </c>
      <c r="D302" t="inlineStr">
        <is>
          <t>DALARNAS LÄN</t>
        </is>
      </c>
      <c r="E302" t="inlineStr">
        <is>
          <t>VANSBRO</t>
        </is>
      </c>
      <c r="F302" t="inlineStr">
        <is>
          <t>Övriga statliga verk och myndigheter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6740-2024</t>
        </is>
      </c>
      <c r="B303" s="1" t="n">
        <v>45342.40047453704</v>
      </c>
      <c r="C303" s="1" t="n">
        <v>45904</v>
      </c>
      <c r="D303" t="inlineStr">
        <is>
          <t>DALARNAS LÄN</t>
        </is>
      </c>
      <c r="E303" t="inlineStr">
        <is>
          <t>VANSBRO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1140-2025</t>
        </is>
      </c>
      <c r="B304" s="1" t="n">
        <v>45666.70565972223</v>
      </c>
      <c r="C304" s="1" t="n">
        <v>45904</v>
      </c>
      <c r="D304" t="inlineStr">
        <is>
          <t>DALARNAS LÄN</t>
        </is>
      </c>
      <c r="E304" t="inlineStr">
        <is>
          <t>VANSBRO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20931-2022</t>
        </is>
      </c>
      <c r="B305" s="1" t="n">
        <v>44701</v>
      </c>
      <c r="C305" s="1" t="n">
        <v>45904</v>
      </c>
      <c r="D305" t="inlineStr">
        <is>
          <t>DALARNAS LÄN</t>
        </is>
      </c>
      <c r="E305" t="inlineStr">
        <is>
          <t>VANSBRO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380-2024</t>
        </is>
      </c>
      <c r="B306" s="1" t="n">
        <v>45296.36752314815</v>
      </c>
      <c r="C306" s="1" t="n">
        <v>45904</v>
      </c>
      <c r="D306" t="inlineStr">
        <is>
          <t>DALARNAS LÄN</t>
        </is>
      </c>
      <c r="E306" t="inlineStr">
        <is>
          <t>VANSBRO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24077-2021</t>
        </is>
      </c>
      <c r="B307" s="1" t="n">
        <v>44336</v>
      </c>
      <c r="C307" s="1" t="n">
        <v>45904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öst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34303-2025</t>
        </is>
      </c>
      <c r="B308" s="1" t="n">
        <v>45846.35042824074</v>
      </c>
      <c r="C308" s="1" t="n">
        <v>45904</v>
      </c>
      <c r="D308" t="inlineStr">
        <is>
          <t>DALARNAS LÄN</t>
        </is>
      </c>
      <c r="E308" t="inlineStr">
        <is>
          <t>VANSBRO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39077-2025</t>
        </is>
      </c>
      <c r="B309" s="1" t="n">
        <v>45888.47853009259</v>
      </c>
      <c r="C309" s="1" t="n">
        <v>45904</v>
      </c>
      <c r="D309" t="inlineStr">
        <is>
          <t>DALARNAS LÄN</t>
        </is>
      </c>
      <c r="E309" t="inlineStr">
        <is>
          <t>VANSBRO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39201-2025</t>
        </is>
      </c>
      <c r="B310" s="1" t="n">
        <v>45888.71024305555</v>
      </c>
      <c r="C310" s="1" t="n">
        <v>45904</v>
      </c>
      <c r="D310" t="inlineStr">
        <is>
          <t>DALARNAS LÄN</t>
        </is>
      </c>
      <c r="E310" t="inlineStr">
        <is>
          <t>VANSBRO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34283-2025</t>
        </is>
      </c>
      <c r="B311" s="1" t="n">
        <v>45846.32387731481</v>
      </c>
      <c r="C311" s="1" t="n">
        <v>45904</v>
      </c>
      <c r="D311" t="inlineStr">
        <is>
          <t>DALARNAS LÄN</t>
        </is>
      </c>
      <c r="E311" t="inlineStr">
        <is>
          <t>VANSBRO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44990-2024</t>
        </is>
      </c>
      <c r="B312" s="1" t="n">
        <v>45575.47936342593</v>
      </c>
      <c r="C312" s="1" t="n">
        <v>45904</v>
      </c>
      <c r="D312" t="inlineStr">
        <is>
          <t>DALARNAS LÄN</t>
        </is>
      </c>
      <c r="E312" t="inlineStr">
        <is>
          <t>VANSBRO</t>
        </is>
      </c>
      <c r="G312" t="n">
        <v>13.9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34440-2025</t>
        </is>
      </c>
      <c r="B313" s="1" t="n">
        <v>45846.69233796297</v>
      </c>
      <c r="C313" s="1" t="n">
        <v>45904</v>
      </c>
      <c r="D313" t="inlineStr">
        <is>
          <t>DALARNAS LÄN</t>
        </is>
      </c>
      <c r="E313" t="inlineStr">
        <is>
          <t>VANSBRO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20419-2025</t>
        </is>
      </c>
      <c r="B314" s="1" t="n">
        <v>45775.46444444444</v>
      </c>
      <c r="C314" s="1" t="n">
        <v>45904</v>
      </c>
      <c r="D314" t="inlineStr">
        <is>
          <t>DALARNAS LÄN</t>
        </is>
      </c>
      <c r="E314" t="inlineStr">
        <is>
          <t>VANSBRO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39173-2025</t>
        </is>
      </c>
      <c r="B315" s="1" t="n">
        <v>45888.65284722222</v>
      </c>
      <c r="C315" s="1" t="n">
        <v>45904</v>
      </c>
      <c r="D315" t="inlineStr">
        <is>
          <t>DALARNAS LÄN</t>
        </is>
      </c>
      <c r="E315" t="inlineStr">
        <is>
          <t>VANSBRO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39177-2025</t>
        </is>
      </c>
      <c r="B316" s="1" t="n">
        <v>45888.65797453704</v>
      </c>
      <c r="C316" s="1" t="n">
        <v>45904</v>
      </c>
      <c r="D316" t="inlineStr">
        <is>
          <t>DALARNAS LÄN</t>
        </is>
      </c>
      <c r="E316" t="inlineStr">
        <is>
          <t>VANSBRO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39179-2025</t>
        </is>
      </c>
      <c r="B317" s="1" t="n">
        <v>45888.6600925926</v>
      </c>
      <c r="C317" s="1" t="n">
        <v>45904</v>
      </c>
      <c r="D317" t="inlineStr">
        <is>
          <t>DALARNAS LÄN</t>
        </is>
      </c>
      <c r="E317" t="inlineStr">
        <is>
          <t>VANSBRO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34293-2025</t>
        </is>
      </c>
      <c r="B318" s="1" t="n">
        <v>45846.34346064815</v>
      </c>
      <c r="C318" s="1" t="n">
        <v>45904</v>
      </c>
      <c r="D318" t="inlineStr">
        <is>
          <t>DALARNAS LÄN</t>
        </is>
      </c>
      <c r="E318" t="inlineStr">
        <is>
          <t>VANSBRO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16747-2025</t>
        </is>
      </c>
      <c r="B319" s="1" t="n">
        <v>45754</v>
      </c>
      <c r="C319" s="1" t="n">
        <v>45904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14057-2023</t>
        </is>
      </c>
      <c r="B320" s="1" t="n">
        <v>45008.82340277778</v>
      </c>
      <c r="C320" s="1" t="n">
        <v>45904</v>
      </c>
      <c r="D320" t="inlineStr">
        <is>
          <t>DALARNAS LÄN</t>
        </is>
      </c>
      <c r="E320" t="inlineStr">
        <is>
          <t>VANSBRO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54413-2024</t>
        </is>
      </c>
      <c r="B321" s="1" t="n">
        <v>45617.47939814815</v>
      </c>
      <c r="C321" s="1" t="n">
        <v>45904</v>
      </c>
      <c r="D321" t="inlineStr">
        <is>
          <t>DALARNAS LÄN</t>
        </is>
      </c>
      <c r="E321" t="inlineStr">
        <is>
          <t>VANSBRO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22756-2024</t>
        </is>
      </c>
      <c r="B322" s="1" t="n">
        <v>45448.42597222222</v>
      </c>
      <c r="C322" s="1" t="n">
        <v>45904</v>
      </c>
      <c r="D322" t="inlineStr">
        <is>
          <t>DALARNAS LÄN</t>
        </is>
      </c>
      <c r="E322" t="inlineStr">
        <is>
          <t>VANSBRO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39502-2025</t>
        </is>
      </c>
      <c r="B323" s="1" t="n">
        <v>45890.4027662037</v>
      </c>
      <c r="C323" s="1" t="n">
        <v>45904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39490-2025</t>
        </is>
      </c>
      <c r="B324" s="1" t="n">
        <v>45890.37231481481</v>
      </c>
      <c r="C324" s="1" t="n">
        <v>45904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9437-2024</t>
        </is>
      </c>
      <c r="B325" s="1" t="n">
        <v>45359.4921875</v>
      </c>
      <c r="C325" s="1" t="n">
        <v>45904</v>
      </c>
      <c r="D325" t="inlineStr">
        <is>
          <t>DALARNAS LÄN</t>
        </is>
      </c>
      <c r="E325" t="inlineStr">
        <is>
          <t>VANSBRO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39609-2025</t>
        </is>
      </c>
      <c r="B326" s="1" t="n">
        <v>45890</v>
      </c>
      <c r="C326" s="1" t="n">
        <v>45904</v>
      </c>
      <c r="D326" t="inlineStr">
        <is>
          <t>DALARNAS LÄN</t>
        </is>
      </c>
      <c r="E326" t="inlineStr">
        <is>
          <t>VANSBRO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53236-2020</t>
        </is>
      </c>
      <c r="B327" s="1" t="n">
        <v>44123</v>
      </c>
      <c r="C327" s="1" t="n">
        <v>45904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8076-2025</t>
        </is>
      </c>
      <c r="B328" s="1" t="n">
        <v>45707.65648148148</v>
      </c>
      <c r="C328" s="1" t="n">
        <v>45904</v>
      </c>
      <c r="D328" t="inlineStr">
        <is>
          <t>DALARNAS LÄN</t>
        </is>
      </c>
      <c r="E328" t="inlineStr">
        <is>
          <t>VANSBRO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61646-2024</t>
        </is>
      </c>
      <c r="B329" s="1" t="n">
        <v>45646</v>
      </c>
      <c r="C329" s="1" t="n">
        <v>45904</v>
      </c>
      <c r="D329" t="inlineStr">
        <is>
          <t>DALARNAS LÄN</t>
        </is>
      </c>
      <c r="E329" t="inlineStr">
        <is>
          <t>VANSBRO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13341-2025</t>
        </is>
      </c>
      <c r="B330" s="1" t="n">
        <v>45735.62751157407</v>
      </c>
      <c r="C330" s="1" t="n">
        <v>45904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55942-2023</t>
        </is>
      </c>
      <c r="B331" s="1" t="n">
        <v>45240.30758101852</v>
      </c>
      <c r="C331" s="1" t="n">
        <v>45904</v>
      </c>
      <c r="D331" t="inlineStr">
        <is>
          <t>DALARNAS LÄN</t>
        </is>
      </c>
      <c r="E331" t="inlineStr">
        <is>
          <t>VANSBRO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5386-2024</t>
        </is>
      </c>
      <c r="B332" s="1" t="n">
        <v>45331</v>
      </c>
      <c r="C332" s="1" t="n">
        <v>45904</v>
      </c>
      <c r="D332" t="inlineStr">
        <is>
          <t>DALARNAS LÄN</t>
        </is>
      </c>
      <c r="E332" t="inlineStr">
        <is>
          <t>VANSBRO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37970-2022</t>
        </is>
      </c>
      <c r="B333" s="1" t="n">
        <v>44811.51353009259</v>
      </c>
      <c r="C333" s="1" t="n">
        <v>45904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40884-2025</t>
        </is>
      </c>
      <c r="B334" s="1" t="n">
        <v>45897.60113425926</v>
      </c>
      <c r="C334" s="1" t="n">
        <v>45904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59435-2023</t>
        </is>
      </c>
      <c r="B335" s="1" t="n">
        <v>45254.30815972222</v>
      </c>
      <c r="C335" s="1" t="n">
        <v>45904</v>
      </c>
      <c r="D335" t="inlineStr">
        <is>
          <t>DALARNAS LÄN</t>
        </is>
      </c>
      <c r="E335" t="inlineStr">
        <is>
          <t>VANSBRO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39484-2025</t>
        </is>
      </c>
      <c r="B336" s="1" t="n">
        <v>45890</v>
      </c>
      <c r="C336" s="1" t="n">
        <v>45904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12929-2025</t>
        </is>
      </c>
      <c r="B337" s="1" t="n">
        <v>45734.33065972223</v>
      </c>
      <c r="C337" s="1" t="n">
        <v>45904</v>
      </c>
      <c r="D337" t="inlineStr">
        <is>
          <t>DALARNAS LÄN</t>
        </is>
      </c>
      <c r="E337" t="inlineStr">
        <is>
          <t>VANSBRO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40272-2025</t>
        </is>
      </c>
      <c r="B338" s="1" t="n">
        <v>45895</v>
      </c>
      <c r="C338" s="1" t="n">
        <v>45904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555-2023</t>
        </is>
      </c>
      <c r="B339" s="1" t="n">
        <v>44930.47913194444</v>
      </c>
      <c r="C339" s="1" t="n">
        <v>45904</v>
      </c>
      <c r="D339" t="inlineStr">
        <is>
          <t>DALARNAS LÄN</t>
        </is>
      </c>
      <c r="E339" t="inlineStr">
        <is>
          <t>VANSBRO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61717-2023</t>
        </is>
      </c>
      <c r="B340" s="1" t="n">
        <v>45265.67287037037</v>
      </c>
      <c r="C340" s="1" t="n">
        <v>45904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30024-2023</t>
        </is>
      </c>
      <c r="B341" s="1" t="n">
        <v>45110</v>
      </c>
      <c r="C341" s="1" t="n">
        <v>45904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35284-2025</t>
        </is>
      </c>
      <c r="B342" s="1" t="n">
        <v>45854.36267361111</v>
      </c>
      <c r="C342" s="1" t="n">
        <v>45904</v>
      </c>
      <c r="D342" t="inlineStr">
        <is>
          <t>DALARNAS LÄN</t>
        </is>
      </c>
      <c r="E342" t="inlineStr">
        <is>
          <t>VANSBRO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21418-2023</t>
        </is>
      </c>
      <c r="B343" s="1" t="n">
        <v>45063</v>
      </c>
      <c r="C343" s="1" t="n">
        <v>45904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5019-2025</t>
        </is>
      </c>
      <c r="B344" s="1" t="n">
        <v>45691.39211805556</v>
      </c>
      <c r="C344" s="1" t="n">
        <v>45904</v>
      </c>
      <c r="D344" t="inlineStr">
        <is>
          <t>DALARNAS LÄN</t>
        </is>
      </c>
      <c r="E344" t="inlineStr">
        <is>
          <t>VANSBRO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17366-2025</t>
        </is>
      </c>
      <c r="B345" s="1" t="n">
        <v>45756.78645833334</v>
      </c>
      <c r="C345" s="1" t="n">
        <v>45904</v>
      </c>
      <c r="D345" t="inlineStr">
        <is>
          <t>DALARNAS LÄN</t>
        </is>
      </c>
      <c r="E345" t="inlineStr">
        <is>
          <t>VANSBRO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27080-2024</t>
        </is>
      </c>
      <c r="B346" s="1" t="n">
        <v>45471.47335648148</v>
      </c>
      <c r="C346" s="1" t="n">
        <v>45904</v>
      </c>
      <c r="D346" t="inlineStr">
        <is>
          <t>DALARNAS LÄN</t>
        </is>
      </c>
      <c r="E346" t="inlineStr">
        <is>
          <t>VANSBRO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44880.59405092592</v>
      </c>
      <c r="C347" s="1" t="n">
        <v>45904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2832-2025</t>
        </is>
      </c>
      <c r="B348" s="1" t="n">
        <v>45677.63202546296</v>
      </c>
      <c r="C348" s="1" t="n">
        <v>45904</v>
      </c>
      <c r="D348" t="inlineStr">
        <is>
          <t>DALARNAS LÄN</t>
        </is>
      </c>
      <c r="E348" t="inlineStr">
        <is>
          <t>VANSBRO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41785-2025</t>
        </is>
      </c>
      <c r="B349" s="1" t="n">
        <v>45902.58972222222</v>
      </c>
      <c r="C349" s="1" t="n">
        <v>45904</v>
      </c>
      <c r="D349" t="inlineStr">
        <is>
          <t>DALARNAS LÄN</t>
        </is>
      </c>
      <c r="E349" t="inlineStr">
        <is>
          <t>VANSBRO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35782-2025</t>
        </is>
      </c>
      <c r="B350" s="1" t="n">
        <v>45860.73835648148</v>
      </c>
      <c r="C350" s="1" t="n">
        <v>45904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41710-2025</t>
        </is>
      </c>
      <c r="B351" s="1" t="n">
        <v>45902.43103009259</v>
      </c>
      <c r="C351" s="1" t="n">
        <v>45904</v>
      </c>
      <c r="D351" t="inlineStr">
        <is>
          <t>DALARNAS LÄN</t>
        </is>
      </c>
      <c r="E351" t="inlineStr">
        <is>
          <t>VANSBRO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42824-2023</t>
        </is>
      </c>
      <c r="B352" s="1" t="n">
        <v>45182.36759259259</v>
      </c>
      <c r="C352" s="1" t="n">
        <v>45904</v>
      </c>
      <c r="D352" t="inlineStr">
        <is>
          <t>DALARNAS LÄN</t>
        </is>
      </c>
      <c r="E352" t="inlineStr">
        <is>
          <t>VANSBRO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10419-2021</t>
        </is>
      </c>
      <c r="B353" s="1" t="n">
        <v>44257</v>
      </c>
      <c r="C353" s="1" t="n">
        <v>45904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11485-2024</t>
        </is>
      </c>
      <c r="B354" s="1" t="n">
        <v>45372</v>
      </c>
      <c r="C354" s="1" t="n">
        <v>45904</v>
      </c>
      <c r="D354" t="inlineStr">
        <is>
          <t>DALARNAS LÄN</t>
        </is>
      </c>
      <c r="E354" t="inlineStr">
        <is>
          <t>VANSBRO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21966-2024</t>
        </is>
      </c>
      <c r="B355" s="1" t="n">
        <v>45443.5037037037</v>
      </c>
      <c r="C355" s="1" t="n">
        <v>45904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4954-2025</t>
        </is>
      </c>
      <c r="B356" s="1" t="n">
        <v>45689.53123842592</v>
      </c>
      <c r="C356" s="1" t="n">
        <v>45904</v>
      </c>
      <c r="D356" t="inlineStr">
        <is>
          <t>DALARNAS LÄN</t>
        </is>
      </c>
      <c r="E356" t="inlineStr">
        <is>
          <t>VANSBRO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43570-2023</t>
        </is>
      </c>
      <c r="B357" s="1" t="n">
        <v>45184.59045138889</v>
      </c>
      <c r="C357" s="1" t="n">
        <v>45904</v>
      </c>
      <c r="D357" t="inlineStr">
        <is>
          <t>DALARNAS LÄN</t>
        </is>
      </c>
      <c r="E357" t="inlineStr">
        <is>
          <t>VANSBRO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24481-2023</t>
        </is>
      </c>
      <c r="B358" s="1" t="n">
        <v>45082</v>
      </c>
      <c r="C358" s="1" t="n">
        <v>45904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32820-2024</t>
        </is>
      </c>
      <c r="B359" s="1" t="n">
        <v>45516</v>
      </c>
      <c r="C359" s="1" t="n">
        <v>45904</v>
      </c>
      <c r="D359" t="inlineStr">
        <is>
          <t>DALARNAS LÄN</t>
        </is>
      </c>
      <c r="E359" t="inlineStr">
        <is>
          <t>VANSBRO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34893-2024</t>
        </is>
      </c>
      <c r="B360" s="1" t="n">
        <v>45527.36696759259</v>
      </c>
      <c r="C360" s="1" t="n">
        <v>45904</v>
      </c>
      <c r="D360" t="inlineStr">
        <is>
          <t>DALARNAS LÄN</t>
        </is>
      </c>
      <c r="E360" t="inlineStr">
        <is>
          <t>VANSBRO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35365-2022</t>
        </is>
      </c>
      <c r="B361" s="1" t="n">
        <v>44798</v>
      </c>
      <c r="C361" s="1" t="n">
        <v>45904</v>
      </c>
      <c r="D361" t="inlineStr">
        <is>
          <t>DALARNAS LÄN</t>
        </is>
      </c>
      <c r="E361" t="inlineStr">
        <is>
          <t>VANSBRO</t>
        </is>
      </c>
      <c r="F361" t="inlineStr">
        <is>
          <t>Kommuner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50741-2022</t>
        </is>
      </c>
      <c r="B362" s="1" t="n">
        <v>44867.38975694445</v>
      </c>
      <c r="C362" s="1" t="n">
        <v>45904</v>
      </c>
      <c r="D362" t="inlineStr">
        <is>
          <t>DALARNAS LÄN</t>
        </is>
      </c>
      <c r="E362" t="inlineStr">
        <is>
          <t>VANSBRO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43589-2022</t>
        </is>
      </c>
      <c r="B363" s="1" t="n">
        <v>44837</v>
      </c>
      <c r="C363" s="1" t="n">
        <v>45904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57810-2023</t>
        </is>
      </c>
      <c r="B364" s="1" t="n">
        <v>45247.33710648148</v>
      </c>
      <c r="C364" s="1" t="n">
        <v>45904</v>
      </c>
      <c r="D364" t="inlineStr">
        <is>
          <t>DALARNAS LÄN</t>
        </is>
      </c>
      <c r="E364" t="inlineStr">
        <is>
          <t>VANSBRO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49921-2023</t>
        </is>
      </c>
      <c r="B365" s="1" t="n">
        <v>45214.84159722222</v>
      </c>
      <c r="C365" s="1" t="n">
        <v>45904</v>
      </c>
      <c r="D365" t="inlineStr">
        <is>
          <t>DALARNAS LÄN</t>
        </is>
      </c>
      <c r="E365" t="inlineStr">
        <is>
          <t>VANSBRO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16823-2025</t>
        </is>
      </c>
      <c r="B366" s="1" t="n">
        <v>45754.64412037037</v>
      </c>
      <c r="C366" s="1" t="n">
        <v>45904</v>
      </c>
      <c r="D366" t="inlineStr">
        <is>
          <t>DALARNAS LÄN</t>
        </is>
      </c>
      <c r="E366" t="inlineStr">
        <is>
          <t>VANSBRO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16828-2025</t>
        </is>
      </c>
      <c r="B367" s="1" t="n">
        <v>45754.65523148148</v>
      </c>
      <c r="C367" s="1" t="n">
        <v>45904</v>
      </c>
      <c r="D367" t="inlineStr">
        <is>
          <t>DALARNAS LÄN</t>
        </is>
      </c>
      <c r="E367" t="inlineStr">
        <is>
          <t>VANSBRO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17807-2022</t>
        </is>
      </c>
      <c r="B368" s="1" t="n">
        <v>44673</v>
      </c>
      <c r="C368" s="1" t="n">
        <v>45904</v>
      </c>
      <c r="D368" t="inlineStr">
        <is>
          <t>DALARNAS LÄN</t>
        </is>
      </c>
      <c r="E368" t="inlineStr">
        <is>
          <t>VANSBRO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7864-2024</t>
        </is>
      </c>
      <c r="B369" s="1" t="n">
        <v>45350.31621527778</v>
      </c>
      <c r="C369" s="1" t="n">
        <v>45904</v>
      </c>
      <c r="D369" t="inlineStr">
        <is>
          <t>DALARNAS LÄN</t>
        </is>
      </c>
      <c r="E369" t="inlineStr">
        <is>
          <t>VANSBRO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56129-2023</t>
        </is>
      </c>
      <c r="B370" s="1" t="n">
        <v>45240.58174768519</v>
      </c>
      <c r="C370" s="1" t="n">
        <v>45904</v>
      </c>
      <c r="D370" t="inlineStr">
        <is>
          <t>DALARNAS LÄN</t>
        </is>
      </c>
      <c r="E370" t="inlineStr">
        <is>
          <t>VANSBRO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33520-2024</t>
        </is>
      </c>
      <c r="B371" s="1" t="n">
        <v>45519.65722222222</v>
      </c>
      <c r="C371" s="1" t="n">
        <v>45904</v>
      </c>
      <c r="D371" t="inlineStr">
        <is>
          <t>DALARNAS LÄN</t>
        </is>
      </c>
      <c r="E371" t="inlineStr">
        <is>
          <t>VANSBRO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54159-2022</t>
        </is>
      </c>
      <c r="B372" s="1" t="n">
        <v>44881</v>
      </c>
      <c r="C372" s="1" t="n">
        <v>45904</v>
      </c>
      <c r="D372" t="inlineStr">
        <is>
          <t>DALARNAS LÄN</t>
        </is>
      </c>
      <c r="E372" t="inlineStr">
        <is>
          <t>VANSBRO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51606-2023</t>
        </is>
      </c>
      <c r="B373" s="1" t="n">
        <v>45222.49092592593</v>
      </c>
      <c r="C373" s="1" t="n">
        <v>45904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50258-2024</t>
        </is>
      </c>
      <c r="B374" s="1" t="n">
        <v>45600.58436342593</v>
      </c>
      <c r="C374" s="1" t="n">
        <v>45904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45.8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55905-2024</t>
        </is>
      </c>
      <c r="B375" s="1" t="n">
        <v>45623.58370370371</v>
      </c>
      <c r="C375" s="1" t="n">
        <v>45904</v>
      </c>
      <c r="D375" t="inlineStr">
        <is>
          <t>DALARNAS LÄN</t>
        </is>
      </c>
      <c r="E375" t="inlineStr">
        <is>
          <t>VANSBRO</t>
        </is>
      </c>
      <c r="G375" t="n">
        <v>26.9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48005-2022</t>
        </is>
      </c>
      <c r="B376" s="1" t="n">
        <v>44855.65384259259</v>
      </c>
      <c r="C376" s="1" t="n">
        <v>45904</v>
      </c>
      <c r="D376" t="inlineStr">
        <is>
          <t>DALARNAS LÄN</t>
        </is>
      </c>
      <c r="E376" t="inlineStr">
        <is>
          <t>VANSBRO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33837-2024</t>
        </is>
      </c>
      <c r="B377" s="1" t="n">
        <v>45520</v>
      </c>
      <c r="C377" s="1" t="n">
        <v>45904</v>
      </c>
      <c r="D377" t="inlineStr">
        <is>
          <t>DALARNAS LÄN</t>
        </is>
      </c>
      <c r="E377" t="inlineStr">
        <is>
          <t>VANSBRO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40360-2023</t>
        </is>
      </c>
      <c r="B378" s="1" t="n">
        <v>45169.66387731482</v>
      </c>
      <c r="C378" s="1" t="n">
        <v>45904</v>
      </c>
      <c r="D378" t="inlineStr">
        <is>
          <t>DALARNAS LÄN</t>
        </is>
      </c>
      <c r="E378" t="inlineStr">
        <is>
          <t>VANSBRO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35780-2024</t>
        </is>
      </c>
      <c r="B379" s="1" t="n">
        <v>45532</v>
      </c>
      <c r="C379" s="1" t="n">
        <v>45904</v>
      </c>
      <c r="D379" t="inlineStr">
        <is>
          <t>DALARNAS LÄN</t>
        </is>
      </c>
      <c r="E379" t="inlineStr">
        <is>
          <t>VANSBRO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35943-2024</t>
        </is>
      </c>
      <c r="B380" s="1" t="n">
        <v>45533.45655092593</v>
      </c>
      <c r="C380" s="1" t="n">
        <v>45904</v>
      </c>
      <c r="D380" t="inlineStr">
        <is>
          <t>DALARNAS LÄN</t>
        </is>
      </c>
      <c r="E380" t="inlineStr">
        <is>
          <t>VANSBRO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56773-2023</t>
        </is>
      </c>
      <c r="B381" s="1" t="n">
        <v>45244.41140046297</v>
      </c>
      <c r="C381" s="1" t="n">
        <v>45904</v>
      </c>
      <c r="D381" t="inlineStr">
        <is>
          <t>DALARNAS LÄN</t>
        </is>
      </c>
      <c r="E381" t="inlineStr">
        <is>
          <t>VANSBRO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60031-2022</t>
        </is>
      </c>
      <c r="B382" s="1" t="n">
        <v>44909</v>
      </c>
      <c r="C382" s="1" t="n">
        <v>45904</v>
      </c>
      <c r="D382" t="inlineStr">
        <is>
          <t>DALARNAS LÄN</t>
        </is>
      </c>
      <c r="E382" t="inlineStr">
        <is>
          <t>VANSBRO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921-2025</t>
        </is>
      </c>
      <c r="B383" s="1" t="n">
        <v>45665</v>
      </c>
      <c r="C383" s="1" t="n">
        <v>45904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57735-2024</t>
        </is>
      </c>
      <c r="B384" s="1" t="n">
        <v>45630.72998842593</v>
      </c>
      <c r="C384" s="1" t="n">
        <v>45904</v>
      </c>
      <c r="D384" t="inlineStr">
        <is>
          <t>DALARNAS LÄN</t>
        </is>
      </c>
      <c r="E384" t="inlineStr">
        <is>
          <t>VANSBRO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57737-2024</t>
        </is>
      </c>
      <c r="B385" s="1" t="n">
        <v>45630.74299768519</v>
      </c>
      <c r="C385" s="1" t="n">
        <v>45904</v>
      </c>
      <c r="D385" t="inlineStr">
        <is>
          <t>DALARNAS LÄN</t>
        </is>
      </c>
      <c r="E385" t="inlineStr">
        <is>
          <t>VANSBRO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44980.64003472222</v>
      </c>
      <c r="C386" s="1" t="n">
        <v>45904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5420-2024</t>
        </is>
      </c>
      <c r="B387" s="1" t="n">
        <v>45331</v>
      </c>
      <c r="C387" s="1" t="n">
        <v>45904</v>
      </c>
      <c r="D387" t="inlineStr">
        <is>
          <t>DALARNAS LÄN</t>
        </is>
      </c>
      <c r="E387" t="inlineStr">
        <is>
          <t>VANSBRO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23432-2024</t>
        </is>
      </c>
      <c r="B388" s="1" t="n">
        <v>45453.61982638889</v>
      </c>
      <c r="C388" s="1" t="n">
        <v>45904</v>
      </c>
      <c r="D388" t="inlineStr">
        <is>
          <t>DALARNAS LÄN</t>
        </is>
      </c>
      <c r="E388" t="inlineStr">
        <is>
          <t>VANSBRO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59600-2023</t>
        </is>
      </c>
      <c r="B389" s="1" t="n">
        <v>45254.62652777778</v>
      </c>
      <c r="C389" s="1" t="n">
        <v>45904</v>
      </c>
      <c r="D389" t="inlineStr">
        <is>
          <t>DALARNAS LÄN</t>
        </is>
      </c>
      <c r="E389" t="inlineStr">
        <is>
          <t>VANSBRO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11274-2024</t>
        </is>
      </c>
      <c r="B390" s="1" t="n">
        <v>45371</v>
      </c>
      <c r="C390" s="1" t="n">
        <v>45904</v>
      </c>
      <c r="D390" t="inlineStr">
        <is>
          <t>DALARNAS LÄN</t>
        </is>
      </c>
      <c r="E390" t="inlineStr">
        <is>
          <t>VANSBRO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625-2023</t>
        </is>
      </c>
      <c r="B391" s="1" t="n">
        <v>44930.61575231481</v>
      </c>
      <c r="C391" s="1" t="n">
        <v>45904</v>
      </c>
      <c r="D391" t="inlineStr">
        <is>
          <t>DALARNAS LÄN</t>
        </is>
      </c>
      <c r="E391" t="inlineStr">
        <is>
          <t>VANSBRO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18497-2024</t>
        </is>
      </c>
      <c r="B392" s="1" t="n">
        <v>45425.56932870371</v>
      </c>
      <c r="C392" s="1" t="n">
        <v>45904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56986-2023</t>
        </is>
      </c>
      <c r="B393" s="1" t="n">
        <v>45244</v>
      </c>
      <c r="C393" s="1" t="n">
        <v>45904</v>
      </c>
      <c r="D393" t="inlineStr">
        <is>
          <t>DALARNAS LÄN</t>
        </is>
      </c>
      <c r="E393" t="inlineStr">
        <is>
          <t>VANSBRO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57903-2024</t>
        </is>
      </c>
      <c r="B394" s="1" t="n">
        <v>45631.48559027778</v>
      </c>
      <c r="C394" s="1" t="n">
        <v>45904</v>
      </c>
      <c r="D394" t="inlineStr">
        <is>
          <t>DALARNAS LÄN</t>
        </is>
      </c>
      <c r="E394" t="inlineStr">
        <is>
          <t>VANSBRO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37878-2023</t>
        </is>
      </c>
      <c r="B395" s="1" t="n">
        <v>45160.43616898148</v>
      </c>
      <c r="C395" s="1" t="n">
        <v>45904</v>
      </c>
      <c r="D395" t="inlineStr">
        <is>
          <t>DALARNAS LÄN</t>
        </is>
      </c>
      <c r="E395" t="inlineStr">
        <is>
          <t>VANSBRO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55570-2023</t>
        </is>
      </c>
      <c r="B396" s="1" t="n">
        <v>45238.65434027778</v>
      </c>
      <c r="C396" s="1" t="n">
        <v>45904</v>
      </c>
      <c r="D396" t="inlineStr">
        <is>
          <t>DALARNAS LÄN</t>
        </is>
      </c>
      <c r="E396" t="inlineStr">
        <is>
          <t>VANSBRO</t>
        </is>
      </c>
      <c r="F396" t="inlineStr">
        <is>
          <t>Övriga statliga verk och myndigheter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7142-2023</t>
        </is>
      </c>
      <c r="B397" s="1" t="n">
        <v>44970.44603009259</v>
      </c>
      <c r="C397" s="1" t="n">
        <v>45904</v>
      </c>
      <c r="D397" t="inlineStr">
        <is>
          <t>DALARNAS LÄN</t>
        </is>
      </c>
      <c r="E397" t="inlineStr">
        <is>
          <t>VANSBRO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55271-2020</t>
        </is>
      </c>
      <c r="B398" s="1" t="n">
        <v>44130</v>
      </c>
      <c r="C398" s="1" t="n">
        <v>45904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20189-2025</t>
        </is>
      </c>
      <c r="B399" s="1" t="n">
        <v>45772.59885416667</v>
      </c>
      <c r="C399" s="1" t="n">
        <v>45904</v>
      </c>
      <c r="D399" t="inlineStr">
        <is>
          <t>DALARNAS LÄN</t>
        </is>
      </c>
      <c r="E399" t="inlineStr">
        <is>
          <t>VANSBRO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13327-2025</t>
        </is>
      </c>
      <c r="B400" s="1" t="n">
        <v>45735.60324074074</v>
      </c>
      <c r="C400" s="1" t="n">
        <v>45904</v>
      </c>
      <c r="D400" t="inlineStr">
        <is>
          <t>DALARNAS LÄN</t>
        </is>
      </c>
      <c r="E400" t="inlineStr">
        <is>
          <t>VANSBRO</t>
        </is>
      </c>
      <c r="F400" t="inlineStr">
        <is>
          <t>Kommuner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32471-2024</t>
        </is>
      </c>
      <c r="B401" s="1" t="n">
        <v>45513.28902777778</v>
      </c>
      <c r="C401" s="1" t="n">
        <v>45904</v>
      </c>
      <c r="D401" t="inlineStr">
        <is>
          <t>DALARNAS LÄN</t>
        </is>
      </c>
      <c r="E401" t="inlineStr">
        <is>
          <t>VANSBRO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49412-2024</t>
        </is>
      </c>
      <c r="B402" s="1" t="n">
        <v>45595.69030092593</v>
      </c>
      <c r="C402" s="1" t="n">
        <v>45904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5581-2023</t>
        </is>
      </c>
      <c r="B403" s="1" t="n">
        <v>44960.50465277778</v>
      </c>
      <c r="C403" s="1" t="n">
        <v>45904</v>
      </c>
      <c r="D403" t="inlineStr">
        <is>
          <t>DALARNAS LÄN</t>
        </is>
      </c>
      <c r="E403" t="inlineStr">
        <is>
          <t>VANSBRO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57906-2024</t>
        </is>
      </c>
      <c r="B404" s="1" t="n">
        <v>45631.49017361111</v>
      </c>
      <c r="C404" s="1" t="n">
        <v>45904</v>
      </c>
      <c r="D404" t="inlineStr">
        <is>
          <t>DALARNAS LÄN</t>
        </is>
      </c>
      <c r="E404" t="inlineStr">
        <is>
          <t>VANSBRO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21268-2024</t>
        </is>
      </c>
      <c r="B405" s="1" t="n">
        <v>45440.64032407408</v>
      </c>
      <c r="C405" s="1" t="n">
        <v>45904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2190-2025</t>
        </is>
      </c>
      <c r="B406" s="1" t="n">
        <v>45673.36819444445</v>
      </c>
      <c r="C406" s="1" t="n">
        <v>45904</v>
      </c>
      <c r="D406" t="inlineStr">
        <is>
          <t>DALARNAS LÄN</t>
        </is>
      </c>
      <c r="E406" t="inlineStr">
        <is>
          <t>VANSBRO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61662-2024</t>
        </is>
      </c>
      <c r="B407" s="1" t="n">
        <v>45646.85320601852</v>
      </c>
      <c r="C407" s="1" t="n">
        <v>45904</v>
      </c>
      <c r="D407" t="inlineStr">
        <is>
          <t>DALARNAS LÄN</t>
        </is>
      </c>
      <c r="E407" t="inlineStr">
        <is>
          <t>VANSBRO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61663-2024</t>
        </is>
      </c>
      <c r="B408" s="1" t="n">
        <v>45646.86575231481</v>
      </c>
      <c r="C408" s="1" t="n">
        <v>45904</v>
      </c>
      <c r="D408" t="inlineStr">
        <is>
          <t>DALARNAS LÄN</t>
        </is>
      </c>
      <c r="E408" t="inlineStr">
        <is>
          <t>VANSBRO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21117-2024</t>
        </is>
      </c>
      <c r="B409" s="1" t="n">
        <v>45440.31517361111</v>
      </c>
      <c r="C409" s="1" t="n">
        <v>45904</v>
      </c>
      <c r="D409" t="inlineStr">
        <is>
          <t>DALARNAS LÄN</t>
        </is>
      </c>
      <c r="E409" t="inlineStr">
        <is>
          <t>VANSBRO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8694-2023</t>
        </is>
      </c>
      <c r="B410" s="1" t="n">
        <v>44972</v>
      </c>
      <c r="C410" s="1" t="n">
        <v>45904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53775-2024</t>
        </is>
      </c>
      <c r="B411" s="1" t="n">
        <v>45614</v>
      </c>
      <c r="C411" s="1" t="n">
        <v>45904</v>
      </c>
      <c r="D411" t="inlineStr">
        <is>
          <t>DALARNAS LÄN</t>
        </is>
      </c>
      <c r="E411" t="inlineStr">
        <is>
          <t>VANSBRO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56385-2024</t>
        </is>
      </c>
      <c r="B412" s="1" t="n">
        <v>45625.34310185185</v>
      </c>
      <c r="C412" s="1" t="n">
        <v>45904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57947-2023</t>
        </is>
      </c>
      <c r="B413" s="1" t="n">
        <v>45247.5615625</v>
      </c>
      <c r="C413" s="1" t="n">
        <v>45904</v>
      </c>
      <c r="D413" t="inlineStr">
        <is>
          <t>DALARNAS LÄN</t>
        </is>
      </c>
      <c r="E413" t="inlineStr">
        <is>
          <t>VANSBRO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20185-2025</t>
        </is>
      </c>
      <c r="B414" s="1" t="n">
        <v>45772.59590277778</v>
      </c>
      <c r="C414" s="1" t="n">
        <v>45904</v>
      </c>
      <c r="D414" t="inlineStr">
        <is>
          <t>DALARNAS LÄN</t>
        </is>
      </c>
      <c r="E414" t="inlineStr">
        <is>
          <t>VANSBRO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33829-2024</t>
        </is>
      </c>
      <c r="B415" s="1" t="n">
        <v>45520</v>
      </c>
      <c r="C415" s="1" t="n">
        <v>45904</v>
      </c>
      <c r="D415" t="inlineStr">
        <is>
          <t>DALARNAS LÄN</t>
        </is>
      </c>
      <c r="E415" t="inlineStr">
        <is>
          <t>VANSBRO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757-2023</t>
        </is>
      </c>
      <c r="B416" s="1" t="n">
        <v>44931.36844907407</v>
      </c>
      <c r="C416" s="1" t="n">
        <v>45904</v>
      </c>
      <c r="D416" t="inlineStr">
        <is>
          <t>DALARNAS LÄN</t>
        </is>
      </c>
      <c r="E416" t="inlineStr">
        <is>
          <t>VANSBRO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9371-2025</t>
        </is>
      </c>
      <c r="B417" s="1" t="n">
        <v>45715.32804398148</v>
      </c>
      <c r="C417" s="1" t="n">
        <v>45904</v>
      </c>
      <c r="D417" t="inlineStr">
        <is>
          <t>DALARNAS LÄN</t>
        </is>
      </c>
      <c r="E417" t="inlineStr">
        <is>
          <t>VANSBRO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12728-2025</t>
        </is>
      </c>
      <c r="B418" s="1" t="n">
        <v>45733.50446759259</v>
      </c>
      <c r="C418" s="1" t="n">
        <v>45904</v>
      </c>
      <c r="D418" t="inlineStr">
        <is>
          <t>DALARNAS LÄN</t>
        </is>
      </c>
      <c r="E418" t="inlineStr">
        <is>
          <t>VANSBRO</t>
        </is>
      </c>
      <c r="G418" t="n">
        <v>15.8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50533-2024</t>
        </is>
      </c>
      <c r="B419" s="1" t="n">
        <v>45601.56724537037</v>
      </c>
      <c r="C419" s="1" t="n">
        <v>45904</v>
      </c>
      <c r="D419" t="inlineStr">
        <is>
          <t>DALARNAS LÄN</t>
        </is>
      </c>
      <c r="E419" t="inlineStr">
        <is>
          <t>VANSBRO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16836-2025</t>
        </is>
      </c>
      <c r="B420" s="1" t="n">
        <v>45754.66570601852</v>
      </c>
      <c r="C420" s="1" t="n">
        <v>45904</v>
      </c>
      <c r="D420" t="inlineStr">
        <is>
          <t>DALARNAS LÄN</t>
        </is>
      </c>
      <c r="E420" t="inlineStr">
        <is>
          <t>VANSBRO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13755-2025</t>
        </is>
      </c>
      <c r="B421" s="1" t="n">
        <v>45737.41506944445</v>
      </c>
      <c r="C421" s="1" t="n">
        <v>45904</v>
      </c>
      <c r="D421" t="inlineStr">
        <is>
          <t>DALARNAS LÄN</t>
        </is>
      </c>
      <c r="E421" t="inlineStr">
        <is>
          <t>VANSBRO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47790-2024</t>
        </is>
      </c>
      <c r="B422" s="1" t="n">
        <v>45588.595625</v>
      </c>
      <c r="C422" s="1" t="n">
        <v>45904</v>
      </c>
      <c r="D422" t="inlineStr">
        <is>
          <t>DALARNAS LÄN</t>
        </is>
      </c>
      <c r="E422" t="inlineStr">
        <is>
          <t>VANSBRO</t>
        </is>
      </c>
      <c r="F422" t="inlineStr">
        <is>
          <t>Övriga statliga verk och myndigheter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27104-2024</t>
        </is>
      </c>
      <c r="B423" s="1" t="n">
        <v>45471.49597222222</v>
      </c>
      <c r="C423" s="1" t="n">
        <v>45904</v>
      </c>
      <c r="D423" t="inlineStr">
        <is>
          <t>DALARNAS LÄN</t>
        </is>
      </c>
      <c r="E423" t="inlineStr">
        <is>
          <t>VANSBRO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17200-2024</t>
        </is>
      </c>
      <c r="B424" s="1" t="n">
        <v>45413</v>
      </c>
      <c r="C424" s="1" t="n">
        <v>45904</v>
      </c>
      <c r="D424" t="inlineStr">
        <is>
          <t>DALARNAS LÄN</t>
        </is>
      </c>
      <c r="E424" t="inlineStr">
        <is>
          <t>VANSBRO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9298-2023</t>
        </is>
      </c>
      <c r="B425" s="1" t="n">
        <v>44980.64266203704</v>
      </c>
      <c r="C425" s="1" t="n">
        <v>45904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18658-2025</t>
        </is>
      </c>
      <c r="B426" s="1" t="n">
        <v>45763.58126157407</v>
      </c>
      <c r="C426" s="1" t="n">
        <v>45904</v>
      </c>
      <c r="D426" t="inlineStr">
        <is>
          <t>DALARNAS LÄN</t>
        </is>
      </c>
      <c r="E426" t="inlineStr">
        <is>
          <t>VANSBRO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40382-2023</t>
        </is>
      </c>
      <c r="B427" s="1" t="n">
        <v>45169.86748842592</v>
      </c>
      <c r="C427" s="1" t="n">
        <v>45904</v>
      </c>
      <c r="D427" t="inlineStr">
        <is>
          <t>DALARNAS LÄN</t>
        </is>
      </c>
      <c r="E427" t="inlineStr">
        <is>
          <t>VANSBRO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30392-2024</t>
        </is>
      </c>
      <c r="B428" s="1" t="n">
        <v>45491.50755787037</v>
      </c>
      <c r="C428" s="1" t="n">
        <v>45904</v>
      </c>
      <c r="D428" t="inlineStr">
        <is>
          <t>DALARNAS LÄN</t>
        </is>
      </c>
      <c r="E428" t="inlineStr">
        <is>
          <t>VANSBRO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8447-2022</t>
        </is>
      </c>
      <c r="B429" s="1" t="n">
        <v>44612</v>
      </c>
      <c r="C429" s="1" t="n">
        <v>45904</v>
      </c>
      <c r="D429" t="inlineStr">
        <is>
          <t>DALARNAS LÄN</t>
        </is>
      </c>
      <c r="E429" t="inlineStr">
        <is>
          <t>VANSBRO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11598-2025</t>
        </is>
      </c>
      <c r="B430" s="1" t="n">
        <v>45727</v>
      </c>
      <c r="C430" s="1" t="n">
        <v>45904</v>
      </c>
      <c r="D430" t="inlineStr">
        <is>
          <t>DALARNAS LÄN</t>
        </is>
      </c>
      <c r="E430" t="inlineStr">
        <is>
          <t>VANSBRO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5017-2025</t>
        </is>
      </c>
      <c r="B431" s="1" t="n">
        <v>45691.39052083333</v>
      </c>
      <c r="C431" s="1" t="n">
        <v>45904</v>
      </c>
      <c r="D431" t="inlineStr">
        <is>
          <t>DALARNAS LÄN</t>
        </is>
      </c>
      <c r="E431" t="inlineStr">
        <is>
          <t>VANSBRO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2147-2025</t>
        </is>
      </c>
      <c r="B432" s="1" t="n">
        <v>45672.69732638889</v>
      </c>
      <c r="C432" s="1" t="n">
        <v>45904</v>
      </c>
      <c r="D432" t="inlineStr">
        <is>
          <t>DALARNAS LÄN</t>
        </is>
      </c>
      <c r="E432" t="inlineStr">
        <is>
          <t>VANSBRO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15814-2025</t>
        </is>
      </c>
      <c r="B433" s="1" t="n">
        <v>45748.66989583334</v>
      </c>
      <c r="C433" s="1" t="n">
        <v>45904</v>
      </c>
      <c r="D433" t="inlineStr">
        <is>
          <t>DALARNAS LÄN</t>
        </is>
      </c>
      <c r="E433" t="inlineStr">
        <is>
          <t>VANSBRO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3843-2024</t>
        </is>
      </c>
      <c r="B434" s="1" t="n">
        <v>45322</v>
      </c>
      <c r="C434" s="1" t="n">
        <v>45904</v>
      </c>
      <c r="D434" t="inlineStr">
        <is>
          <t>DALARNAS LÄN</t>
        </is>
      </c>
      <c r="E434" t="inlineStr">
        <is>
          <t>VANSBRO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18306-2025</t>
        </is>
      </c>
      <c r="B435" s="1" t="n">
        <v>45762</v>
      </c>
      <c r="C435" s="1" t="n">
        <v>45904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49509-2024</t>
        </is>
      </c>
      <c r="B436" s="1" t="n">
        <v>45596.3786574074</v>
      </c>
      <c r="C436" s="1" t="n">
        <v>45904</v>
      </c>
      <c r="D436" t="inlineStr">
        <is>
          <t>DALARNAS LÄN</t>
        </is>
      </c>
      <c r="E436" t="inlineStr">
        <is>
          <t>VANSBRO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10886-2025</t>
        </is>
      </c>
      <c r="B437" s="1" t="n">
        <v>45722.6621875</v>
      </c>
      <c r="C437" s="1" t="n">
        <v>45904</v>
      </c>
      <c r="D437" t="inlineStr">
        <is>
          <t>DALARNAS LÄN</t>
        </is>
      </c>
      <c r="E437" t="inlineStr">
        <is>
          <t>VANSBRO</t>
        </is>
      </c>
      <c r="G437" t="n">
        <v>15.5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6643-2025</t>
        </is>
      </c>
      <c r="B438" s="1" t="n">
        <v>45700.38591435185</v>
      </c>
      <c r="C438" s="1" t="n">
        <v>45904</v>
      </c>
      <c r="D438" t="inlineStr">
        <is>
          <t>DALARNAS LÄN</t>
        </is>
      </c>
      <c r="E438" t="inlineStr">
        <is>
          <t>VANSBRO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2086-2024</t>
        </is>
      </c>
      <c r="B439" s="1" t="n">
        <v>45309</v>
      </c>
      <c r="C439" s="1" t="n">
        <v>45904</v>
      </c>
      <c r="D439" t="inlineStr">
        <is>
          <t>DALARNAS LÄN</t>
        </is>
      </c>
      <c r="E439" t="inlineStr">
        <is>
          <t>VANSBRO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59856-2024</t>
        </is>
      </c>
      <c r="B440" s="1" t="n">
        <v>45639.71756944444</v>
      </c>
      <c r="C440" s="1" t="n">
        <v>45904</v>
      </c>
      <c r="D440" t="inlineStr">
        <is>
          <t>DALARNAS LÄN</t>
        </is>
      </c>
      <c r="E440" t="inlineStr">
        <is>
          <t>VANSBRO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45394-2023</t>
        </is>
      </c>
      <c r="B441" s="1" t="n">
        <v>45194</v>
      </c>
      <c r="C441" s="1" t="n">
        <v>45904</v>
      </c>
      <c r="D441" t="inlineStr">
        <is>
          <t>DALARNAS LÄN</t>
        </is>
      </c>
      <c r="E441" t="inlineStr">
        <is>
          <t>VANSBRO</t>
        </is>
      </c>
      <c r="G441" t="n">
        <v>19.7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2795-2025</t>
        </is>
      </c>
      <c r="B442" s="1" t="n">
        <v>45677.57335648148</v>
      </c>
      <c r="C442" s="1" t="n">
        <v>45904</v>
      </c>
      <c r="D442" t="inlineStr">
        <is>
          <t>DALARNAS LÄN</t>
        </is>
      </c>
      <c r="E442" t="inlineStr">
        <is>
          <t>VANSBRO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18304-2025</t>
        </is>
      </c>
      <c r="B443" s="1" t="n">
        <v>45762</v>
      </c>
      <c r="C443" s="1" t="n">
        <v>45904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61940-2024</t>
        </is>
      </c>
      <c r="B444" s="1" t="n">
        <v>45653</v>
      </c>
      <c r="C444" s="1" t="n">
        <v>45904</v>
      </c>
      <c r="D444" t="inlineStr">
        <is>
          <t>DALARNAS LÄN</t>
        </is>
      </c>
      <c r="E444" t="inlineStr">
        <is>
          <t>VANSBRO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61515-2022</t>
        </is>
      </c>
      <c r="B445" s="1" t="n">
        <v>44916</v>
      </c>
      <c r="C445" s="1" t="n">
        <v>45904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16826-2025</t>
        </is>
      </c>
      <c r="B446" s="1" t="n">
        <v>45754.65130787037</v>
      </c>
      <c r="C446" s="1" t="n">
        <v>45904</v>
      </c>
      <c r="D446" t="inlineStr">
        <is>
          <t>DALARNAS LÄN</t>
        </is>
      </c>
      <c r="E446" t="inlineStr">
        <is>
          <t>VANSBRO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16834-2025</t>
        </is>
      </c>
      <c r="B447" s="1" t="n">
        <v>45754.66303240741</v>
      </c>
      <c r="C447" s="1" t="n">
        <v>45904</v>
      </c>
      <c r="D447" t="inlineStr">
        <is>
          <t>DALARNAS LÄN</t>
        </is>
      </c>
      <c r="E447" t="inlineStr">
        <is>
          <t>VANSBRO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3378-2025</t>
        </is>
      </c>
      <c r="B448" s="1" t="n">
        <v>45680.33721064815</v>
      </c>
      <c r="C448" s="1" t="n">
        <v>45904</v>
      </c>
      <c r="D448" t="inlineStr">
        <is>
          <t>DALARNAS LÄN</t>
        </is>
      </c>
      <c r="E448" t="inlineStr">
        <is>
          <t>VANSBRO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40383-2023</t>
        </is>
      </c>
      <c r="B449" s="1" t="n">
        <v>45169.87157407407</v>
      </c>
      <c r="C449" s="1" t="n">
        <v>45904</v>
      </c>
      <c r="D449" t="inlineStr">
        <is>
          <t>DALARNAS LÄN</t>
        </is>
      </c>
      <c r="E449" t="inlineStr">
        <is>
          <t>VANSBRO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45567-2024</t>
        </is>
      </c>
      <c r="B450" s="1" t="n">
        <v>45579.37496527778</v>
      </c>
      <c r="C450" s="1" t="n">
        <v>45904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27089-2024</t>
        </is>
      </c>
      <c r="B451" s="1" t="n">
        <v>45471.48064814815</v>
      </c>
      <c r="C451" s="1" t="n">
        <v>45904</v>
      </c>
      <c r="D451" t="inlineStr">
        <is>
          <t>DALARNAS LÄN</t>
        </is>
      </c>
      <c r="E451" t="inlineStr">
        <is>
          <t>VANSBRO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44449-2020</t>
        </is>
      </c>
      <c r="B452" s="1" t="n">
        <v>44084</v>
      </c>
      <c r="C452" s="1" t="n">
        <v>45904</v>
      </c>
      <c r="D452" t="inlineStr">
        <is>
          <t>DALARNAS LÄN</t>
        </is>
      </c>
      <c r="E452" t="inlineStr">
        <is>
          <t>VANSBRO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63816-2021</t>
        </is>
      </c>
      <c r="B453" s="1" t="n">
        <v>44509</v>
      </c>
      <c r="C453" s="1" t="n">
        <v>45904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17.6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8793-2025</t>
        </is>
      </c>
      <c r="B454" s="1" t="n">
        <v>45712.64303240741</v>
      </c>
      <c r="C454" s="1" t="n">
        <v>45904</v>
      </c>
      <c r="D454" t="inlineStr">
        <is>
          <t>DALARNAS LÄN</t>
        </is>
      </c>
      <c r="E454" t="inlineStr">
        <is>
          <t>VANSBRO</t>
        </is>
      </c>
      <c r="G454" t="n">
        <v>13.8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51400-2024</t>
        </is>
      </c>
      <c r="B455" s="1" t="n">
        <v>45604.42420138889</v>
      </c>
      <c r="C455" s="1" t="n">
        <v>45904</v>
      </c>
      <c r="D455" t="inlineStr">
        <is>
          <t>DALARNAS LÄN</t>
        </is>
      </c>
      <c r="E455" t="inlineStr">
        <is>
          <t>VANSBRO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12013-2024</t>
        </is>
      </c>
      <c r="B456" s="1" t="n">
        <v>45377.34111111111</v>
      </c>
      <c r="C456" s="1" t="n">
        <v>45904</v>
      </c>
      <c r="D456" t="inlineStr">
        <is>
          <t>DALARNAS LÄN</t>
        </is>
      </c>
      <c r="E456" t="inlineStr">
        <is>
          <t>VANSBRO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2025-09-04T17:43:26Z</dcterms:created>
  <dcterms:modified xmlns:dcterms="http://purl.org/dc/terms/" xmlns:xsi="http://www.w3.org/2001/XMLSchema-instance" xsi:type="dcterms:W3CDTF">2025-09-04T17:43:26Z</dcterms:modified>
</cp:coreProperties>
</file>