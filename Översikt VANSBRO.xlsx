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46311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46311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46311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46311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46311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46311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46311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46311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46311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46311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46311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46311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46311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46311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46311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46311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46311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46311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46311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46311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46311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46311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46311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46311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46311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46311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46311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46311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46311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46311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46311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13323-2025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45735</v>
      </c>
      <c r="E38" s="1" t="n">
        <v>46311</v>
      </c>
      <c r="F38" t="inlineStr">
        <is>
          <t>DALARNAS LÄN</t>
        </is>
      </c>
      <c r="G38" t="inlineStr">
        <is>
          <t>VANSBRO</t>
        </is>
      </c>
      <c r="I38" t="n">
        <v>2.1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Ullticka</t>
        </is>
      </c>
      <c r="W38">
        <f>HYPERLINK("https://klasma.github.io/Logging_2021/artfynd/A 13323-2025 artfynd.xlsx", "A 13323-2025")</f>
        <v/>
      </c>
      <c r="X38">
        <f>HYPERLINK("https://klasma.github.io/Logging_2021/kartor/A 13323-2025 karta.png", "A 13323-2025")</f>
        <v/>
      </c>
      <c r="Y38">
        <f>HYPERLINK("https://klasma.github.io/Logging_2021/kartor_geotiff/A 13323-2025 georefererad karta.tif", "A 13323-2025")</f>
        <v/>
      </c>
      <c r="Z38">
        <f>HYPERLINK("https://klasma.github.io/Logging_2021/knärot/A 13323-2025 karta knärot.png", "A 13323-2025")</f>
        <v/>
      </c>
      <c r="AA38">
        <f>HYPERLINK("https://klasma.github.io/Logging_2021/klagomål/A 13323-2025 FSC-klagomål.docx", "A 13323-2025")</f>
        <v/>
      </c>
      <c r="AB38">
        <f>HYPERLINK("https://klasma.github.io/Logging_2021/klagomålsmail/A 13323-2025 FSC-klagomål mail.docx", "A 13323-2025")</f>
        <v/>
      </c>
      <c r="AC38">
        <f>HYPERLINK("https://klasma.github.io/Logging_2021/tillsyn/A 13323-2025 tillsynsbegäran.docx", "A 13323-2025")</f>
        <v/>
      </c>
      <c r="AD38">
        <f>HYPERLINK("https://klasma.github.io/Logging_2021/tillsynsmail/A 13323-2025 tillsynsbegäran mail.docx", "A 13323-2025")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46311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1691-2026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46311</v>
      </c>
      <c r="F40" t="inlineStr">
        <is>
          <t>DALARNAS LÄN</t>
        </is>
      </c>
      <c r="G40" t="inlineStr">
        <is>
          <t>VANSBRO</t>
        </is>
      </c>
      <c r="I40" t="n">
        <v>6.3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Dropptaggsvamp
Motaggsvamp</t>
        </is>
      </c>
      <c r="W40">
        <f>HYPERLINK("https://klasma.github.io/Logging_2021/artfynd/A 1691-2026 artfynd.xlsx", "A 1691-2026")</f>
        <v/>
      </c>
      <c r="X40">
        <f>HYPERLINK("https://klasma.github.io/Logging_2021/kartor/A 1691-2026 karta.png", "A 1691-2026")</f>
        <v/>
      </c>
      <c r="Y40">
        <f>HYPERLINK("https://klasma.github.io/Logging_2021/kartor_geotiff/A 1691-2026 georefererad karta.tif", "A 1691-2026")</f>
        <v/>
      </c>
      <c r="AA40">
        <f>HYPERLINK("https://klasma.github.io/Logging_2021/klagomål/A 1691-2026 FSC-klagomål.docx", "A 1691-2026")</f>
        <v/>
      </c>
      <c r="AB40">
        <f>HYPERLINK("https://klasma.github.io/Logging_2021/klagomålsmail/A 1691-2026 FSC-klagomål mail.docx", "A 1691-2026")</f>
        <v/>
      </c>
      <c r="AC40">
        <f>HYPERLINK("https://klasma.github.io/Logging_2021/tillsyn/A 1691-2026 tillsynsbegäran.docx", "A 1691-2026")</f>
        <v/>
      </c>
      <c r="AD40">
        <f>HYPERLINK("https://klasma.github.io/Logging_2021/tillsynsmail/A 1691-2026 tillsynsbegäran mail.docx", "A 1691-2026")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46311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37219-2024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46311</v>
      </c>
      <c r="F42" t="inlineStr">
        <is>
          <t>DALARNAS LÄN</t>
        </is>
      </c>
      <c r="G42" t="inlineStr">
        <is>
          <t>VANSBRO</t>
        </is>
      </c>
      <c r="I42" t="n">
        <v>5.3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Tjäder</t>
        </is>
      </c>
      <c r="W42">
        <f>HYPERLINK("https://klasma.github.io/Logging_2021/artfynd/A 37219-2024 artfynd.xlsx", "A 37219-2024")</f>
        <v/>
      </c>
      <c r="X42">
        <f>HYPERLINK("https://klasma.github.io/Logging_2021/kartor/A 37219-2024 karta.png", "A 37219-2024")</f>
        <v/>
      </c>
      <c r="Y42">
        <f>HYPERLINK("https://klasma.github.io/Logging_2021/kartor_geotiff/A 37219-2024 georefererad karta.tif", "A 37219-2024")</f>
        <v/>
      </c>
      <c r="AA42">
        <f>HYPERLINK("https://klasma.github.io/Logging_2021/klagomål/A 37219-2024 FSC-klagomål.docx", "A 37219-2024")</f>
        <v/>
      </c>
      <c r="AB42">
        <f>HYPERLINK("https://klasma.github.io/Logging_2021/klagomålsmail/A 37219-2024 FSC-klagomål mail.docx", "A 37219-2024")</f>
        <v/>
      </c>
      <c r="AC42">
        <f>HYPERLINK("https://klasma.github.io/Logging_2021/tillsyn/A 37219-2024 tillsynsbegäran.docx", "A 37219-2024")</f>
        <v/>
      </c>
      <c r="AD42">
        <f>HYPERLINK("https://klasma.github.io/Logging_2021/tillsynsmail/A 37219-2024 tillsynsbegäran mail.docx", "A 37219-2024")</f>
        <v/>
      </c>
      <c r="AE42">
        <f>HYPERLINK("https://klasma.github.io/Logging_2021/fåglar/A 37219-2024 prioriterade fågelarter.docx", "A 37219-2024")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46311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46311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46311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46311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48109-2025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46311</v>
      </c>
      <c r="F47" t="inlineStr">
        <is>
          <t>DALARNAS LÄN</t>
        </is>
      </c>
      <c r="G47" t="inlineStr">
        <is>
          <t>VANSBRO</t>
        </is>
      </c>
      <c r="I47" t="n">
        <v>0.8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Gränsticka</t>
        </is>
      </c>
      <c r="W47">
        <f>HYPERLINK("https://klasma.github.io/Logging_2021/artfynd/A 48109-2025 artfynd.xlsx", "A 48109-2025")</f>
        <v/>
      </c>
      <c r="X47">
        <f>HYPERLINK("https://klasma.github.io/Logging_2021/kartor/A 48109-2025 karta.png", "A 48109-2025")</f>
        <v/>
      </c>
      <c r="Y47">
        <f>HYPERLINK("https://klasma.github.io/Logging_2021/kartor_geotiff/A 48109-2025 georefererad karta.tif", "A 48109-2025")</f>
        <v/>
      </c>
      <c r="AA47">
        <f>HYPERLINK("https://klasma.github.io/Logging_2021/klagomål/A 48109-2025 FSC-klagomål.docx", "A 48109-2025")</f>
        <v/>
      </c>
      <c r="AB47">
        <f>HYPERLINK("https://klasma.github.io/Logging_2021/klagomålsmail/A 48109-2025 FSC-klagomål mail.docx", "A 48109-2025")</f>
        <v/>
      </c>
      <c r="AC47">
        <f>HYPERLINK("https://klasma.github.io/Logging_2021/tillsyn/A 48109-2025 tillsynsbegäran.docx", "A 48109-2025")</f>
        <v/>
      </c>
      <c r="AD47">
        <f>HYPERLINK("https://klasma.github.io/Logging_2021/tillsynsmail/A 48109-2025 tillsynsbegäran mail.docx", "A 48109-2025")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46311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46311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46311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3918-2026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46043</v>
      </c>
      <c r="E51" s="1" t="n">
        <v>46311</v>
      </c>
      <c r="F51" t="inlineStr">
        <is>
          <t>DALARNAS LÄN</t>
        </is>
      </c>
      <c r="G51" t="inlineStr">
        <is>
          <t>VANSBRO</t>
        </is>
      </c>
      <c r="I51" t="n">
        <v>6.2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Duvhök</t>
        </is>
      </c>
      <c r="W51">
        <f>HYPERLINK("https://klasma.github.io/Logging_2021/artfynd/A 3918-2026 artfynd.xlsx", "A 3918-2026")</f>
        <v/>
      </c>
      <c r="X51">
        <f>HYPERLINK("https://klasma.github.io/Logging_2021/kartor/A 3918-2026 karta.png", "A 3918-2026")</f>
        <v/>
      </c>
      <c r="Y51">
        <f>HYPERLINK("https://klasma.github.io/Logging_2021/kartor_geotiff/A 3918-2026 georefererad karta.tif", "A 3918-2026")</f>
        <v/>
      </c>
      <c r="AA51">
        <f>HYPERLINK("https://klasma.github.io/Logging_2021/klagomål/A 3918-2026 FSC-klagomål.docx", "A 3918-2026")</f>
        <v/>
      </c>
      <c r="AB51">
        <f>HYPERLINK("https://klasma.github.io/Logging_2021/klagomålsmail/A 3918-2026 FSC-klagomål mail.docx", "A 3918-2026")</f>
        <v/>
      </c>
      <c r="AC51">
        <f>HYPERLINK("https://klasma.github.io/Logging_2021/tillsyn/A 3918-2026 tillsynsbegäran.docx", "A 3918-2026")</f>
        <v/>
      </c>
      <c r="AD51">
        <f>HYPERLINK("https://klasma.github.io/Logging_2021/tillsynsmail/A 3918-2026 tillsynsbegäran mail.docx", "A 3918-2026")</f>
        <v/>
      </c>
      <c r="AE51">
        <f>HYPERLINK("https://klasma.github.io/Logging_2021/fåglar/A 3918-2026 prioriterade fågelarter.docx", "A 3918-2026")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46311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A 5659-2026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46051</v>
      </c>
      <c r="E53" s="1" t="n">
        <v>46311</v>
      </c>
      <c r="F53" t="inlineStr">
        <is>
          <t>DALARNAS LÄN</t>
        </is>
      </c>
      <c r="G53" t="inlineStr">
        <is>
          <t>VANSBRO</t>
        </is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rörsvepemossa</t>
        </is>
      </c>
      <c r="W53">
        <f>HYPERLINK("https://klasma.github.io/Logging_2021/artfynd/A 5659-2026 artfynd.xlsx", "A 5659-2026")</f>
        <v/>
      </c>
      <c r="X53">
        <f>HYPERLINK("https://klasma.github.io/Logging_2021/kartor/A 5659-2026 karta.png", "A 5659-2026")</f>
        <v/>
      </c>
      <c r="Y53">
        <f>HYPERLINK("https://klasma.github.io/Logging_2021/kartor_geotiff/A 5659-2026 georefererad karta.tif", "A 5659-2026")</f>
        <v/>
      </c>
      <c r="Z53">
        <f>HYPERLINK("https://klasma.github.io/Logging_2021/knärot/A 5659-2026 karta knärot.png", "A 5659-2026")</f>
        <v/>
      </c>
      <c r="AA53">
        <f>HYPERLINK("https://klasma.github.io/Logging_2021/klagomål/A 5659-2026 FSC-klagomål.docx", "A 5659-2026")</f>
        <v/>
      </c>
      <c r="AB53">
        <f>HYPERLINK("https://klasma.github.io/Logging_2021/klagomålsmail/A 5659-2026 FSC-klagomål mail.docx", "A 5659-2026")</f>
        <v/>
      </c>
      <c r="AC53">
        <f>HYPERLINK("https://klasma.github.io/Logging_2021/tillsyn/A 5659-2026 tillsynsbegäran.docx", "A 5659-2026")</f>
        <v/>
      </c>
      <c r="AD53">
        <f>HYPERLINK("https://klasma.github.io/Logging_2021/tillsynsmail/A 5659-2026 tillsynsbegäran mail.docx", "A 5659-2026")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46311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46311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46311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46311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46311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46311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46311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46311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46311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46311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46311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46311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46311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46311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46311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46311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46311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46311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46311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46311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46311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46311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46311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46311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46311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46311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46311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46311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46311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45735</v>
      </c>
      <c r="E83" s="1" t="n">
        <v>46311</v>
      </c>
      <c r="F83" t="inlineStr">
        <is>
          <t>DALARNAS LÄN</t>
        </is>
      </c>
      <c r="G83" t="inlineStr">
        <is>
          <t>VANSBRO</t>
        </is>
      </c>
      <c r="H83" t="inlineStr">
        <is>
          <t>Kommuner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45689</v>
      </c>
      <c r="E84" s="1" t="n">
        <v>46311</v>
      </c>
      <c r="F84" t="inlineStr">
        <is>
          <t>DALARNAS LÄN</t>
        </is>
      </c>
      <c r="G84" t="inlineStr">
        <is>
          <t>VANSBRO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45689</v>
      </c>
      <c r="E85" s="1" t="n">
        <v>46311</v>
      </c>
      <c r="F85" t="inlineStr">
        <is>
          <t>DALARNAS LÄN</t>
        </is>
      </c>
      <c r="G85" t="inlineStr">
        <is>
          <t>VANSBRO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45807</v>
      </c>
      <c r="E86" s="1" t="n">
        <v>46311</v>
      </c>
      <c r="F86" t="inlineStr">
        <is>
          <t>DALARNAS LÄN</t>
        </is>
      </c>
      <c r="G86" t="inlineStr">
        <is>
          <t>VANSBRO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45807</v>
      </c>
      <c r="E87" s="1" t="n">
        <v>46311</v>
      </c>
      <c r="F87" t="inlineStr">
        <is>
          <t>DALARNAS LÄN</t>
        </is>
      </c>
      <c r="G87" t="inlineStr">
        <is>
          <t>VANSBRO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46311</v>
      </c>
      <c r="F88" t="inlineStr">
        <is>
          <t>DALARNAS LÄN</t>
        </is>
      </c>
      <c r="G88" t="inlineStr">
        <is>
          <t>VANSBRO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45811</v>
      </c>
      <c r="E89" s="1" t="n">
        <v>46311</v>
      </c>
      <c r="F89" t="inlineStr">
        <is>
          <t>DALARNAS LÄN</t>
        </is>
      </c>
      <c r="G89" t="inlineStr">
        <is>
          <t>VANSBRO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46311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46311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46311</v>
      </c>
      <c r="F92" t="inlineStr">
        <is>
          <t>DALARNAS LÄN</t>
        </is>
      </c>
      <c r="G92" t="inlineStr">
        <is>
          <t>VANSBRO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8694-2023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44972</v>
      </c>
      <c r="E93" s="1" t="n">
        <v>46311</v>
      </c>
      <c r="F93" t="inlineStr">
        <is>
          <t>DALARNAS LÄN</t>
        </is>
      </c>
      <c r="G93" t="inlineStr">
        <is>
          <t>VANSBRO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44908</v>
      </c>
      <c r="E94" s="1" t="n">
        <v>46311</v>
      </c>
      <c r="F94" t="inlineStr">
        <is>
          <t>DALARNAS LÄN</t>
        </is>
      </c>
      <c r="G94" t="inlineStr">
        <is>
          <t>VANSBRO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45363</v>
      </c>
      <c r="E95" s="1" t="n">
        <v>46311</v>
      </c>
      <c r="F95" t="inlineStr">
        <is>
          <t>DALARNAS LÄN</t>
        </is>
      </c>
      <c r="G95" t="inlineStr">
        <is>
          <t>VANSBRO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38670-2025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45884</v>
      </c>
      <c r="E96" s="1" t="n">
        <v>46311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46311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46311</v>
      </c>
      <c r="F98" t="inlineStr">
        <is>
          <t>DALARNAS LÄN</t>
        </is>
      </c>
      <c r="G98" t="inlineStr">
        <is>
          <t>VANSBRO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46311</v>
      </c>
      <c r="F99" t="inlineStr">
        <is>
          <t>DALARNAS LÄN</t>
        </is>
      </c>
      <c r="G99" t="inlineStr">
        <is>
          <t>VANSBRO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45888</v>
      </c>
      <c r="E100" s="1" t="n">
        <v>46311</v>
      </c>
      <c r="F100" t="inlineStr">
        <is>
          <t>DALARNAS LÄN</t>
        </is>
      </c>
      <c r="G100" t="inlineStr">
        <is>
          <t>VANSBRO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15972-2025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45749</v>
      </c>
      <c r="E101" s="1" t="n">
        <v>46311</v>
      </c>
      <c r="F101" t="inlineStr">
        <is>
          <t>DALARNAS LÄN</t>
        </is>
      </c>
      <c r="G101" t="inlineStr">
        <is>
          <t>VANSBRO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44837</v>
      </c>
      <c r="E102" s="1" t="n">
        <v>46311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46311</v>
      </c>
      <c r="F103" t="inlineStr">
        <is>
          <t>DALARNAS LÄN</t>
        </is>
      </c>
      <c r="G103" t="inlineStr">
        <is>
          <t>VANSBRO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46311</v>
      </c>
      <c r="F104" t="inlineStr">
        <is>
          <t>DALARNAS LÄN</t>
        </is>
      </c>
      <c r="G104" t="inlineStr">
        <is>
          <t>VANSBRO</t>
        </is>
      </c>
      <c r="I104" t="n">
        <v>27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46311</v>
      </c>
      <c r="F105" t="inlineStr">
        <is>
          <t>DALARNAS LÄN</t>
        </is>
      </c>
      <c r="G105" t="inlineStr">
        <is>
          <t>VANSBRO</t>
        </is>
      </c>
      <c r="I105" t="n">
        <v>9.1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46311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46311</v>
      </c>
      <c r="F107" t="inlineStr">
        <is>
          <t>DALARNAS LÄN</t>
        </is>
      </c>
      <c r="G107" t="inlineStr">
        <is>
          <t>VANSBRO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46311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46311</v>
      </c>
      <c r="F109" t="inlineStr">
        <is>
          <t>DALARNAS LÄN</t>
        </is>
      </c>
      <c r="G109" t="inlineStr">
        <is>
          <t>VANSBRO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46311</v>
      </c>
      <c r="F110" t="inlineStr">
        <is>
          <t>DALARNAS LÄN</t>
        </is>
      </c>
      <c r="G110" t="inlineStr">
        <is>
          <t>VANSBRO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35943-2024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45533</v>
      </c>
      <c r="E111" s="1" t="n">
        <v>46311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45840</v>
      </c>
      <c r="E112" s="1" t="n">
        <v>46311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öst AB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46311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46311</v>
      </c>
      <c r="F114" t="inlineStr">
        <is>
          <t>DALARNAS LÄN</t>
        </is>
      </c>
      <c r="G114" t="inlineStr">
        <is>
          <t>VANSBRO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46311</v>
      </c>
      <c r="F115" t="inlineStr">
        <is>
          <t>DALARNAS LÄN</t>
        </is>
      </c>
      <c r="G115" t="inlineStr">
        <is>
          <t>VANSBRO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46311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49565-2022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44862</v>
      </c>
      <c r="E117" s="1" t="n">
        <v>46311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72635-2021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46311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46311</v>
      </c>
      <c r="F119" t="inlineStr">
        <is>
          <t>DALARNAS LÄN</t>
        </is>
      </c>
      <c r="G119" t="inlineStr">
        <is>
          <t>VANSBRO</t>
        </is>
      </c>
      <c r="H119" t="inlineStr">
        <is>
          <t>Övriga statliga verk och myndigheter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45457</v>
      </c>
      <c r="E120" s="1" t="n">
        <v>46311</v>
      </c>
      <c r="F120" t="inlineStr">
        <is>
          <t>DALARNAS LÄN</t>
        </is>
      </c>
      <c r="G120" t="inlineStr">
        <is>
          <t>VANSBRO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46311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44960</v>
      </c>
      <c r="E122" s="1" t="n">
        <v>46311</v>
      </c>
      <c r="F122" t="inlineStr">
        <is>
          <t>DALARNAS LÄN</t>
        </is>
      </c>
      <c r="G122" t="inlineStr">
        <is>
          <t>VANSBRO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45854</v>
      </c>
      <c r="E123" s="1" t="n">
        <v>46311</v>
      </c>
      <c r="F123" t="inlineStr">
        <is>
          <t>DALARNAS LÄN</t>
        </is>
      </c>
      <c r="G123" t="inlineStr">
        <is>
          <t>VANSBRO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45860</v>
      </c>
      <c r="E124" s="1" t="n">
        <v>46311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öst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46311</v>
      </c>
      <c r="F125" t="inlineStr">
        <is>
          <t>DALARNAS LÄN</t>
        </is>
      </c>
      <c r="G125" t="inlineStr">
        <is>
          <t>VANSBRO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46311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46311</v>
      </c>
      <c r="F127" t="inlineStr">
        <is>
          <t>DALARNAS LÄN</t>
        </is>
      </c>
      <c r="G127" t="inlineStr">
        <is>
          <t>VANSBRO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46311</v>
      </c>
      <c r="F128" t="inlineStr">
        <is>
          <t>DALARNAS LÄN</t>
        </is>
      </c>
      <c r="G128" t="inlineStr">
        <is>
          <t>VANSBRO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45868</v>
      </c>
      <c r="E129" s="1" t="n">
        <v>46311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60031-2022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44909</v>
      </c>
      <c r="E130" s="1" t="n">
        <v>46311</v>
      </c>
      <c r="F130" t="inlineStr">
        <is>
          <t>DALARNAS LÄN</t>
        </is>
      </c>
      <c r="G130" t="inlineStr">
        <is>
          <t>VANSBRO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46311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45520</v>
      </c>
      <c r="E132" s="1" t="n">
        <v>46311</v>
      </c>
      <c r="F132" t="inlineStr">
        <is>
          <t>DALARNAS LÄN</t>
        </is>
      </c>
      <c r="G132" t="inlineStr">
        <is>
          <t>VANSBRO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35299-2024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45530</v>
      </c>
      <c r="E133" s="1" t="n">
        <v>46311</v>
      </c>
      <c r="F133" t="inlineStr">
        <is>
          <t>DALARNAS LÄN</t>
        </is>
      </c>
      <c r="G133" t="inlineStr">
        <is>
          <t>VANSBRO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45377</v>
      </c>
      <c r="E134" s="1" t="n">
        <v>46311</v>
      </c>
      <c r="F134" t="inlineStr">
        <is>
          <t>DALARNAS LÄN</t>
        </is>
      </c>
      <c r="G134" t="inlineStr">
        <is>
          <t>VANSBRO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46311</v>
      </c>
      <c r="F135" t="inlineStr">
        <is>
          <t>DALARNAS LÄN</t>
        </is>
      </c>
      <c r="G135" t="inlineStr">
        <is>
          <t>VANSBRO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46311</v>
      </c>
      <c r="F136" t="inlineStr">
        <is>
          <t>DALARNAS LÄN</t>
        </is>
      </c>
      <c r="G136" t="inlineStr">
        <is>
          <t>VANSBRO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45516</v>
      </c>
      <c r="E137" s="1" t="n">
        <v>46311</v>
      </c>
      <c r="F137" t="inlineStr">
        <is>
          <t>DALARNAS LÄN</t>
        </is>
      </c>
      <c r="G137" t="inlineStr">
        <is>
          <t>VANSBRO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45174</v>
      </c>
      <c r="E138" s="1" t="n">
        <v>46311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13062-2023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45002</v>
      </c>
      <c r="E139" s="1" t="n">
        <v>46311</v>
      </c>
      <c r="F139" t="inlineStr">
        <is>
          <t>DALARNAS LÄN</t>
        </is>
      </c>
      <c r="G139" t="inlineStr">
        <is>
          <t>VANSBRO</t>
        </is>
      </c>
      <c r="H139" t="inlineStr">
        <is>
          <t>Övriga statliga verk och myndigheter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46311</v>
      </c>
      <c r="F140" t="inlineStr">
        <is>
          <t>DALARNAS LÄN</t>
        </is>
      </c>
      <c r="G140" t="inlineStr">
        <is>
          <t>VANSBRO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46311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46311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46311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45491</v>
      </c>
      <c r="E144" s="1" t="n">
        <v>46311</v>
      </c>
      <c r="F144" t="inlineStr">
        <is>
          <t>DALARNAS LÄN</t>
        </is>
      </c>
      <c r="G144" t="inlineStr">
        <is>
          <t>VANSBRO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46311</v>
      </c>
      <c r="F145" t="inlineStr">
        <is>
          <t>DALARNAS LÄN</t>
        </is>
      </c>
      <c r="G145" t="inlineStr">
        <is>
          <t>VANSBRO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46311</v>
      </c>
      <c r="F146" t="inlineStr">
        <is>
          <t>DALARNAS LÄN</t>
        </is>
      </c>
      <c r="G146" t="inlineStr">
        <is>
          <t>VANSBRO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46311</v>
      </c>
      <c r="F147" t="inlineStr">
        <is>
          <t>DALARNAS LÄN</t>
        </is>
      </c>
      <c r="G147" t="inlineStr">
        <is>
          <t>VANSBRO</t>
        </is>
      </c>
      <c r="H147" t="inlineStr">
        <is>
          <t>Övriga statliga verk och myndigheter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45471</v>
      </c>
      <c r="E148" s="1" t="n">
        <v>46311</v>
      </c>
      <c r="F148" t="inlineStr">
        <is>
          <t>DALARNAS LÄN</t>
        </is>
      </c>
      <c r="G148" t="inlineStr">
        <is>
          <t>VANSBRO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46311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46311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46311</v>
      </c>
      <c r="F151" t="inlineStr">
        <is>
          <t>DALARNAS LÄN</t>
        </is>
      </c>
      <c r="G151" t="inlineStr">
        <is>
          <t>VANSBRO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46311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46092</v>
      </c>
      <c r="E153" s="1" t="n">
        <v>46311</v>
      </c>
      <c r="F153" t="inlineStr">
        <is>
          <t>DALARNAS LÄN</t>
        </is>
      </c>
      <c r="G153" t="inlineStr">
        <is>
          <t>VANSBRO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45183</v>
      </c>
      <c r="E154" s="1" t="n">
        <v>46311</v>
      </c>
      <c r="F154" t="inlineStr">
        <is>
          <t>DALARNAS LÄN</t>
        </is>
      </c>
      <c r="G154" t="inlineStr">
        <is>
          <t>VANSBRO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15676-2026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46311</v>
      </c>
      <c r="F155" t="inlineStr">
        <is>
          <t>DALARNAS LÄN</t>
        </is>
      </c>
      <c r="G155" t="inlineStr">
        <is>
          <t>VANSBRO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46108</v>
      </c>
      <c r="E156" s="1" t="n">
        <v>46311</v>
      </c>
      <c r="F156" t="inlineStr">
        <is>
          <t>DALARNAS LÄN</t>
        </is>
      </c>
      <c r="G156" t="inlineStr">
        <is>
          <t>VANSBRO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46112</v>
      </c>
      <c r="E157" s="1" t="n">
        <v>46311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46114</v>
      </c>
      <c r="E158" s="1" t="n">
        <v>46311</v>
      </c>
      <c r="F158" t="inlineStr">
        <is>
          <t>DALARNAS LÄN</t>
        </is>
      </c>
      <c r="G158" t="inlineStr">
        <is>
          <t>VANSBRO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46311</v>
      </c>
      <c r="F159" t="inlineStr">
        <is>
          <t>DALARNAS LÄN</t>
        </is>
      </c>
      <c r="G159" t="inlineStr">
        <is>
          <t>VANSBRO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46311</v>
      </c>
      <c r="F160" t="inlineStr">
        <is>
          <t>DALARNAS LÄN</t>
        </is>
      </c>
      <c r="G160" t="inlineStr">
        <is>
          <t>VANSBRO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46311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45689</v>
      </c>
      <c r="E162" s="1" t="n">
        <v>46311</v>
      </c>
      <c r="F162" t="inlineStr">
        <is>
          <t>DALARNAS LÄN</t>
        </is>
      </c>
      <c r="G162" t="inlineStr">
        <is>
          <t>VANSBRO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46311</v>
      </c>
      <c r="F163" t="inlineStr">
        <is>
          <t>DALARNAS LÄN</t>
        </is>
      </c>
      <c r="G163" t="inlineStr">
        <is>
          <t>VANSBRO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46121</v>
      </c>
      <c r="E164" s="1" t="n">
        <v>46311</v>
      </c>
      <c r="F164" t="inlineStr">
        <is>
          <t>DALARNAS LÄN</t>
        </is>
      </c>
      <c r="G164" t="inlineStr">
        <is>
          <t>VANSBRO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46311</v>
      </c>
      <c r="F165" t="inlineStr">
        <is>
          <t>DALARNAS LÄN</t>
        </is>
      </c>
      <c r="G165" t="inlineStr">
        <is>
          <t>VANSBRO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46120</v>
      </c>
      <c r="E166" s="1" t="n">
        <v>46311</v>
      </c>
      <c r="F166" t="inlineStr">
        <is>
          <t>DALARNAS LÄN</t>
        </is>
      </c>
      <c r="G166" t="inlineStr">
        <is>
          <t>VANSBRO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46120</v>
      </c>
      <c r="E167" s="1" t="n">
        <v>46311</v>
      </c>
      <c r="F167" t="inlineStr">
        <is>
          <t>DALARNAS LÄN</t>
        </is>
      </c>
      <c r="G167" t="inlineStr">
        <is>
          <t>VANSBRO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46311</v>
      </c>
      <c r="F168" t="inlineStr">
        <is>
          <t>DALARNAS LÄN</t>
        </is>
      </c>
      <c r="G168" t="inlineStr">
        <is>
          <t>VANSBRO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46124</v>
      </c>
      <c r="E169" s="1" t="n">
        <v>46311</v>
      </c>
      <c r="F169" t="inlineStr">
        <is>
          <t>DALARNAS LÄN</t>
        </is>
      </c>
      <c r="G169" t="inlineStr">
        <is>
          <t>VANSBRO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46311</v>
      </c>
      <c r="F170" t="inlineStr">
        <is>
          <t>DALARNAS LÄN</t>
        </is>
      </c>
      <c r="G170" t="inlineStr">
        <is>
          <t>VANSBRO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46311</v>
      </c>
      <c r="F171" t="inlineStr">
        <is>
          <t>DALARNAS LÄN</t>
        </is>
      </c>
      <c r="G171" t="inlineStr">
        <is>
          <t>VANSBRO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46311</v>
      </c>
      <c r="F172" t="inlineStr">
        <is>
          <t>DALARNAS LÄN</t>
        </is>
      </c>
      <c r="G172" t="inlineStr">
        <is>
          <t>VANSBRO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46311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46127</v>
      </c>
      <c r="E174" s="1" t="n">
        <v>46311</v>
      </c>
      <c r="F174" t="inlineStr">
        <is>
          <t>DALARNAS LÄN</t>
        </is>
      </c>
      <c r="G174" t="inlineStr">
        <is>
          <t>VANSBRO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46311</v>
      </c>
      <c r="F175" t="inlineStr">
        <is>
          <t>DALARNAS LÄN</t>
        </is>
      </c>
      <c r="G175" t="inlineStr">
        <is>
          <t>VANSBRO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18823-2026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46128</v>
      </c>
      <c r="E176" s="1" t="n">
        <v>46311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13.1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46128</v>
      </c>
      <c r="E177" s="1" t="n">
        <v>46311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öst AB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46311</v>
      </c>
      <c r="F178" t="inlineStr">
        <is>
          <t>DALARNAS LÄN</t>
        </is>
      </c>
      <c r="G178" t="inlineStr">
        <is>
          <t>VANSBRO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46311</v>
      </c>
      <c r="F179" t="inlineStr">
        <is>
          <t>DALARNAS LÄN</t>
        </is>
      </c>
      <c r="G179" t="inlineStr">
        <is>
          <t>VANSBRO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5420-2024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45331</v>
      </c>
      <c r="E180" s="1" t="n">
        <v>46311</v>
      </c>
      <c r="F180" t="inlineStr">
        <is>
          <t>DALARNAS LÄN</t>
        </is>
      </c>
      <c r="G180" t="inlineStr">
        <is>
          <t>VANSBRO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45498</v>
      </c>
      <c r="E181" s="1" t="n">
        <v>46311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46311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46311</v>
      </c>
      <c r="F183" t="inlineStr">
        <is>
          <t>DALARNAS LÄN</t>
        </is>
      </c>
      <c r="G183" t="inlineStr">
        <is>
          <t>VANSBRO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46135</v>
      </c>
      <c r="E184" s="1" t="n">
        <v>46311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46311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45.8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45085</v>
      </c>
      <c r="E186" s="1" t="n">
        <v>46311</v>
      </c>
      <c r="F186" t="inlineStr">
        <is>
          <t>DALARNAS LÄN</t>
        </is>
      </c>
      <c r="G186" t="inlineStr">
        <is>
          <t>VANSBRO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46311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46311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45806</v>
      </c>
      <c r="E189" s="1" t="n">
        <v>46311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20931-2022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44701</v>
      </c>
      <c r="E190" s="1" t="n">
        <v>46311</v>
      </c>
      <c r="F190" t="inlineStr">
        <is>
          <t>DALARNAS LÄN</t>
        </is>
      </c>
      <c r="G190" t="inlineStr">
        <is>
          <t>VANSBRO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46311</v>
      </c>
      <c r="F191" t="inlineStr">
        <is>
          <t>DALARNAS LÄN</t>
        </is>
      </c>
      <c r="G191" t="inlineStr">
        <is>
          <t>VANSBRO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45184</v>
      </c>
      <c r="E192" s="1" t="n">
        <v>46311</v>
      </c>
      <c r="F192" t="inlineStr">
        <is>
          <t>DALARNAS LÄN</t>
        </is>
      </c>
      <c r="G192" t="inlineStr">
        <is>
          <t>VANSBRO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11485-2024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45372</v>
      </c>
      <c r="E193" s="1" t="n">
        <v>46311</v>
      </c>
      <c r="F193" t="inlineStr">
        <is>
          <t>DALARNAS LÄN</t>
        </is>
      </c>
      <c r="G193" t="inlineStr">
        <is>
          <t>VANSBRO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46311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46311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46311</v>
      </c>
      <c r="F196" t="inlineStr">
        <is>
          <t>DALARNAS LÄN</t>
        </is>
      </c>
      <c r="G196" t="inlineStr">
        <is>
          <t>VANSBRO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46311</v>
      </c>
      <c r="F197" t="inlineStr">
        <is>
          <t>DALARNAS LÄN</t>
        </is>
      </c>
      <c r="G197" t="inlineStr">
        <is>
          <t>VANSBRO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45772</v>
      </c>
      <c r="E198" s="1" t="n">
        <v>46311</v>
      </c>
      <c r="F198" t="inlineStr">
        <is>
          <t>DALARNAS LÄN</t>
        </is>
      </c>
      <c r="G198" t="inlineStr">
        <is>
          <t>VANSBRO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44648</v>
      </c>
      <c r="E199" s="1" t="n">
        <v>46311</v>
      </c>
      <c r="F199" t="inlineStr">
        <is>
          <t>DALARNAS LÄN</t>
        </is>
      </c>
      <c r="G199" t="inlineStr">
        <is>
          <t>VANSBRO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45689</v>
      </c>
      <c r="E200" s="1" t="n">
        <v>46311</v>
      </c>
      <c r="F200" t="inlineStr">
        <is>
          <t>DALARNAS LÄN</t>
        </is>
      </c>
      <c r="G200" t="inlineStr">
        <is>
          <t>VANSBRO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46311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45299</v>
      </c>
      <c r="E202" s="1" t="n">
        <v>46311</v>
      </c>
      <c r="F202" t="inlineStr">
        <is>
          <t>DALARNAS LÄN</t>
        </is>
      </c>
      <c r="G202" t="inlineStr">
        <is>
          <t>VANSBRO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46311</v>
      </c>
      <c r="F203" t="inlineStr">
        <is>
          <t>DALARNAS LÄN</t>
        </is>
      </c>
      <c r="G203" t="inlineStr">
        <is>
          <t>VANSBRO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45665</v>
      </c>
      <c r="E204" s="1" t="n">
        <v>46311</v>
      </c>
      <c r="F204" t="inlineStr">
        <is>
          <t>DALARNAS LÄN</t>
        </is>
      </c>
      <c r="G204" t="inlineStr">
        <is>
          <t>VANSBRO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46311</v>
      </c>
      <c r="F205" t="inlineStr">
        <is>
          <t>DALARNAS LÄN</t>
        </is>
      </c>
      <c r="G205" t="inlineStr">
        <is>
          <t>VANSBRO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45762</v>
      </c>
      <c r="E206" s="1" t="n">
        <v>46311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46311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46311</v>
      </c>
      <c r="F208" t="inlineStr">
        <is>
          <t>DALARNAS LÄN</t>
        </is>
      </c>
      <c r="G208" t="inlineStr">
        <is>
          <t>VANSBRO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45147</v>
      </c>
      <c r="E209" s="1" t="n">
        <v>46311</v>
      </c>
      <c r="F209" t="inlineStr">
        <is>
          <t>DALARNAS LÄN</t>
        </is>
      </c>
      <c r="G209" t="inlineStr">
        <is>
          <t>VANSBRO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45727</v>
      </c>
      <c r="E210" s="1" t="n">
        <v>46311</v>
      </c>
      <c r="F210" t="inlineStr">
        <is>
          <t>DALARNAS LÄN</t>
        </is>
      </c>
      <c r="G210" t="inlineStr">
        <is>
          <t>VANSBRO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45481</v>
      </c>
      <c r="E211" s="1" t="n">
        <v>46311</v>
      </c>
      <c r="F211" t="inlineStr">
        <is>
          <t>DALARNAS LÄN</t>
        </is>
      </c>
      <c r="G211" t="inlineStr">
        <is>
          <t>VANSBRO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45714</v>
      </c>
      <c r="E212" s="1" t="n">
        <v>46311</v>
      </c>
      <c r="F212" t="inlineStr">
        <is>
          <t>DALARNAS LÄN</t>
        </is>
      </c>
      <c r="G212" t="inlineStr">
        <is>
          <t>VANSBRO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45637</v>
      </c>
      <c r="E213" s="1" t="n">
        <v>46311</v>
      </c>
      <c r="F213" t="inlineStr">
        <is>
          <t>DALARNAS LÄN</t>
        </is>
      </c>
      <c r="G213" t="inlineStr">
        <is>
          <t>VANSBRO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46311</v>
      </c>
      <c r="F214" t="inlineStr">
        <is>
          <t>DALARNAS LÄN</t>
        </is>
      </c>
      <c r="G214" t="inlineStr">
        <is>
          <t>VANSBRO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46311</v>
      </c>
      <c r="F215" t="inlineStr">
        <is>
          <t>DALARNAS LÄN</t>
        </is>
      </c>
      <c r="G215" t="inlineStr">
        <is>
          <t>VANSBRO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24827-2022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44728</v>
      </c>
      <c r="E216" s="1" t="n">
        <v>46311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46311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46311</v>
      </c>
      <c r="F218" t="inlineStr">
        <is>
          <t>DALARNAS LÄN</t>
        </is>
      </c>
      <c r="G218" t="inlineStr">
        <is>
          <t>VANSBRO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46311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öst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46311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51396-2022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44869</v>
      </c>
      <c r="E221" s="1" t="n">
        <v>46311</v>
      </c>
      <c r="F221" t="inlineStr">
        <is>
          <t>DALARNAS LÄN</t>
        </is>
      </c>
      <c r="G221" t="inlineStr">
        <is>
          <t>VANSBRO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46311</v>
      </c>
      <c r="F222" t="inlineStr">
        <is>
          <t>DALARNAS LÄN</t>
        </is>
      </c>
      <c r="G222" t="inlineStr">
        <is>
          <t>VANSBRO</t>
        </is>
      </c>
      <c r="I222" t="n">
        <v>13.9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46311</v>
      </c>
      <c r="F223" t="inlineStr">
        <is>
          <t>DALARNAS LÄN</t>
        </is>
      </c>
      <c r="G223" t="inlineStr">
        <is>
          <t>VANSBRO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46311</v>
      </c>
      <c r="F224" t="inlineStr">
        <is>
          <t>DALARNAS LÄN</t>
        </is>
      </c>
      <c r="G224" t="inlineStr">
        <is>
          <t>VANSBRO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46021</v>
      </c>
      <c r="E225" s="1" t="n">
        <v>46311</v>
      </c>
      <c r="F225" t="inlineStr">
        <is>
          <t>DALARNAS LÄN</t>
        </is>
      </c>
      <c r="G225" t="inlineStr">
        <is>
          <t>VANSBRO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45631</v>
      </c>
      <c r="E226" s="1" t="n">
        <v>46311</v>
      </c>
      <c r="F226" t="inlineStr">
        <is>
          <t>DALARNAS LÄN</t>
        </is>
      </c>
      <c r="G226" t="inlineStr">
        <is>
          <t>VANSBRO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46311</v>
      </c>
      <c r="F227" t="inlineStr">
        <is>
          <t>DALARNAS LÄN</t>
        </is>
      </c>
      <c r="G227" t="inlineStr">
        <is>
          <t>VANSBRO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46311</v>
      </c>
      <c r="F228" t="inlineStr">
        <is>
          <t>DALARNAS LÄN</t>
        </is>
      </c>
      <c r="G228" t="inlineStr">
        <is>
          <t>VANSBRO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46311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46311</v>
      </c>
      <c r="F230" t="inlineStr">
        <is>
          <t>DALARNAS LÄN</t>
        </is>
      </c>
      <c r="G230" t="inlineStr">
        <is>
          <t>VANSBRO</t>
        </is>
      </c>
      <c r="I230" t="n">
        <v>15.8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46311</v>
      </c>
      <c r="F231" t="inlineStr">
        <is>
          <t>DALARNAS LÄN</t>
        </is>
      </c>
      <c r="G231" t="inlineStr">
        <is>
          <t>VANSBRO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46311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46079</v>
      </c>
      <c r="E233" s="1" t="n">
        <v>46311</v>
      </c>
      <c r="F233" t="inlineStr">
        <is>
          <t>DALARNAS LÄN</t>
        </is>
      </c>
      <c r="G233" t="inlineStr">
        <is>
          <t>VANSBRO</t>
        </is>
      </c>
      <c r="H233" t="inlineStr">
        <is>
          <t>Övriga statliga verk och myndigheter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46311</v>
      </c>
      <c r="F234" t="inlineStr">
        <is>
          <t>DALARNAS LÄN</t>
        </is>
      </c>
      <c r="G234" t="inlineStr">
        <is>
          <t>VANSBRO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46311</v>
      </c>
      <c r="F235" t="inlineStr">
        <is>
          <t>DALARNAS LÄN</t>
        </is>
      </c>
      <c r="G235" t="inlineStr">
        <is>
          <t>VANSBRO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45646</v>
      </c>
      <c r="E236" s="1" t="n">
        <v>46311</v>
      </c>
      <c r="F236" t="inlineStr">
        <is>
          <t>DALARNAS LÄN</t>
        </is>
      </c>
      <c r="G236" t="inlineStr">
        <is>
          <t>VANSBRO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46311</v>
      </c>
      <c r="F237" t="inlineStr">
        <is>
          <t>DALARNAS LÄN</t>
        </is>
      </c>
      <c r="G237" t="inlineStr">
        <is>
          <t>VANSBRO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50741-2022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46311</v>
      </c>
      <c r="F238" t="inlineStr">
        <is>
          <t>DALARNAS LÄN</t>
        </is>
      </c>
      <c r="G238" t="inlineStr">
        <is>
          <t>VANSBRO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46311</v>
      </c>
      <c r="F239" t="inlineStr">
        <is>
          <t>DALARNAS LÄN</t>
        </is>
      </c>
      <c r="G239" t="inlineStr">
        <is>
          <t>VANSBRO</t>
        </is>
      </c>
      <c r="H239" t="inlineStr">
        <is>
          <t>Övriga statliga verk och myndigheter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45691</v>
      </c>
      <c r="E240" s="1" t="n">
        <v>46311</v>
      </c>
      <c r="F240" t="inlineStr">
        <is>
          <t>DALARNAS LÄN</t>
        </is>
      </c>
      <c r="G240" t="inlineStr">
        <is>
          <t>VANSBRO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46311</v>
      </c>
      <c r="F241" t="inlineStr">
        <is>
          <t>DALARNAS LÄN</t>
        </is>
      </c>
      <c r="G241" t="inlineStr">
        <is>
          <t>VANSBRO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4680-2023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44957</v>
      </c>
      <c r="E242" s="1" t="n">
        <v>46311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21744-2026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46311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45189</v>
      </c>
      <c r="E244" s="1" t="n">
        <v>46311</v>
      </c>
      <c r="F244" t="inlineStr">
        <is>
          <t>DALARNAS LÄN</t>
        </is>
      </c>
      <c r="G244" t="inlineStr">
        <is>
          <t>VANSBRO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46311</v>
      </c>
      <c r="F245" t="inlineStr">
        <is>
          <t>DALARNAS LÄN</t>
        </is>
      </c>
      <c r="G245" t="inlineStr">
        <is>
          <t>VANSBRO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46311</v>
      </c>
      <c r="F246" t="inlineStr">
        <is>
          <t>DALARNAS LÄN</t>
        </is>
      </c>
      <c r="G246" t="inlineStr">
        <is>
          <t>VANSBRO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46311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46311</v>
      </c>
      <c r="F248" t="inlineStr">
        <is>
          <t>DALARNAS LÄN</t>
        </is>
      </c>
      <c r="G248" t="inlineStr">
        <is>
          <t>VANSBRO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46311</v>
      </c>
      <c r="F249" t="inlineStr">
        <is>
          <t>DALARNAS LÄN</t>
        </is>
      </c>
      <c r="G249" t="inlineStr">
        <is>
          <t>VANSBRO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46311</v>
      </c>
      <c r="F250" t="inlineStr">
        <is>
          <t>DALARNAS LÄN</t>
        </is>
      </c>
      <c r="G250" t="inlineStr">
        <is>
          <t>VANSBRO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46311</v>
      </c>
      <c r="F251" t="inlineStr">
        <is>
          <t>DALARNAS LÄN</t>
        </is>
      </c>
      <c r="G251" t="inlineStr">
        <is>
          <t>VANSBRO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46311</v>
      </c>
      <c r="F252" t="inlineStr">
        <is>
          <t>DALARNAS LÄN</t>
        </is>
      </c>
      <c r="G252" t="inlineStr">
        <is>
          <t>VANSBRO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46311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46311</v>
      </c>
      <c r="F254" t="inlineStr">
        <is>
          <t>DALARNAS LÄN</t>
        </is>
      </c>
      <c r="G254" t="inlineStr">
        <is>
          <t>VANSBRO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45764</v>
      </c>
      <c r="E255" s="1" t="n">
        <v>46311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45254</v>
      </c>
      <c r="E256" s="1" t="n">
        <v>46311</v>
      </c>
      <c r="F256" t="inlineStr">
        <is>
          <t>DALARNAS LÄN</t>
        </is>
      </c>
      <c r="G256" t="inlineStr">
        <is>
          <t>VANSBRO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45322</v>
      </c>
      <c r="E257" s="1" t="n">
        <v>46311</v>
      </c>
      <c r="F257" t="inlineStr">
        <is>
          <t>DALARNAS LÄN</t>
        </is>
      </c>
      <c r="G257" t="inlineStr">
        <is>
          <t>VANSBRO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46311</v>
      </c>
      <c r="F258" t="inlineStr">
        <is>
          <t>DALARNAS LÄN</t>
        </is>
      </c>
      <c r="G258" t="inlineStr">
        <is>
          <t>VANSBRO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46311</v>
      </c>
      <c r="F259" t="inlineStr">
        <is>
          <t>DALARNAS LÄN</t>
        </is>
      </c>
      <c r="G259" t="inlineStr">
        <is>
          <t>VANSBRO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46311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55078-2022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44886</v>
      </c>
      <c r="E261" s="1" t="n">
        <v>46311</v>
      </c>
      <c r="F261" t="inlineStr">
        <is>
          <t>DALARNAS LÄN</t>
        </is>
      </c>
      <c r="G261" t="inlineStr">
        <is>
          <t>VANSBRO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5386-2024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45331</v>
      </c>
      <c r="E262" s="1" t="n">
        <v>46311</v>
      </c>
      <c r="F262" t="inlineStr">
        <is>
          <t>DALARNAS LÄN</t>
        </is>
      </c>
      <c r="G262" t="inlineStr">
        <is>
          <t>VANSBRO</t>
        </is>
      </c>
      <c r="I262" t="n">
        <v>11.4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46311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46311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46311</v>
      </c>
      <c r="F265" t="inlineStr">
        <is>
          <t>DALARNAS LÄN</t>
        </is>
      </c>
      <c r="G265" t="inlineStr">
        <is>
          <t>VANSBRO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46311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45315</v>
      </c>
      <c r="E267" s="1" t="n">
        <v>46311</v>
      </c>
      <c r="F267" t="inlineStr">
        <is>
          <t>DALARNAS LÄN</t>
        </is>
      </c>
      <c r="G267" t="inlineStr">
        <is>
          <t>VANSBRO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11408-2025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45726</v>
      </c>
      <c r="E268" s="1" t="n">
        <v>46311</v>
      </c>
      <c r="F268" t="inlineStr">
        <is>
          <t>DALARNAS LÄN</t>
        </is>
      </c>
      <c r="G268" t="inlineStr">
        <is>
          <t>VANSBRO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46311</v>
      </c>
      <c r="F269" t="inlineStr">
        <is>
          <t>DALARNAS LÄN</t>
        </is>
      </c>
      <c r="G269" t="inlineStr">
        <is>
          <t>VANSBRO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47897-2025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45932</v>
      </c>
      <c r="E270" s="1" t="n">
        <v>46311</v>
      </c>
      <c r="F270" t="inlineStr">
        <is>
          <t>DALARNAS LÄN</t>
        </is>
      </c>
      <c r="G270" t="inlineStr">
        <is>
          <t>VANSBRO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46311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öst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33837-2024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46311</v>
      </c>
      <c r="F272" t="inlineStr">
        <is>
          <t>DALARNAS LÄN</t>
        </is>
      </c>
      <c r="G272" t="inlineStr">
        <is>
          <t>VANSBRO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45531</v>
      </c>
      <c r="E273" s="1" t="n">
        <v>46311</v>
      </c>
      <c r="F273" t="inlineStr">
        <is>
          <t>DALARNAS LÄN</t>
        </is>
      </c>
      <c r="G273" t="inlineStr">
        <is>
          <t>VANSBRO</t>
        </is>
      </c>
      <c r="H273" t="inlineStr">
        <is>
          <t>Övriga statliga verk och myndigheter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61515-2022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44916</v>
      </c>
      <c r="E274" s="1" t="n">
        <v>46311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46311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46311</v>
      </c>
      <c r="F276" t="inlineStr">
        <is>
          <t>DALARNAS LÄN</t>
        </is>
      </c>
      <c r="G276" t="inlineStr">
        <is>
          <t>VANSBRO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44960</v>
      </c>
      <c r="E277" s="1" t="n">
        <v>46311</v>
      </c>
      <c r="F277" t="inlineStr">
        <is>
          <t>DALARNAS LÄN</t>
        </is>
      </c>
      <c r="G277" t="inlineStr">
        <is>
          <t>VANSBRO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46311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46311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öst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46311</v>
      </c>
      <c r="F280" t="inlineStr">
        <is>
          <t>DALARNAS LÄN</t>
        </is>
      </c>
      <c r="G280" t="inlineStr">
        <is>
          <t>VANSBRO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48840-2025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45937</v>
      </c>
      <c r="E281" s="1" t="n">
        <v>46311</v>
      </c>
      <c r="F281" t="inlineStr">
        <is>
          <t>DALARNAS LÄN</t>
        </is>
      </c>
      <c r="G281" t="inlineStr">
        <is>
          <t>VANSBRO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44970</v>
      </c>
      <c r="E282" s="1" t="n">
        <v>46311</v>
      </c>
      <c r="F282" t="inlineStr">
        <is>
          <t>DALARNAS LÄN</t>
        </is>
      </c>
      <c r="G282" t="inlineStr">
        <is>
          <t>VANSBRO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46311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44673</v>
      </c>
      <c r="E284" s="1" t="n">
        <v>46311</v>
      </c>
      <c r="F284" t="inlineStr">
        <is>
          <t>DALARNAS LÄN</t>
        </is>
      </c>
      <c r="G284" t="inlineStr">
        <is>
          <t>VANSBRO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44881</v>
      </c>
      <c r="E285" s="1" t="n">
        <v>46311</v>
      </c>
      <c r="F285" t="inlineStr">
        <is>
          <t>DALARNAS LÄN</t>
        </is>
      </c>
      <c r="G285" t="inlineStr">
        <is>
          <t>VANSBRO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45448</v>
      </c>
      <c r="E286" s="1" t="n">
        <v>46311</v>
      </c>
      <c r="F286" t="inlineStr">
        <is>
          <t>DALARNAS LÄN</t>
        </is>
      </c>
      <c r="G286" t="inlineStr">
        <is>
          <t>VANSBRO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46311</v>
      </c>
      <c r="F287" t="inlineStr">
        <is>
          <t>DALARNAS LÄN</t>
        </is>
      </c>
      <c r="G287" t="inlineStr">
        <is>
          <t>VANSBRO</t>
        </is>
      </c>
      <c r="H287" t="inlineStr">
        <is>
          <t>Övriga statliga verk och myndigheter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44930</v>
      </c>
      <c r="E288" s="1" t="n">
        <v>46311</v>
      </c>
      <c r="F288" t="inlineStr">
        <is>
          <t>DALARNAS LÄN</t>
        </is>
      </c>
      <c r="G288" t="inlineStr">
        <is>
          <t>VANSBRO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46311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46311</v>
      </c>
      <c r="F290" t="inlineStr">
        <is>
          <t>DALARNAS LÄN</t>
        </is>
      </c>
      <c r="G290" t="inlineStr">
        <is>
          <t>VANSBRO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46311</v>
      </c>
      <c r="F291" t="inlineStr">
        <is>
          <t>DALARNAS LÄN</t>
        </is>
      </c>
      <c r="G291" t="inlineStr">
        <is>
          <t>VANSBRO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27334-2026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46311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49679-2025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46311</v>
      </c>
      <c r="F293" t="inlineStr">
        <is>
          <t>DALARNAS LÄN</t>
        </is>
      </c>
      <c r="G293" t="inlineStr">
        <is>
          <t>VANSBRO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27195-2026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46311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45111</v>
      </c>
      <c r="E295" s="1" t="n">
        <v>46311</v>
      </c>
      <c r="F295" t="inlineStr">
        <is>
          <t>DALARNAS LÄN</t>
        </is>
      </c>
      <c r="G295" t="inlineStr">
        <is>
          <t>VANSBRO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46311</v>
      </c>
      <c r="F296" t="inlineStr">
        <is>
          <t>DALARNAS LÄN</t>
        </is>
      </c>
      <c r="G296" t="inlineStr">
        <is>
          <t>VANSBRO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46191</v>
      </c>
      <c r="E297" s="1" t="n">
        <v>46311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46311</v>
      </c>
      <c r="F298" t="inlineStr">
        <is>
          <t>DALARNAS LÄN</t>
        </is>
      </c>
      <c r="G298" t="inlineStr">
        <is>
          <t>VANSBRO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46311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46311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väst AB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46311</v>
      </c>
      <c r="F301" t="inlineStr">
        <is>
          <t>DALARNAS LÄN</t>
        </is>
      </c>
      <c r="G301" t="inlineStr">
        <is>
          <t>VANSBRO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46311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46311</v>
      </c>
      <c r="F303" t="inlineStr">
        <is>
          <t>DALARNAS LÄN</t>
        </is>
      </c>
      <c r="G303" t="inlineStr">
        <is>
          <t>VANSBRO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45240</v>
      </c>
      <c r="E304" s="1" t="n">
        <v>46311</v>
      </c>
      <c r="F304" t="inlineStr">
        <is>
          <t>DALARNAS LÄN</t>
        </is>
      </c>
      <c r="G304" t="inlineStr">
        <is>
          <t>VANSBRO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48005-2022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44855</v>
      </c>
      <c r="E305" s="1" t="n">
        <v>46311</v>
      </c>
      <c r="F305" t="inlineStr">
        <is>
          <t>DALARNAS LÄN</t>
        </is>
      </c>
      <c r="G305" t="inlineStr">
        <is>
          <t>VANSBRO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34882-2022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46311</v>
      </c>
      <c r="F306" t="inlineStr">
        <is>
          <t>DALARNAS LÄN</t>
        </is>
      </c>
      <c r="G306" t="inlineStr">
        <is>
          <t>VANSBRO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46311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45214</v>
      </c>
      <c r="E308" s="1" t="n">
        <v>46311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46311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46311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45471</v>
      </c>
      <c r="E311" s="1" t="n">
        <v>46311</v>
      </c>
      <c r="F311" t="inlineStr">
        <is>
          <t>DALARNAS LÄN</t>
        </is>
      </c>
      <c r="G311" t="inlineStr">
        <is>
          <t>VANSBRO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45576</v>
      </c>
      <c r="E312" s="1" t="n">
        <v>46311</v>
      </c>
      <c r="F312" t="inlineStr">
        <is>
          <t>DALARNAS LÄN</t>
        </is>
      </c>
      <c r="G312" t="inlineStr">
        <is>
          <t>VANSBRO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46311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46311</v>
      </c>
      <c r="F314" t="inlineStr">
        <is>
          <t>DALARNAS LÄN</t>
        </is>
      </c>
      <c r="G314" t="inlineStr">
        <is>
          <t>VANSBRO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46203</v>
      </c>
      <c r="E315" s="1" t="n">
        <v>46311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29174-2026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46202</v>
      </c>
      <c r="E316" s="1" t="n">
        <v>46311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46203</v>
      </c>
      <c r="E317" s="1" t="n">
        <v>46311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46311</v>
      </c>
      <c r="F318" t="inlineStr">
        <is>
          <t>DALARNAS LÄN</t>
        </is>
      </c>
      <c r="G318" t="inlineStr">
        <is>
          <t>VANSBRO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45689</v>
      </c>
      <c r="E319" s="1" t="n">
        <v>46311</v>
      </c>
      <c r="F319" t="inlineStr">
        <is>
          <t>DALARNAS LÄN</t>
        </is>
      </c>
      <c r="G319" t="inlineStr">
        <is>
          <t>VANSBRO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46311</v>
      </c>
      <c r="F320" t="inlineStr">
        <is>
          <t>DALARNAS LÄN</t>
        </is>
      </c>
      <c r="G320" t="inlineStr">
        <is>
          <t>VANSBRO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46204</v>
      </c>
      <c r="E321" s="1" t="n">
        <v>46311</v>
      </c>
      <c r="F321" t="inlineStr">
        <is>
          <t>DALARNAS LÄN</t>
        </is>
      </c>
      <c r="G321" t="inlineStr">
        <is>
          <t>VANSBRO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46311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46311</v>
      </c>
      <c r="F323" t="inlineStr">
        <is>
          <t>DALARNAS LÄN</t>
        </is>
      </c>
      <c r="G323" t="inlineStr">
        <is>
          <t>VANSBRO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45063</v>
      </c>
      <c r="E324" s="1" t="n">
        <v>46311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46311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46311</v>
      </c>
      <c r="F326" t="inlineStr">
        <is>
          <t>DALARNAS LÄN</t>
        </is>
      </c>
      <c r="G326" t="inlineStr">
        <is>
          <t>VANSBRO</t>
        </is>
      </c>
      <c r="H326" t="inlineStr">
        <is>
          <t>Övriga statliga verk och myndigheter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44931</v>
      </c>
      <c r="E327" s="1" t="n">
        <v>46311</v>
      </c>
      <c r="F327" t="inlineStr">
        <is>
          <t>DALARNAS LÄN</t>
        </is>
      </c>
      <c r="G327" t="inlineStr">
        <is>
          <t>VANSBRO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45950</v>
      </c>
      <c r="E328" s="1" t="n">
        <v>46311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53498-2024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45614</v>
      </c>
      <c r="E329" s="1" t="n">
        <v>46311</v>
      </c>
      <c r="F329" t="inlineStr">
        <is>
          <t>DALARNAS LÄN</t>
        </is>
      </c>
      <c r="G329" t="inlineStr">
        <is>
          <t>VANSBRO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45952</v>
      </c>
      <c r="E330" s="1" t="n">
        <v>46311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46210</v>
      </c>
      <c r="E331" s="1" t="n">
        <v>46311</v>
      </c>
      <c r="F331" t="inlineStr">
        <is>
          <t>DALARNAS LÄN</t>
        </is>
      </c>
      <c r="G331" t="inlineStr">
        <is>
          <t>VANSBRO</t>
        </is>
      </c>
      <c r="H331" t="inlineStr">
        <is>
          <t>Övriga statliga verk och myndigheter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46311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48111-2024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45589</v>
      </c>
      <c r="E333" s="1" t="n">
        <v>46311</v>
      </c>
      <c r="F333" t="inlineStr">
        <is>
          <t>DALARNAS LÄN</t>
        </is>
      </c>
      <c r="G333" t="inlineStr">
        <is>
          <t>VANSBRO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46212</v>
      </c>
      <c r="E334" s="1" t="n">
        <v>46311</v>
      </c>
      <c r="F334" t="inlineStr">
        <is>
          <t>DALARNAS LÄN</t>
        </is>
      </c>
      <c r="G334" t="inlineStr">
        <is>
          <t>VANSBRO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46311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46212</v>
      </c>
      <c r="E336" s="1" t="n">
        <v>46311</v>
      </c>
      <c r="F336" t="inlineStr">
        <is>
          <t>DALARNAS LÄN</t>
        </is>
      </c>
      <c r="G336" t="inlineStr">
        <is>
          <t>VANSBRO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45956</v>
      </c>
      <c r="E337" s="1" t="n">
        <v>46311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46311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45956</v>
      </c>
      <c r="E339" s="1" t="n">
        <v>46311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46311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46311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46311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46272</v>
      </c>
      <c r="E343" s="1" t="n">
        <v>46311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46272</v>
      </c>
      <c r="E344" s="1" t="n">
        <v>46311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46272</v>
      </c>
      <c r="E345" s="1" t="n">
        <v>46311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46311</v>
      </c>
      <c r="F346" t="inlineStr">
        <is>
          <t>DALARNAS LÄN</t>
        </is>
      </c>
      <c r="G346" t="inlineStr">
        <is>
          <t>VANSBRO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46311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46311</v>
      </c>
      <c r="F348" t="inlineStr">
        <is>
          <t>DALARNAS LÄN</t>
        </is>
      </c>
      <c r="G348" t="inlineStr">
        <is>
          <t>VANSBRO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46311</v>
      </c>
      <c r="F349" t="inlineStr">
        <is>
          <t>DALARNAS LÄN</t>
        </is>
      </c>
      <c r="G349" t="inlineStr">
        <is>
          <t>VANSBRO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46231</v>
      </c>
      <c r="E350" s="1" t="n">
        <v>46311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20.2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46274</v>
      </c>
      <c r="E351" s="1" t="n">
        <v>46311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44791</v>
      </c>
      <c r="E352" s="1" t="n">
        <v>46311</v>
      </c>
      <c r="F352" t="inlineStr">
        <is>
          <t>DALARNAS LÄN</t>
        </is>
      </c>
      <c r="G352" t="inlineStr">
        <is>
          <t>VANSBRO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46311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46311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45296</v>
      </c>
      <c r="E355" s="1" t="n">
        <v>46311</v>
      </c>
      <c r="F355" t="inlineStr">
        <is>
          <t>DALARNAS LÄN</t>
        </is>
      </c>
      <c r="G355" t="inlineStr">
        <is>
          <t>VANSBRO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46311</v>
      </c>
      <c r="F356" t="inlineStr">
        <is>
          <t>DALARNAS LÄN</t>
        </is>
      </c>
      <c r="G356" t="inlineStr">
        <is>
          <t>VANSBRO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46311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46275</v>
      </c>
      <c r="E358" s="1" t="n">
        <v>46311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46275</v>
      </c>
      <c r="E359" s="1" t="n">
        <v>46311</v>
      </c>
      <c r="F359" t="inlineStr">
        <is>
          <t>DALARNAS LÄN</t>
        </is>
      </c>
      <c r="G359" t="inlineStr">
        <is>
          <t>VANSBRO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46276</v>
      </c>
      <c r="E360" s="1" t="n">
        <v>46311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46276</v>
      </c>
      <c r="E361" s="1" t="n">
        <v>46311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8447-2022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44612</v>
      </c>
      <c r="E362" s="1" t="n">
        <v>46311</v>
      </c>
      <c r="F362" t="inlineStr">
        <is>
          <t>DALARNAS LÄN</t>
        </is>
      </c>
      <c r="G362" t="inlineStr">
        <is>
          <t>VANSBRO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46275</v>
      </c>
      <c r="E363" s="1" t="n">
        <v>46311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37467-2026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46275</v>
      </c>
      <c r="E364" s="1" t="n">
        <v>46311</v>
      </c>
      <c r="F364" t="inlineStr">
        <is>
          <t>DALARNAS LÄN</t>
        </is>
      </c>
      <c r="G364" t="inlineStr">
        <is>
          <t>VANSBRO</t>
        </is>
      </c>
      <c r="H364" t="inlineStr">
        <is>
          <t>Kommuner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35365-2022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44798</v>
      </c>
      <c r="E365" s="1" t="n">
        <v>46311</v>
      </c>
      <c r="F365" t="inlineStr">
        <is>
          <t>DALARNAS LÄN</t>
        </is>
      </c>
      <c r="G365" t="inlineStr">
        <is>
          <t>VANSBRO</t>
        </is>
      </c>
      <c r="H365" t="inlineStr">
        <is>
          <t>Kommuner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46280</v>
      </c>
      <c r="E366" s="1" t="n">
        <v>46311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46280</v>
      </c>
      <c r="E367" s="1" t="n">
        <v>46311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46311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10886-2025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46311</v>
      </c>
      <c r="F369" t="inlineStr">
        <is>
          <t>DALARNAS LÄN</t>
        </is>
      </c>
      <c r="G369" t="inlineStr">
        <is>
          <t>VANSBRO</t>
        </is>
      </c>
      <c r="I369" t="n">
        <v>15.5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45519</v>
      </c>
      <c r="E370" s="1" t="n">
        <v>46311</v>
      </c>
      <c r="F370" t="inlineStr">
        <is>
          <t>DALARNAS LÄN</t>
        </is>
      </c>
      <c r="G370" t="inlineStr">
        <is>
          <t>VANSBRO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46280</v>
      </c>
      <c r="E371" s="1" t="n">
        <v>46311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46280</v>
      </c>
      <c r="E372" s="1" t="n">
        <v>46311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38253-2026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46281</v>
      </c>
      <c r="E373" s="1" t="n">
        <v>46311</v>
      </c>
      <c r="F373" t="inlineStr">
        <is>
          <t>DALARNAS LÄN</t>
        </is>
      </c>
      <c r="G373" t="inlineStr">
        <is>
          <t>VANSBRO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46281</v>
      </c>
      <c r="E374" s="1" t="n">
        <v>46311</v>
      </c>
      <c r="F374" t="inlineStr">
        <is>
          <t>DALARNAS LÄN</t>
        </is>
      </c>
      <c r="G374" t="inlineStr">
        <is>
          <t>VANSBRO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62398-2021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44503</v>
      </c>
      <c r="E375" s="1" t="n">
        <v>46311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22.1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46281</v>
      </c>
      <c r="E376" s="1" t="n">
        <v>46311</v>
      </c>
      <c r="F376" t="inlineStr">
        <is>
          <t>DALARNAS LÄN</t>
        </is>
      </c>
      <c r="G376" t="inlineStr">
        <is>
          <t>VANSBRO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45453</v>
      </c>
      <c r="E377" s="1" t="n">
        <v>46311</v>
      </c>
      <c r="F377" t="inlineStr">
        <is>
          <t>DALARNAS LÄN</t>
        </is>
      </c>
      <c r="G377" t="inlineStr">
        <is>
          <t>VANSBRO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46311</v>
      </c>
      <c r="F378" t="inlineStr">
        <is>
          <t>DALARNAS LÄN</t>
        </is>
      </c>
      <c r="G378" t="inlineStr">
        <is>
          <t>VANSBRO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45666</v>
      </c>
      <c r="E379" s="1" t="n">
        <v>46311</v>
      </c>
      <c r="F379" t="inlineStr">
        <is>
          <t>DALARNAS LÄN</t>
        </is>
      </c>
      <c r="G379" t="inlineStr">
        <is>
          <t>VANSBRO</t>
        </is>
      </c>
      <c r="H379" t="inlineStr">
        <is>
          <t>Övriga statliga verk och myndigheter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46281</v>
      </c>
      <c r="E380" s="1" t="n">
        <v>46311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32393-2026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46238</v>
      </c>
      <c r="E381" s="1" t="n">
        <v>46311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29.6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46286</v>
      </c>
      <c r="E382" s="1" t="n">
        <v>46311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46311</v>
      </c>
      <c r="F383" t="inlineStr">
        <is>
          <t>DALARNAS LÄN</t>
        </is>
      </c>
      <c r="G383" t="inlineStr">
        <is>
          <t>VANSBRO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46311</v>
      </c>
      <c r="F384" t="inlineStr">
        <is>
          <t>DALARNAS LÄN</t>
        </is>
      </c>
      <c r="G384" t="inlineStr">
        <is>
          <t>VANSBRO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57255-2025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46311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46311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46311</v>
      </c>
      <c r="F387" t="inlineStr">
        <is>
          <t>DALARNAS LÄN</t>
        </is>
      </c>
      <c r="G387" t="inlineStr">
        <is>
          <t>VANSBRO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46311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2086-2024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45309</v>
      </c>
      <c r="E389" s="1" t="n">
        <v>46311</v>
      </c>
      <c r="F389" t="inlineStr">
        <is>
          <t>DALARNAS LÄN</t>
        </is>
      </c>
      <c r="G389" t="inlineStr">
        <is>
          <t>VANSBRO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39352-2026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46288</v>
      </c>
      <c r="E390" s="1" t="n">
        <v>46311</v>
      </c>
      <c r="F390" t="inlineStr">
        <is>
          <t>DALARNAS LÄN</t>
        </is>
      </c>
      <c r="G390" t="inlineStr">
        <is>
          <t>VANSBRO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46311</v>
      </c>
      <c r="F391" t="inlineStr">
        <is>
          <t>DALARNAS LÄN</t>
        </is>
      </c>
      <c r="G391" t="inlineStr">
        <is>
          <t>VANSBRO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42824-2023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46311</v>
      </c>
      <c r="F392" t="inlineStr">
        <is>
          <t>DALARNAS LÄN</t>
        </is>
      </c>
      <c r="G392" t="inlineStr">
        <is>
          <t>VANSBRO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46311</v>
      </c>
      <c r="F393" t="inlineStr">
        <is>
          <t>DALARNAS LÄN</t>
        </is>
      </c>
      <c r="G393" t="inlineStr">
        <is>
          <t>VANSBRO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46311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58733-2025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45986</v>
      </c>
      <c r="E395" s="1" t="n">
        <v>46311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46289</v>
      </c>
      <c r="E396" s="1" t="n">
        <v>46311</v>
      </c>
      <c r="F396" t="inlineStr">
        <is>
          <t>DALARNAS LÄN</t>
        </is>
      </c>
      <c r="G396" t="inlineStr">
        <is>
          <t>VANSBRO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46290</v>
      </c>
      <c r="E397" s="1" t="n">
        <v>46311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45987</v>
      </c>
      <c r="E398" s="1" t="n">
        <v>46311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46294</v>
      </c>
      <c r="E399" s="1" t="n">
        <v>46311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46293</v>
      </c>
      <c r="E400" s="1" t="n">
        <v>46311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29288-2024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45483</v>
      </c>
      <c r="E401" s="1" t="n">
        <v>46311</v>
      </c>
      <c r="F401" t="inlineStr">
        <is>
          <t>DALARNAS LÄN</t>
        </is>
      </c>
      <c r="G401" t="inlineStr">
        <is>
          <t>VANSBRO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46294</v>
      </c>
      <c r="E402" s="1" t="n">
        <v>46311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46293</v>
      </c>
      <c r="E403" s="1" t="n">
        <v>46311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45783</v>
      </c>
      <c r="E404" s="1" t="n">
        <v>46311</v>
      </c>
      <c r="F404" t="inlineStr">
        <is>
          <t>DALARNAS LÄN</t>
        </is>
      </c>
      <c r="G404" t="inlineStr">
        <is>
          <t>VANSBRO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45994</v>
      </c>
      <c r="E405" s="1" t="n">
        <v>46311</v>
      </c>
      <c r="F405" t="inlineStr">
        <is>
          <t>DALARNAS LÄN</t>
        </is>
      </c>
      <c r="G405" t="inlineStr">
        <is>
          <t>VANSBRO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45674</v>
      </c>
      <c r="E406" s="1" t="n">
        <v>46311</v>
      </c>
      <c r="F406" t="inlineStr">
        <is>
          <t>DALARNAS LÄN</t>
        </is>
      </c>
      <c r="G406" t="inlineStr">
        <is>
          <t>VANSBRO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45783</v>
      </c>
      <c r="E407" s="1" t="n">
        <v>46311</v>
      </c>
      <c r="F407" t="inlineStr">
        <is>
          <t>DALARNAS LÄN</t>
        </is>
      </c>
      <c r="G407" t="inlineStr">
        <is>
          <t>VANSBRO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46294</v>
      </c>
      <c r="E408" s="1" t="n">
        <v>46311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23085-2022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44719</v>
      </c>
      <c r="E409" s="1" t="n">
        <v>46311</v>
      </c>
      <c r="F409" t="inlineStr">
        <is>
          <t>DALARNAS LÄN</t>
        </is>
      </c>
      <c r="G409" t="inlineStr">
        <is>
          <t>VANSBRO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46294</v>
      </c>
      <c r="E410" s="1" t="n">
        <v>46311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46294</v>
      </c>
      <c r="E411" s="1" t="n">
        <v>46311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46311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46253</v>
      </c>
      <c r="E413" s="1" t="n">
        <v>46311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46311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46311</v>
      </c>
      <c r="F415" t="inlineStr">
        <is>
          <t>DALARNAS LÄN</t>
        </is>
      </c>
      <c r="G415" t="inlineStr">
        <is>
          <t>VANSBRO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46311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13.3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46252</v>
      </c>
      <c r="E417" s="1" t="n">
        <v>46311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46311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18.9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45492</v>
      </c>
      <c r="E419" s="1" t="n">
        <v>46311</v>
      </c>
      <c r="F419" t="inlineStr">
        <is>
          <t>DALARNAS LÄN</t>
        </is>
      </c>
      <c r="G419" t="inlineStr">
        <is>
          <t>VANSBRO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46311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12.1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46253</v>
      </c>
      <c r="E421" s="1" t="n">
        <v>46311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46252</v>
      </c>
      <c r="E422" s="1" t="n">
        <v>46311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46300</v>
      </c>
      <c r="E423" s="1" t="n">
        <v>46311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41183-2026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46300</v>
      </c>
      <c r="E424" s="1" t="n">
        <v>46311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41015-2026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46311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41176-2026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46300</v>
      </c>
      <c r="E426" s="1" t="n">
        <v>46311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19.7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46254</v>
      </c>
      <c r="E427" s="1" t="n">
        <v>46311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40996-2026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46297</v>
      </c>
      <c r="E428" s="1" t="n">
        <v>46311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7764-2026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46311</v>
      </c>
      <c r="F429" t="inlineStr">
        <is>
          <t>DALARNAS LÄN</t>
        </is>
      </c>
      <c r="G429" t="inlineStr">
        <is>
          <t>VANSBRO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29411-2024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45483</v>
      </c>
      <c r="E430" s="1" t="n">
        <v>46311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46255</v>
      </c>
      <c r="E431" s="1" t="n">
        <v>46311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46300</v>
      </c>
      <c r="E432" s="1" t="n">
        <v>46311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46311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45793</v>
      </c>
      <c r="E434" s="1" t="n">
        <v>46311</v>
      </c>
      <c r="F434" t="inlineStr">
        <is>
          <t>DALARNAS LÄN</t>
        </is>
      </c>
      <c r="G434" t="inlineStr">
        <is>
          <t>VANSBRO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46302</v>
      </c>
      <c r="E435" s="1" t="n">
        <v>46311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45688</v>
      </c>
      <c r="E436" s="1" t="n">
        <v>46311</v>
      </c>
      <c r="F436" t="inlineStr">
        <is>
          <t>DALARNAS LÄN</t>
        </is>
      </c>
      <c r="G436" t="inlineStr">
        <is>
          <t>VANSBRO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46311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46259</v>
      </c>
      <c r="E438" s="1" t="n">
        <v>46311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35516-2024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46311</v>
      </c>
      <c r="F439" t="inlineStr">
        <is>
          <t>DALARNAS LÄN</t>
        </is>
      </c>
      <c r="G439" t="inlineStr">
        <is>
          <t>VANSBRO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41606-2026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46302</v>
      </c>
      <c r="E440" s="1" t="n">
        <v>46311</v>
      </c>
      <c r="F440" t="inlineStr">
        <is>
          <t>DALARNAS LÄN</t>
        </is>
      </c>
      <c r="G440" t="inlineStr">
        <is>
          <t>VANSBRO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46311</v>
      </c>
      <c r="F441" t="inlineStr">
        <is>
          <t>DALARNAS LÄN</t>
        </is>
      </c>
      <c r="G441" t="inlineStr">
        <is>
          <t>VANSBRO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46311</v>
      </c>
      <c r="F442" t="inlineStr">
        <is>
          <t>DALARNAS LÄN</t>
        </is>
      </c>
      <c r="G442" t="inlineStr">
        <is>
          <t>VANSBRO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46304</v>
      </c>
      <c r="E443" s="1" t="n">
        <v>46311</v>
      </c>
      <c r="F443" t="inlineStr">
        <is>
          <t>DALARNAS LÄN</t>
        </is>
      </c>
      <c r="G443" t="inlineStr">
        <is>
          <t>VANSBRO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42026-2026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46304</v>
      </c>
      <c r="E444" s="1" t="n">
        <v>46311</v>
      </c>
      <c r="F444" t="inlineStr">
        <is>
          <t>DALARNAS LÄN</t>
        </is>
      </c>
      <c r="G444" t="inlineStr">
        <is>
          <t>VANSBRO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46033</v>
      </c>
      <c r="E445" s="1" t="n">
        <v>46311</v>
      </c>
      <c r="F445" t="inlineStr">
        <is>
          <t>DALARNAS LÄN</t>
        </is>
      </c>
      <c r="G445" t="inlineStr">
        <is>
          <t>VANSBRO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46031</v>
      </c>
      <c r="E446" s="1" t="n">
        <v>46311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41858-2026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46303</v>
      </c>
      <c r="E447" s="1" t="n">
        <v>46311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46311</v>
      </c>
      <c r="F448" t="inlineStr">
        <is>
          <t>DALARNAS LÄN</t>
        </is>
      </c>
      <c r="G448" t="inlineStr">
        <is>
          <t>VANSBRO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46303</v>
      </c>
      <c r="E449" s="1" t="n">
        <v>46311</v>
      </c>
      <c r="F449" t="inlineStr">
        <is>
          <t>DALARNAS LÄN</t>
        </is>
      </c>
      <c r="G449" t="inlineStr">
        <is>
          <t>VANSBRO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46311</v>
      </c>
      <c r="F450" t="inlineStr">
        <is>
          <t>DALARNAS LÄN</t>
        </is>
      </c>
      <c r="G450" t="inlineStr">
        <is>
          <t>VANSBRO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46311</v>
      </c>
      <c r="F451" t="inlineStr">
        <is>
          <t>DALARNAS LÄN</t>
        </is>
      </c>
      <c r="G451" t="inlineStr">
        <is>
          <t>VANSBRO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46042</v>
      </c>
      <c r="E452" s="1" t="n">
        <v>46311</v>
      </c>
      <c r="F452" t="inlineStr">
        <is>
          <t>DALARNAS LÄN</t>
        </is>
      </c>
      <c r="G452" t="inlineStr">
        <is>
          <t>VANSBRO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46311</v>
      </c>
      <c r="F453" t="inlineStr">
        <is>
          <t>DALARNAS LÄN</t>
        </is>
      </c>
      <c r="G453" t="inlineStr">
        <is>
          <t>VANSBRO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42424-2026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46308</v>
      </c>
      <c r="E454" s="1" t="n">
        <v>46311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46311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öst AB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46307</v>
      </c>
      <c r="E456" s="1" t="n">
        <v>46311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39490-2025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45890</v>
      </c>
      <c r="E457" s="1" t="n">
        <v>46311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46311</v>
      </c>
      <c r="F458" t="inlineStr">
        <is>
          <t>DALARNAS LÄN</t>
        </is>
      </c>
      <c r="G458" t="inlineStr">
        <is>
          <t>VANSBRO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46311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46311</v>
      </c>
      <c r="F460" t="inlineStr">
        <is>
          <t>DALARNAS LÄN</t>
        </is>
      </c>
      <c r="G460" t="inlineStr">
        <is>
          <t>VANSBRO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42479-2026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46308</v>
      </c>
      <c r="E461" s="1" t="n">
        <v>46311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46311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46311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46311</v>
      </c>
      <c r="F464" t="inlineStr">
        <is>
          <t>DALARNAS LÄN</t>
        </is>
      </c>
      <c r="G464" t="inlineStr">
        <is>
          <t>VANSBRO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46311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35579-2026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46262</v>
      </c>
      <c r="E466" s="1" t="n">
        <v>46311</v>
      </c>
      <c r="F466" t="inlineStr">
        <is>
          <t>DALARNAS LÄN</t>
        </is>
      </c>
      <c r="G466" t="inlineStr">
        <is>
          <t>VANSBRO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46308</v>
      </c>
      <c r="E467" s="1" t="n">
        <v>46311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46311</v>
      </c>
      <c r="F468" t="inlineStr">
        <is>
          <t>DALARNAS LÄN</t>
        </is>
      </c>
      <c r="G468" t="inlineStr">
        <is>
          <t>VANSBRO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46058</v>
      </c>
      <c r="E469" s="1" t="n">
        <v>46311</v>
      </c>
      <c r="F469" t="inlineStr">
        <is>
          <t>DALARNAS LÄN</t>
        </is>
      </c>
      <c r="G469" t="inlineStr">
        <is>
          <t>VANSBRO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46311</v>
      </c>
      <c r="F470" t="inlineStr">
        <is>
          <t>DALARNAS LÄN</t>
        </is>
      </c>
      <c r="G470" t="inlineStr">
        <is>
          <t>VANSBRO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46311</v>
      </c>
      <c r="F471" t="inlineStr">
        <is>
          <t>DALARNAS LÄN</t>
        </is>
      </c>
      <c r="G471" t="inlineStr">
        <is>
          <t>VANSBRO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46309</v>
      </c>
      <c r="E472" s="1" t="n">
        <v>46311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46309</v>
      </c>
      <c r="E473" s="1" t="n">
        <v>46311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46311</v>
      </c>
      <c r="F474" t="inlineStr">
        <is>
          <t>DALARNAS LÄN</t>
        </is>
      </c>
      <c r="G474" t="inlineStr">
        <is>
          <t>VANSBRO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35973-2026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46266</v>
      </c>
      <c r="E475" s="1" t="n">
        <v>46311</v>
      </c>
      <c r="F475" t="inlineStr">
        <is>
          <t>DALARNAS LÄN</t>
        </is>
      </c>
      <c r="G475" t="inlineStr">
        <is>
          <t>VANSBRO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46268</v>
      </c>
      <c r="E476" s="1" t="n">
        <v>46311</v>
      </c>
      <c r="F476" t="inlineStr">
        <is>
          <t>DALARNAS LÄN</t>
        </is>
      </c>
      <c r="G476" t="inlineStr">
        <is>
          <t>VANSBRO</t>
        </is>
      </c>
      <c r="H476" t="inlineStr">
        <is>
          <t>Kyrkan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46311</v>
      </c>
      <c r="F477" t="inlineStr">
        <is>
          <t>DALARNAS LÄN</t>
        </is>
      </c>
      <c r="G477" t="inlineStr">
        <is>
          <t>VANSBRO</t>
        </is>
      </c>
      <c r="I477" t="n">
        <v>15.1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1140-2025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45666</v>
      </c>
      <c r="E478" s="1" t="n">
        <v>46311</v>
      </c>
      <c r="F478" t="inlineStr">
        <is>
          <t>DALARNAS LÄN</t>
        </is>
      </c>
      <c r="G478" t="inlineStr">
        <is>
          <t>VANSBRO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45639</v>
      </c>
      <c r="E479" s="1" t="n">
        <v>46311</v>
      </c>
      <c r="F479" t="inlineStr">
        <is>
          <t>DALARNAS LÄN</t>
        </is>
      </c>
      <c r="G479" t="inlineStr">
        <is>
          <t>VANSBRO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46268</v>
      </c>
      <c r="E480" s="1" t="n">
        <v>46311</v>
      </c>
      <c r="F480" t="inlineStr">
        <is>
          <t>DALARNAS LÄN</t>
        </is>
      </c>
      <c r="G480" t="inlineStr">
        <is>
          <t>VANSBRO</t>
        </is>
      </c>
      <c r="H480" t="inlineStr">
        <is>
          <t>Kyrkan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25916-2022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44734</v>
      </c>
      <c r="E481" s="1" t="n">
        <v>46311</v>
      </c>
      <c r="F481" t="inlineStr">
        <is>
          <t>DALARNAS LÄN</t>
        </is>
      </c>
      <c r="G481" t="inlineStr">
        <is>
          <t>VANSBRO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56269-2023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46311</v>
      </c>
      <c r="F482" t="inlineStr">
        <is>
          <t>DALARNAS LÄN</t>
        </is>
      </c>
      <c r="G482" t="inlineStr">
        <is>
          <t>VANSBRO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64072-2025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46021</v>
      </c>
      <c r="E483" s="1" t="n">
        <v>46311</v>
      </c>
      <c r="F483" t="inlineStr">
        <is>
          <t>DALARNAS LÄN</t>
        </is>
      </c>
      <c r="G483" t="inlineStr">
        <is>
          <t>VANSBRO</t>
        </is>
      </c>
      <c r="I483" t="n">
        <v>19.1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45673</v>
      </c>
      <c r="E484" s="1" t="n">
        <v>46311</v>
      </c>
      <c r="F484" t="inlineStr">
        <is>
          <t>DALARNAS LÄN</t>
        </is>
      </c>
      <c r="G484" t="inlineStr">
        <is>
          <t>VANSBRO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46268</v>
      </c>
      <c r="E485" s="1" t="n">
        <v>46311</v>
      </c>
      <c r="F485" t="inlineStr">
        <is>
          <t>DALARNAS LÄN</t>
        </is>
      </c>
      <c r="G485" t="inlineStr">
        <is>
          <t>VANSBRO</t>
        </is>
      </c>
      <c r="H485" t="inlineStr">
        <is>
          <t>Kyrkan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46311</v>
      </c>
      <c r="F486" t="inlineStr">
        <is>
          <t>DALARNAS LÄN</t>
        </is>
      </c>
      <c r="G486" t="inlineStr">
        <is>
          <t>VANSBRO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46082</v>
      </c>
      <c r="E487" s="1" t="n">
        <v>46311</v>
      </c>
      <c r="F487" t="inlineStr">
        <is>
          <t>DALARNAS LÄN</t>
        </is>
      </c>
      <c r="G487" t="inlineStr">
        <is>
          <t>VANSBRO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46082</v>
      </c>
      <c r="E488" s="1" t="n">
        <v>46311</v>
      </c>
      <c r="F488" t="inlineStr">
        <is>
          <t>DALARNAS LÄN</t>
        </is>
      </c>
      <c r="G488" t="inlineStr">
        <is>
          <t>VANSBRO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46311</v>
      </c>
      <c r="F489" t="inlineStr">
        <is>
          <t>DALARNAS LÄN</t>
        </is>
      </c>
      <c r="G489" t="inlineStr">
        <is>
          <t>VANSBRO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46311</v>
      </c>
      <c r="F490" t="inlineStr">
        <is>
          <t>DALARNAS LÄN</t>
        </is>
      </c>
      <c r="G490" t="inlineStr">
        <is>
          <t>VANSBRO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46311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46311</v>
      </c>
      <c r="F492" t="inlineStr">
        <is>
          <t>DALARNAS LÄN</t>
        </is>
      </c>
      <c r="G492" t="inlineStr">
        <is>
          <t>VANSBRO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1286-2024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45401</v>
      </c>
      <c r="E493" s="1" t="n">
        <v>46311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220.8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4782-2022</t>
        </is>
      </c>
      <c r="B494" t="inlineStr">
        <is>
          <t>samrådsanmälan</t>
        </is>
      </c>
      <c r="C494" t="inlineStr">
        <is>
          <t>Skogsbilväg</t>
        </is>
      </c>
      <c r="D494" s="1" t="n">
        <v>44802</v>
      </c>
      <c r="E494" s="1" t="n">
        <v>46311</v>
      </c>
      <c r="F494" t="inlineStr">
        <is>
          <t>DALARNAS LÄN</t>
        </is>
      </c>
      <c r="G494" t="inlineStr">
        <is>
          <t>VANSBRO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3514-2023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45208</v>
      </c>
      <c r="E495" s="1" t="n">
        <v>46311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37.8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409-2025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45699</v>
      </c>
      <c r="E496" s="1" t="n">
        <v>46311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277.1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91-2026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46035</v>
      </c>
      <c r="E497" s="1" t="n">
        <v>46311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153.5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>
      <c r="A498" t="inlineStr">
        <is>
          <t>S 747-2026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46089</v>
      </c>
      <c r="E498" s="1" t="n">
        <v>46311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82.40000000000001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2026-10-16T02:17:40Z</dcterms:created>
  <dcterms:modified xmlns:dcterms="http://purl.org/dc/terms/" xmlns:xsi="http://www.w3.org/2001/XMLSchema-instance" xsi:type="dcterms:W3CDTF">2026-10-16T02:17:40Z</dcterms:modified>
</cp:coreProperties>
</file>