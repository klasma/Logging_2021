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46233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46233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46233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46233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t="n">
        <v>0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46233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99</v>
      </c>
      <c r="U6" t="n">
        <v>99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46233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46233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46233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64</v>
      </c>
      <c r="U9" t="n">
        <v>64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46233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46233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46233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46233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46233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46233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28480-2026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46197</v>
      </c>
      <c r="E16" s="1" t="n">
        <v>46233</v>
      </c>
      <c r="F16" t="inlineStr">
        <is>
          <t>DALARNAS LÄN</t>
        </is>
      </c>
      <c r="G16" t="inlineStr">
        <is>
          <t>VANSBRO</t>
        </is>
      </c>
      <c r="H16" t="inlineStr">
        <is>
          <t>Bergvik skog öst AB</t>
        </is>
      </c>
      <c r="I16" t="n">
        <v>1.1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39</v>
      </c>
      <c r="U16" t="n">
        <v>39</v>
      </c>
      <c r="V16" s="2" t="inlineStr">
        <is>
          <t>Garnlav
Dropptaggsvamp
Kolflarnlav
Tallticka
Tretåig hackspett
Tjäder</t>
        </is>
      </c>
      <c r="W16">
        <f>HYPERLINK("https://klasma.github.io/Logging_2021/artfynd/A 28480-2026 artfynd.xlsx", "A 28480-2026")</f>
        <v/>
      </c>
      <c r="X16">
        <f>HYPERLINK("https://klasma.github.io/Logging_2021/kartor/A 28480-2026 karta.png", "A 28480-2026")</f>
        <v/>
      </c>
      <c r="Y16">
        <f>HYPERLINK("https://klasma.github.io/Logging_2021/kartor_geotiff/A 28480-2026 georefererad karta.tif", "A 28480-2026")</f>
        <v/>
      </c>
      <c r="AA16">
        <f>HYPERLINK("https://klasma.github.io/Logging_2021/klagomål/A 28480-2026 FSC-klagomål.docx", "A 28480-2026")</f>
        <v/>
      </c>
      <c r="AB16">
        <f>HYPERLINK("https://klasma.github.io/Logging_2021/klagomålsmail/A 28480-2026 FSC-klagomål mail.docx", "A 28480-2026")</f>
        <v/>
      </c>
      <c r="AC16">
        <f>HYPERLINK("https://klasma.github.io/Logging_2021/tillsyn/A 28480-2026 tillsynsbegäran.docx", "A 28480-2026")</f>
        <v/>
      </c>
      <c r="AD16">
        <f>HYPERLINK("https://klasma.github.io/Logging_2021/tillsynsmail/A 28480-2026 tillsynsbegäran mail.docx", "A 28480-2026")</f>
        <v/>
      </c>
      <c r="AE16">
        <f>HYPERLINK("https://klasma.github.io/Logging_2021/fåglar/A 28480-2026 prioriterade fågelarter.docx", "A 28480-2026")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46233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46233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21</v>
      </c>
      <c r="U18" t="n">
        <v>21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46233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34</v>
      </c>
      <c r="U19" t="n">
        <v>34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46233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46233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46233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13339-2025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46233</v>
      </c>
      <c r="F23" t="inlineStr">
        <is>
          <t>DALARNAS LÄN</t>
        </is>
      </c>
      <c r="G23" t="inlineStr">
        <is>
          <t>VANSBRO</t>
        </is>
      </c>
      <c r="I23" t="n">
        <v>0.4</v>
      </c>
      <c r="J23" t="n">
        <v>1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5</v>
      </c>
      <c r="U23" t="n">
        <v>5</v>
      </c>
      <c r="V23" s="2" t="inlineStr">
        <is>
          <t>Garnlav
Knärot
Dropptaggsvamp
Mörk kolflarnlav</t>
        </is>
      </c>
      <c r="W23">
        <f>HYPERLINK("https://klasma.github.io/Logging_2021/artfynd/A 13339-2025 artfynd.xlsx", "A 13339-2025")</f>
        <v/>
      </c>
      <c r="X23">
        <f>HYPERLINK("https://klasma.github.io/Logging_2021/kartor/A 13339-2025 karta.png", "A 13339-2025")</f>
        <v/>
      </c>
      <c r="Y23">
        <f>HYPERLINK("https://klasma.github.io/Logging_2021/kartor_geotiff/A 13339-2025 georefererad karta.tif", "A 13339-2025")</f>
        <v/>
      </c>
      <c r="Z23">
        <f>HYPERLINK("https://klasma.github.io/Logging_2021/knärot/A 13339-2025 karta knärot.png", "A 13339-2025")</f>
        <v/>
      </c>
      <c r="AA23">
        <f>HYPERLINK("https://klasma.github.io/Logging_2021/klagomål/A 13339-2025 FSC-klagomål.docx", "A 13339-2025")</f>
        <v/>
      </c>
      <c r="AB23">
        <f>HYPERLINK("https://klasma.github.io/Logging_2021/klagomålsmail/A 13339-2025 FSC-klagomål mail.docx", "A 13339-2025")</f>
        <v/>
      </c>
      <c r="AC23">
        <f>HYPERLINK("https://klasma.github.io/Logging_2021/tillsyn/A 13339-2025 tillsynsbegäran.docx", "A 13339-2025")</f>
        <v/>
      </c>
      <c r="AD23">
        <f>HYPERLINK("https://klasma.github.io/Logging_2021/tillsynsmail/A 13339-2025 tillsynsbegäran mail.docx", "A 13339-2025")</f>
        <v/>
      </c>
    </row>
    <row r="24" ht="15" customHeight="1">
      <c r="A24" t="inlineStr">
        <is>
          <t>A 13344-2025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46233</v>
      </c>
      <c r="F24" t="inlineStr">
        <is>
          <t>DALARNAS LÄN</t>
        </is>
      </c>
      <c r="G24" t="inlineStr">
        <is>
          <t>VANSBRO</t>
        </is>
      </c>
      <c r="I24" t="n">
        <v>0.5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6</v>
      </c>
      <c r="V24" s="2" t="inlineStr">
        <is>
          <t>Knärot
Mörk kolflarnlav
Ullticka
Tjäder</t>
        </is>
      </c>
      <c r="W24">
        <f>HYPERLINK("https://klasma.github.io/Logging_2021/artfynd/A 13344-2025 artfynd.xlsx", "A 13344-2025")</f>
        <v/>
      </c>
      <c r="X24">
        <f>HYPERLINK("https://klasma.github.io/Logging_2021/kartor/A 13344-2025 karta.png", "A 13344-2025")</f>
        <v/>
      </c>
      <c r="Y24">
        <f>HYPERLINK("https://klasma.github.io/Logging_2021/kartor_geotiff/A 13344-2025 georefererad karta.tif", "A 13344-2025")</f>
        <v/>
      </c>
      <c r="Z24">
        <f>HYPERLINK("https://klasma.github.io/Logging_2021/knärot/A 13344-2025 karta knärot.png", "A 13344-2025")</f>
        <v/>
      </c>
      <c r="AA24">
        <f>HYPERLINK("https://klasma.github.io/Logging_2021/klagomål/A 13344-2025 FSC-klagomål.docx", "A 13344-2025")</f>
        <v/>
      </c>
      <c r="AB24">
        <f>HYPERLINK("https://klasma.github.io/Logging_2021/klagomålsmail/A 13344-2025 FSC-klagomål mail.docx", "A 13344-2025")</f>
        <v/>
      </c>
      <c r="AC24">
        <f>HYPERLINK("https://klasma.github.io/Logging_2021/tillsyn/A 13344-2025 tillsynsbegäran.docx", "A 13344-2025")</f>
        <v/>
      </c>
      <c r="AD24">
        <f>HYPERLINK("https://klasma.github.io/Logging_2021/tillsynsmail/A 13344-2025 tillsynsbegäran mail.docx", "A 13344-2025")</f>
        <v/>
      </c>
      <c r="AE24">
        <f>HYPERLINK("https://klasma.github.io/Logging_2021/fåglar/A 13344-2025 prioriterade fågelarter.docx", "A 13344-2025")</f>
        <v/>
      </c>
    </row>
    <row r="25" ht="15" customHeight="1">
      <c r="A25" t="inlineStr">
        <is>
          <t>A 33005-2025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46233</v>
      </c>
      <c r="F25" t="inlineStr">
        <is>
          <t>DALARNAS LÄN</t>
        </is>
      </c>
      <c r="G25" t="inlineStr">
        <is>
          <t>VANSBRO</t>
        </is>
      </c>
      <c r="I25" t="n">
        <v>5.5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5</v>
      </c>
      <c r="V25" s="2" t="inlineStr">
        <is>
          <t>Knärot
Kolflarnlav
Tretåig hackspett</t>
        </is>
      </c>
      <c r="W25">
        <f>HYPERLINK("https://klasma.github.io/Logging_2021/artfynd/A 33005-2025 artfynd.xlsx", "A 33005-2025")</f>
        <v/>
      </c>
      <c r="X25">
        <f>HYPERLINK("https://klasma.github.io/Logging_2021/kartor/A 33005-2025 karta.png", "A 33005-2025")</f>
        <v/>
      </c>
      <c r="Y25">
        <f>HYPERLINK("https://klasma.github.io/Logging_2021/kartor_geotiff/A 33005-2025 georefererad karta.tif", "A 33005-2025")</f>
        <v/>
      </c>
      <c r="Z25">
        <f>HYPERLINK("https://klasma.github.io/Logging_2021/knärot/A 33005-2025 karta knärot.png", "A 33005-2025")</f>
        <v/>
      </c>
      <c r="AA25">
        <f>HYPERLINK("https://klasma.github.io/Logging_2021/klagomål/A 33005-2025 FSC-klagomål.docx", "A 33005-2025")</f>
        <v/>
      </c>
      <c r="AB25">
        <f>HYPERLINK("https://klasma.github.io/Logging_2021/klagomålsmail/A 33005-2025 FSC-klagomål mail.docx", "A 33005-2025")</f>
        <v/>
      </c>
      <c r="AC25">
        <f>HYPERLINK("https://klasma.github.io/Logging_2021/tillsyn/A 33005-2025 tillsynsbegäran.docx", "A 33005-2025")</f>
        <v/>
      </c>
      <c r="AD25">
        <f>HYPERLINK("https://klasma.github.io/Logging_2021/tillsynsmail/A 33005-2025 tillsynsbegäran mail.docx", "A 33005-2025")</f>
        <v/>
      </c>
      <c r="AE25">
        <f>HYPERLINK("https://klasma.github.io/Logging_2021/fåglar/A 33005-2025 prioriterade fågelarter.docx", "A 33005-2025")</f>
        <v/>
      </c>
    </row>
    <row r="26" ht="15" customHeight="1">
      <c r="A26" t="inlineStr">
        <is>
          <t>A 16725-2024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45409</v>
      </c>
      <c r="E26" s="1" t="n">
        <v>46233</v>
      </c>
      <c r="F26" t="inlineStr">
        <is>
          <t>DALARNAS LÄN</t>
        </is>
      </c>
      <c r="G26" t="inlineStr">
        <is>
          <t>VANSBRO</t>
        </is>
      </c>
      <c r="I26" t="n">
        <v>3.1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Dropptaggsvamp
Skuggblåslav
Bollvitmossa</t>
        </is>
      </c>
      <c r="W26">
        <f>HYPERLINK("https://klasma.github.io/Logging_2021/artfynd/A 16725-2024 artfynd.xlsx", "A 16725-2024")</f>
        <v/>
      </c>
      <c r="X26">
        <f>HYPERLINK("https://klasma.github.io/Logging_2021/kartor/A 16725-2024 karta.png", "A 16725-2024")</f>
        <v/>
      </c>
      <c r="Y26">
        <f>HYPERLINK("https://klasma.github.io/Logging_2021/kartor_geotiff/A 16725-2024 georefererad karta.tif", "A 16725-2024")</f>
        <v/>
      </c>
      <c r="AA26">
        <f>HYPERLINK("https://klasma.github.io/Logging_2021/klagomål/A 16725-2024 FSC-klagomål.docx", "A 16725-2024")</f>
        <v/>
      </c>
      <c r="AB26">
        <f>HYPERLINK("https://klasma.github.io/Logging_2021/klagomålsmail/A 16725-2024 FSC-klagomål mail.docx", "A 16725-2024")</f>
        <v/>
      </c>
      <c r="AC26">
        <f>HYPERLINK("https://klasma.github.io/Logging_2021/tillsyn/A 16725-2024 tillsynsbegäran.docx", "A 16725-2024")</f>
        <v/>
      </c>
      <c r="AD26">
        <f>HYPERLINK("https://klasma.github.io/Logging_2021/tillsynsmail/A 16725-2024 tillsynsbegäran mail.docx", "A 16725-2024")</f>
        <v/>
      </c>
    </row>
    <row r="27" ht="15" customHeight="1">
      <c r="A27" t="inlineStr">
        <is>
          <t>A 27504-2025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45813</v>
      </c>
      <c r="E27" s="1" t="n">
        <v>46233</v>
      </c>
      <c r="F27" t="inlineStr">
        <is>
          <t>DALARNAS LÄN</t>
        </is>
      </c>
      <c r="G27" t="inlineStr">
        <is>
          <t>VANSBRO</t>
        </is>
      </c>
      <c r="H27" t="inlineStr">
        <is>
          <t>Bergvik skog väst AB</t>
        </is>
      </c>
      <c r="I27" t="n">
        <v>3.4</v>
      </c>
      <c r="J27" t="n">
        <v>0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Garnlav
Kortskaftad ärgspik
Vedticka</t>
        </is>
      </c>
      <c r="W27">
        <f>HYPERLINK("https://klasma.github.io/Logging_2021/artfynd/A 27504-2025 artfynd.xlsx", "A 27504-2025")</f>
        <v/>
      </c>
      <c r="X27">
        <f>HYPERLINK("https://klasma.github.io/Logging_2021/kartor/A 27504-2025 karta.png", "A 27504-2025")</f>
        <v/>
      </c>
      <c r="Y27">
        <f>HYPERLINK("https://klasma.github.io/Logging_2021/kartor_geotiff/A 27504-2025 georefererad karta.tif", "A 27504-2025")</f>
        <v/>
      </c>
      <c r="AA27">
        <f>HYPERLINK("https://klasma.github.io/Logging_2021/klagomål/A 27504-2025 FSC-klagomål.docx", "A 27504-2025")</f>
        <v/>
      </c>
      <c r="AB27">
        <f>HYPERLINK("https://klasma.github.io/Logging_2021/klagomålsmail/A 27504-2025 FSC-klagomål mail.docx", "A 27504-2025")</f>
        <v/>
      </c>
      <c r="AC27">
        <f>HYPERLINK("https://klasma.github.io/Logging_2021/tillsyn/A 27504-2025 tillsynsbegäran.docx", "A 27504-2025")</f>
        <v/>
      </c>
      <c r="AD27">
        <f>HYPERLINK("https://klasma.github.io/Logging_2021/tillsynsmail/A 27504-2025 tillsynsbegäran mail.docx", "A 27504-2025")</f>
        <v/>
      </c>
    </row>
    <row r="28" ht="15" customHeight="1">
      <c r="A28" t="inlineStr">
        <is>
          <t>A 11433-2025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45726</v>
      </c>
      <c r="E28" s="1" t="n">
        <v>46233</v>
      </c>
      <c r="F28" t="inlineStr">
        <is>
          <t>DALARNAS LÄN</t>
        </is>
      </c>
      <c r="G28" t="inlineStr">
        <is>
          <t>VANSBRO</t>
        </is>
      </c>
      <c r="I28" t="n">
        <v>7.5</v>
      </c>
      <c r="J28" t="n">
        <v>1</v>
      </c>
      <c r="K28" t="n">
        <v>1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24</v>
      </c>
      <c r="U28" t="n">
        <v>24</v>
      </c>
      <c r="V28" s="2" t="inlineStr">
        <is>
          <t>Garnlav
Knärot
Bollvitmossa</t>
        </is>
      </c>
      <c r="W28">
        <f>HYPERLINK("https://klasma.github.io/Logging_2021/artfynd/A 11433-2025 artfynd.xlsx", "A 11433-2025")</f>
        <v/>
      </c>
      <c r="X28">
        <f>HYPERLINK("https://klasma.github.io/Logging_2021/kartor/A 11433-2025 karta.png", "A 11433-2025")</f>
        <v/>
      </c>
      <c r="Y28">
        <f>HYPERLINK("https://klasma.github.io/Logging_2021/kartor_geotiff/A 11433-2025 georefererad karta.tif", "A 11433-2025")</f>
        <v/>
      </c>
      <c r="Z28">
        <f>HYPERLINK("https://klasma.github.io/Logging_2021/knärot/A 11433-2025 karta knärot.png", "A 11433-2025")</f>
        <v/>
      </c>
      <c r="AA28">
        <f>HYPERLINK("https://klasma.github.io/Logging_2021/klagomål/A 11433-2025 FSC-klagomål.docx", "A 11433-2025")</f>
        <v/>
      </c>
      <c r="AB28">
        <f>HYPERLINK("https://klasma.github.io/Logging_2021/klagomålsmail/A 11433-2025 FSC-klagomål mail.docx", "A 11433-2025")</f>
        <v/>
      </c>
      <c r="AC28">
        <f>HYPERLINK("https://klasma.github.io/Logging_2021/tillsyn/A 11433-2025 tillsynsbegäran.docx", "A 11433-2025")</f>
        <v/>
      </c>
      <c r="AD28">
        <f>HYPERLINK("https://klasma.github.io/Logging_2021/tillsynsmail/A 11433-2025 tillsynsbegäran mail.docx", "A 11433-2025")</f>
        <v/>
      </c>
    </row>
    <row r="29" ht="15" customHeight="1">
      <c r="A29" t="inlineStr">
        <is>
          <t>A 33898-2022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46233</v>
      </c>
      <c r="F29" t="inlineStr">
        <is>
          <t>DALARNAS LÄN</t>
        </is>
      </c>
      <c r="G29" t="inlineStr">
        <is>
          <t>VANSBRO</t>
        </is>
      </c>
      <c r="I29" t="n">
        <v>2.8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2</v>
      </c>
      <c r="V29" s="2" t="inlineStr">
        <is>
          <t>Knärot
Kungsfågel</t>
        </is>
      </c>
      <c r="W29">
        <f>HYPERLINK("https://klasma.github.io/Logging_2021/artfynd/A 33898-2022 artfynd.xlsx", "A 33898-2022")</f>
        <v/>
      </c>
      <c r="X29">
        <f>HYPERLINK("https://klasma.github.io/Logging_2021/kartor/A 33898-2022 karta.png", "A 33898-2022")</f>
        <v/>
      </c>
      <c r="Y29">
        <f>HYPERLINK("https://klasma.github.io/Logging_2021/kartor_geotiff/A 33898-2022 georefererad karta.tif", "A 33898-2022")</f>
        <v/>
      </c>
      <c r="Z29">
        <f>HYPERLINK("https://klasma.github.io/Logging_2021/knärot/A 33898-2022 karta knärot.png", "A 33898-2022")</f>
        <v/>
      </c>
      <c r="AA29">
        <f>HYPERLINK("https://klasma.github.io/Logging_2021/klagomål/A 33898-2022 FSC-klagomål.docx", "A 33898-2022")</f>
        <v/>
      </c>
      <c r="AB29">
        <f>HYPERLINK("https://klasma.github.io/Logging_2021/klagomålsmail/A 33898-2022 FSC-klagomål mail.docx", "A 33898-2022")</f>
        <v/>
      </c>
      <c r="AC29">
        <f>HYPERLINK("https://klasma.github.io/Logging_2021/tillsyn/A 33898-2022 tillsynsbegäran.docx", "A 33898-2022")</f>
        <v/>
      </c>
      <c r="AD29">
        <f>HYPERLINK("https://klasma.github.io/Logging_2021/tillsynsmail/A 33898-2022 tillsynsbegäran mail.docx", "A 33898-2022")</f>
        <v/>
      </c>
    </row>
    <row r="30" ht="15" customHeight="1">
      <c r="A30" t="inlineStr">
        <is>
          <t>A 13323-2025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45735</v>
      </c>
      <c r="E30" s="1" t="n">
        <v>46233</v>
      </c>
      <c r="F30" t="inlineStr">
        <is>
          <t>DALARNAS LÄN</t>
        </is>
      </c>
      <c r="G30" t="inlineStr">
        <is>
          <t>VANSBRO</t>
        </is>
      </c>
      <c r="I30" t="n">
        <v>2.1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4</v>
      </c>
      <c r="V30" s="2" t="inlineStr">
        <is>
          <t>Knärot
Ullticka</t>
        </is>
      </c>
      <c r="W30">
        <f>HYPERLINK("https://klasma.github.io/Logging_2021/artfynd/A 13323-2025 artfynd.xlsx", "A 13323-2025")</f>
        <v/>
      </c>
      <c r="X30">
        <f>HYPERLINK("https://klasma.github.io/Logging_2021/kartor/A 13323-2025 karta.png", "A 13323-2025")</f>
        <v/>
      </c>
      <c r="Y30">
        <f>HYPERLINK("https://klasma.github.io/Logging_2021/kartor_geotiff/A 13323-2025 georefererad karta.tif", "A 13323-2025")</f>
        <v/>
      </c>
      <c r="Z30">
        <f>HYPERLINK("https://klasma.github.io/Logging_2021/knärot/A 13323-2025 karta knärot.png", "A 13323-2025")</f>
        <v/>
      </c>
      <c r="AA30">
        <f>HYPERLINK("https://klasma.github.io/Logging_2021/klagomål/A 13323-2025 FSC-klagomål.docx", "A 13323-2025")</f>
        <v/>
      </c>
      <c r="AB30">
        <f>HYPERLINK("https://klasma.github.io/Logging_2021/klagomålsmail/A 13323-2025 FSC-klagomål mail.docx", "A 13323-2025")</f>
        <v/>
      </c>
      <c r="AC30">
        <f>HYPERLINK("https://klasma.github.io/Logging_2021/tillsyn/A 13323-2025 tillsynsbegäran.docx", "A 13323-2025")</f>
        <v/>
      </c>
      <c r="AD30">
        <f>HYPERLINK("https://klasma.github.io/Logging_2021/tillsynsmail/A 13323-2025 tillsynsbegäran mail.docx", "A 13323-2025")</f>
        <v/>
      </c>
    </row>
    <row r="31" ht="15" customHeight="1">
      <c r="A31" t="inlineStr">
        <is>
          <t>A 1691-2026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46233</v>
      </c>
      <c r="F31" t="inlineStr">
        <is>
          <t>DALARNAS LÄN</t>
        </is>
      </c>
      <c r="G31" t="inlineStr">
        <is>
          <t>VANSBRO</t>
        </is>
      </c>
      <c r="I31" t="n">
        <v>6.3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Dropptaggsvamp
Motaggsvamp</t>
        </is>
      </c>
      <c r="W31">
        <f>HYPERLINK("https://klasma.github.io/Logging_2021/artfynd/A 1691-2026 artfynd.xlsx", "A 1691-2026")</f>
        <v/>
      </c>
      <c r="X31">
        <f>HYPERLINK("https://klasma.github.io/Logging_2021/kartor/A 1691-2026 karta.png", "A 1691-2026")</f>
        <v/>
      </c>
      <c r="Y31">
        <f>HYPERLINK("https://klasma.github.io/Logging_2021/kartor_geotiff/A 1691-2026 georefererad karta.tif", "A 1691-2026")</f>
        <v/>
      </c>
      <c r="AA31">
        <f>HYPERLINK("https://klasma.github.io/Logging_2021/klagomål/A 1691-2026 FSC-klagomål.docx", "A 1691-2026")</f>
        <v/>
      </c>
      <c r="AB31">
        <f>HYPERLINK("https://klasma.github.io/Logging_2021/klagomålsmail/A 1691-2026 FSC-klagomål mail.docx", "A 1691-2026")</f>
        <v/>
      </c>
      <c r="AC31">
        <f>HYPERLINK("https://klasma.github.io/Logging_2021/tillsyn/A 1691-2026 tillsynsbegäran.docx", "A 1691-2026")</f>
        <v/>
      </c>
      <c r="AD31">
        <f>HYPERLINK("https://klasma.github.io/Logging_2021/tillsynsmail/A 1691-2026 tillsynsbegäran mail.docx", "A 1691-2026")</f>
        <v/>
      </c>
    </row>
    <row r="32" ht="15" customHeight="1">
      <c r="A32" t="inlineStr">
        <is>
          <t>A 14475-2024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45394</v>
      </c>
      <c r="E32" s="1" t="n">
        <v>46233</v>
      </c>
      <c r="F32" t="inlineStr">
        <is>
          <t>DALARNAS LÄN</t>
        </is>
      </c>
      <c r="G32" t="inlineStr">
        <is>
          <t>VANSBRO</t>
        </is>
      </c>
      <c r="I32" t="n">
        <v>20.4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3</v>
      </c>
      <c r="U32" t="n">
        <v>3</v>
      </c>
      <c r="V32" s="2" t="inlineStr">
        <is>
          <t>Garnlav
Dropptaggsvamp</t>
        </is>
      </c>
      <c r="W32">
        <f>HYPERLINK("https://klasma.github.io/Logging_2021/artfynd/A 14475-2024 artfynd.xlsx", "A 14475-2024")</f>
        <v/>
      </c>
      <c r="X32">
        <f>HYPERLINK("https://klasma.github.io/Logging_2021/kartor/A 14475-2024 karta.png", "A 14475-2024")</f>
        <v/>
      </c>
      <c r="Y32">
        <f>HYPERLINK("https://klasma.github.io/Logging_2021/kartor_geotiff/A 14475-2024 georefererad karta.tif", "A 14475-2024")</f>
        <v/>
      </c>
      <c r="AA32">
        <f>HYPERLINK("https://klasma.github.io/Logging_2021/klagomål/A 14475-2024 FSC-klagomål.docx", "A 14475-2024")</f>
        <v/>
      </c>
      <c r="AB32">
        <f>HYPERLINK("https://klasma.github.io/Logging_2021/klagomålsmail/A 14475-2024 FSC-klagomål mail.docx", "A 14475-2024")</f>
        <v/>
      </c>
      <c r="AC32">
        <f>HYPERLINK("https://klasma.github.io/Logging_2021/tillsyn/A 14475-2024 tillsynsbegäran.docx", "A 14475-2024")</f>
        <v/>
      </c>
      <c r="AD32">
        <f>HYPERLINK("https://klasma.github.io/Logging_2021/tillsynsmail/A 14475-2024 tillsynsbegäran mail.docx", "A 14475-2024")</f>
        <v/>
      </c>
    </row>
    <row r="33" ht="15" customHeight="1">
      <c r="A33" t="inlineStr">
        <is>
          <t>A 19656-2026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46134</v>
      </c>
      <c r="E33" s="1" t="n">
        <v>46233</v>
      </c>
      <c r="F33" t="inlineStr">
        <is>
          <t>DALARNAS LÄN</t>
        </is>
      </c>
      <c r="G33" t="inlineStr">
        <is>
          <t>VANSBRO</t>
        </is>
      </c>
      <c r="H33" t="inlineStr">
        <is>
          <t>Bergvik skog väst AB</t>
        </is>
      </c>
      <c r="I33" t="n">
        <v>18.2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Ängsblåvinge
Berggräsfjäril</t>
        </is>
      </c>
      <c r="W33">
        <f>HYPERLINK("https://klasma.github.io/Logging_2021/artfynd/A 19656-2026 artfynd.xlsx", "A 19656-2026")</f>
        <v/>
      </c>
      <c r="X33">
        <f>HYPERLINK("https://klasma.github.io/Logging_2021/kartor/A 19656-2026 karta.png", "A 19656-2026")</f>
        <v/>
      </c>
      <c r="Y33">
        <f>HYPERLINK("https://klasma.github.io/Logging_2021/kartor_geotiff/A 19656-2026 georefererad karta.tif", "A 19656-2026")</f>
        <v/>
      </c>
      <c r="AA33">
        <f>HYPERLINK("https://klasma.github.io/Logging_2021/klagomål/A 19656-2026 FSC-klagomål.docx", "A 19656-2026")</f>
        <v/>
      </c>
      <c r="AB33">
        <f>HYPERLINK("https://klasma.github.io/Logging_2021/klagomålsmail/A 19656-2026 FSC-klagomål mail.docx", "A 19656-2026")</f>
        <v/>
      </c>
      <c r="AC33">
        <f>HYPERLINK("https://klasma.github.io/Logging_2021/tillsyn/A 19656-2026 tillsynsbegäran.docx", "A 19656-2026")</f>
        <v/>
      </c>
      <c r="AD33">
        <f>HYPERLINK("https://klasma.github.io/Logging_2021/tillsynsmail/A 19656-2026 tillsynsbegäran mail.docx", "A 19656-2026")</f>
        <v/>
      </c>
    </row>
    <row r="34" ht="15" customHeight="1">
      <c r="A34" t="inlineStr">
        <is>
          <t>A 58009-2023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45247</v>
      </c>
      <c r="E34" s="1" t="n">
        <v>46233</v>
      </c>
      <c r="F34" t="inlineStr">
        <is>
          <t>DALARNAS LÄN</t>
        </is>
      </c>
      <c r="G34" t="inlineStr">
        <is>
          <t>VANSBRO</t>
        </is>
      </c>
      <c r="I34" t="n">
        <v>0.5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Sädesärla
Orre</t>
        </is>
      </c>
      <c r="W34">
        <f>HYPERLINK("https://klasma.github.io/Logging_2021/artfynd/A 58009-2023 artfynd.xlsx", "A 58009-2023")</f>
        <v/>
      </c>
      <c r="X34">
        <f>HYPERLINK("https://klasma.github.io/Logging_2021/kartor/A 58009-2023 karta.png", "A 58009-2023")</f>
        <v/>
      </c>
      <c r="Y34">
        <f>HYPERLINK("https://klasma.github.io/Logging_2021/kartor_geotiff/A 58009-2023 georefererad karta.tif", "A 58009-2023")</f>
        <v/>
      </c>
      <c r="AA34">
        <f>HYPERLINK("https://klasma.github.io/Logging_2021/klagomål/A 58009-2023 FSC-klagomål.docx", "A 58009-2023")</f>
        <v/>
      </c>
      <c r="AB34">
        <f>HYPERLINK("https://klasma.github.io/Logging_2021/klagomålsmail/A 58009-2023 FSC-klagomål mail.docx", "A 58009-2023")</f>
        <v/>
      </c>
      <c r="AC34">
        <f>HYPERLINK("https://klasma.github.io/Logging_2021/tillsyn/A 58009-2023 tillsynsbegäran.docx", "A 58009-2023")</f>
        <v/>
      </c>
      <c r="AD34">
        <f>HYPERLINK("https://klasma.github.io/Logging_2021/tillsynsmail/A 58009-2023 tillsynsbegäran mail.docx", "A 58009-2023")</f>
        <v/>
      </c>
      <c r="AE34">
        <f>HYPERLINK("https://klasma.github.io/Logging_2021/fåglar/A 58009-2023 prioriterade fågelarter.docx", "A 58009-2023")</f>
        <v/>
      </c>
    </row>
    <row r="35" ht="15" customHeight="1">
      <c r="A35" t="inlineStr">
        <is>
          <t>A 45205-2021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44439</v>
      </c>
      <c r="E35" s="1" t="n">
        <v>46233</v>
      </c>
      <c r="F35" t="inlineStr">
        <is>
          <t>DALARNAS LÄN</t>
        </is>
      </c>
      <c r="G35" t="inlineStr">
        <is>
          <t>VANSBRO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HYPERLINK("https://klasma.github.io/Logging_2021/artfynd/A 45205-2021 artfynd.xlsx", "A 45205-2021")</f>
        <v/>
      </c>
      <c r="X35">
        <f>HYPERLINK("https://klasma.github.io/Logging_2021/kartor/A 45205-2021 karta.png", "A 45205-2021")</f>
        <v/>
      </c>
      <c r="Y35">
        <f>HYPERLINK("https://klasma.github.io/Logging_2021/kartor_geotiff/A 45205-2021 georefererad karta.tif", "A 45205-2021")</f>
        <v/>
      </c>
      <c r="AA35">
        <f>HYPERLINK("https://klasma.github.io/Logging_2021/klagomål/A 45205-2021 FSC-klagomål.docx", "A 45205-2021")</f>
        <v/>
      </c>
      <c r="AB35">
        <f>HYPERLINK("https://klasma.github.io/Logging_2021/klagomålsmail/A 45205-2021 FSC-klagomål mail.docx", "A 45205-2021")</f>
        <v/>
      </c>
      <c r="AC35">
        <f>HYPERLINK("https://klasma.github.io/Logging_2021/tillsyn/A 45205-2021 tillsynsbegäran.docx", "A 45205-2021")</f>
        <v/>
      </c>
      <c r="AD35">
        <f>HYPERLINK("https://klasma.github.io/Logging_2021/tillsynsmail/A 45205-2021 tillsynsbegäran mail.docx", "A 45205-2021")</f>
        <v/>
      </c>
    </row>
    <row r="36" ht="15" customHeight="1">
      <c r="A36" t="inlineStr">
        <is>
          <t>A 50688-2021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46233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öst AB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Rynkskinn</t>
        </is>
      </c>
      <c r="W36">
        <f>HYPERLINK("https://klasma.github.io/Logging_2021/artfynd/A 50688-2021 artfynd.xlsx", "A 50688-2021")</f>
        <v/>
      </c>
      <c r="X36">
        <f>HYPERLINK("https://klasma.github.io/Logging_2021/kartor/A 50688-2021 karta.png", "A 50688-2021")</f>
        <v/>
      </c>
      <c r="Y36">
        <f>HYPERLINK("https://klasma.github.io/Logging_2021/kartor_geotiff/A 50688-2021 georefererad karta.tif", "A 50688-2021")</f>
        <v/>
      </c>
      <c r="AA36">
        <f>HYPERLINK("https://klasma.github.io/Logging_2021/klagomål/A 50688-2021 FSC-klagomål.docx", "A 50688-2021")</f>
        <v/>
      </c>
      <c r="AB36">
        <f>HYPERLINK("https://klasma.github.io/Logging_2021/klagomålsmail/A 50688-2021 FSC-klagomål mail.docx", "A 50688-2021")</f>
        <v/>
      </c>
      <c r="AC36">
        <f>HYPERLINK("https://klasma.github.io/Logging_2021/tillsyn/A 50688-2021 tillsynsbegäran.docx", "A 50688-2021")</f>
        <v/>
      </c>
      <c r="AD36">
        <f>HYPERLINK("https://klasma.github.io/Logging_2021/tillsynsmail/A 50688-2021 tillsynsbegäran mail.docx", "A 50688-2021")</f>
        <v/>
      </c>
    </row>
    <row r="37" ht="15" customHeight="1">
      <c r="A37" t="inlineStr">
        <is>
          <t>A 51579-2021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44462</v>
      </c>
      <c r="E37" s="1" t="n">
        <v>46233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14.3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Kolflarnlav</t>
        </is>
      </c>
      <c r="W37">
        <f>HYPERLINK("https://klasma.github.io/Logging_2021/artfynd/A 51579-2021 artfynd.xlsx", "A 51579-2021")</f>
        <v/>
      </c>
      <c r="X37">
        <f>HYPERLINK("https://klasma.github.io/Logging_2021/kartor/A 51579-2021 karta.png", "A 51579-2021")</f>
        <v/>
      </c>
      <c r="Y37">
        <f>HYPERLINK("https://klasma.github.io/Logging_2021/kartor_geotiff/A 51579-2021 georefererad karta.tif", "A 51579-2021")</f>
        <v/>
      </c>
      <c r="AA37">
        <f>HYPERLINK("https://klasma.github.io/Logging_2021/klagomål/A 51579-2021 FSC-klagomål.docx", "A 51579-2021")</f>
        <v/>
      </c>
      <c r="AB37">
        <f>HYPERLINK("https://klasma.github.io/Logging_2021/klagomålsmail/A 51579-2021 FSC-klagomål mail.docx", "A 51579-2021")</f>
        <v/>
      </c>
      <c r="AC37">
        <f>HYPERLINK("https://klasma.github.io/Logging_2021/tillsyn/A 51579-2021 tillsynsbegäran.docx", "A 51579-2021")</f>
        <v/>
      </c>
      <c r="AD37">
        <f>HYPERLINK("https://klasma.github.io/Logging_2021/tillsynsmail/A 51579-2021 tillsynsbegäran mail.docx", "A 51579-2021")</f>
        <v/>
      </c>
    </row>
    <row r="38" ht="15" customHeight="1">
      <c r="A38" t="inlineStr">
        <is>
          <t>A 27052-2025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45811</v>
      </c>
      <c r="E38" s="1" t="n">
        <v>46233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väst AB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HYPERLINK("https://klasma.github.io/Logging_2021/artfynd/A 27052-2025 artfynd.xlsx", "A 27052-2025")</f>
        <v/>
      </c>
      <c r="X38">
        <f>HYPERLINK("https://klasma.github.io/Logging_2021/kartor/A 27052-2025 karta.png", "A 27052-2025")</f>
        <v/>
      </c>
      <c r="Y38">
        <f>HYPERLINK("https://klasma.github.io/Logging_2021/kartor_geotiff/A 27052-2025 georefererad karta.tif", "A 27052-2025")</f>
        <v/>
      </c>
      <c r="AA38">
        <f>HYPERLINK("https://klasma.github.io/Logging_2021/klagomål/A 27052-2025 FSC-klagomål.docx", "A 27052-2025")</f>
        <v/>
      </c>
      <c r="AB38">
        <f>HYPERLINK("https://klasma.github.io/Logging_2021/klagomålsmail/A 27052-2025 FSC-klagomål mail.docx", "A 27052-2025")</f>
        <v/>
      </c>
      <c r="AC38">
        <f>HYPERLINK("https://klasma.github.io/Logging_2021/tillsyn/A 27052-2025 tillsynsbegäran.docx", "A 27052-2025")</f>
        <v/>
      </c>
      <c r="AD38">
        <f>HYPERLINK("https://klasma.github.io/Logging_2021/tillsynsmail/A 27052-2025 tillsynsbegäran mail.docx", "A 27052-2025")</f>
        <v/>
      </c>
      <c r="AE38">
        <f>HYPERLINK("https://klasma.github.io/Logging_2021/fåglar/A 27052-2025 prioriterade fågelarter.docx", "A 27052-2025")</f>
        <v/>
      </c>
    </row>
    <row r="39" ht="15" customHeight="1">
      <c r="A39" t="inlineStr">
        <is>
          <t>A 3918-2026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46233</v>
      </c>
      <c r="F39" t="inlineStr">
        <is>
          <t>DALARNAS LÄN</t>
        </is>
      </c>
      <c r="G39" t="inlineStr">
        <is>
          <t>VANSBRO</t>
        </is>
      </c>
      <c r="I39" t="n">
        <v>6.2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Duvhök</t>
        </is>
      </c>
      <c r="W39">
        <f>HYPERLINK("https://klasma.github.io/Logging_2021/artfynd/A 3918-2026 artfynd.xlsx", "A 3918-2026")</f>
        <v/>
      </c>
      <c r="X39">
        <f>HYPERLINK("https://klasma.github.io/Logging_2021/kartor/A 3918-2026 karta.png", "A 3918-2026")</f>
        <v/>
      </c>
      <c r="Y39">
        <f>HYPERLINK("https://klasma.github.io/Logging_2021/kartor_geotiff/A 3918-2026 georefererad karta.tif", "A 3918-2026")</f>
        <v/>
      </c>
      <c r="AA39">
        <f>HYPERLINK("https://klasma.github.io/Logging_2021/klagomål/A 3918-2026 FSC-klagomål.docx", "A 3918-2026")</f>
        <v/>
      </c>
      <c r="AB39">
        <f>HYPERLINK("https://klasma.github.io/Logging_2021/klagomålsmail/A 3918-2026 FSC-klagomål mail.docx", "A 3918-2026")</f>
        <v/>
      </c>
      <c r="AC39">
        <f>HYPERLINK("https://klasma.github.io/Logging_2021/tillsyn/A 3918-2026 tillsynsbegäran.docx", "A 3918-2026")</f>
        <v/>
      </c>
      <c r="AD39">
        <f>HYPERLINK("https://klasma.github.io/Logging_2021/tillsynsmail/A 3918-2026 tillsynsbegäran mail.docx", "A 3918-2026")</f>
        <v/>
      </c>
      <c r="AE39">
        <f>HYPERLINK("https://klasma.github.io/Logging_2021/fåglar/A 3918-2026 prioriterade fågelarter.docx", "A 3918-2026")</f>
        <v/>
      </c>
    </row>
    <row r="40" ht="15" customHeight="1">
      <c r="A40" t="inlineStr">
        <is>
          <t>A 32917-2025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45839</v>
      </c>
      <c r="E40" s="1" t="n">
        <v>46233</v>
      </c>
      <c r="F40" t="inlineStr">
        <is>
          <t>DALARNAS LÄN</t>
        </is>
      </c>
      <c r="G40" t="inlineStr">
        <is>
          <t>VANSBRO</t>
        </is>
      </c>
      <c r="I40" t="n">
        <v>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2</v>
      </c>
      <c r="V40" s="2" t="inlineStr">
        <is>
          <t>Garnlav</t>
        </is>
      </c>
      <c r="W40">
        <f>HYPERLINK("https://klasma.github.io/Logging_2021/artfynd/A 32917-2025 artfynd.xlsx", "A 32917-2025")</f>
        <v/>
      </c>
      <c r="X40">
        <f>HYPERLINK("https://klasma.github.io/Logging_2021/kartor/A 32917-2025 karta.png", "A 32917-2025")</f>
        <v/>
      </c>
      <c r="Y40">
        <f>HYPERLINK("https://klasma.github.io/Logging_2021/kartor_geotiff/A 32917-2025 georefererad karta.tif", "A 32917-2025")</f>
        <v/>
      </c>
      <c r="AA40">
        <f>HYPERLINK("https://klasma.github.io/Logging_2021/klagomål/A 32917-2025 FSC-klagomål.docx", "A 32917-2025")</f>
        <v/>
      </c>
      <c r="AB40">
        <f>HYPERLINK("https://klasma.github.io/Logging_2021/klagomålsmail/A 32917-2025 FSC-klagomål mail.docx", "A 32917-2025")</f>
        <v/>
      </c>
      <c r="AC40">
        <f>HYPERLINK("https://klasma.github.io/Logging_2021/tillsyn/A 32917-2025 tillsynsbegäran.docx", "A 32917-2025")</f>
        <v/>
      </c>
      <c r="AD40">
        <f>HYPERLINK("https://klasma.github.io/Logging_2021/tillsynsmail/A 32917-2025 tillsynsbegäran mail.docx", "A 32917-2025")</f>
        <v/>
      </c>
    </row>
    <row r="41" ht="15" customHeight="1">
      <c r="A41" t="inlineStr">
        <is>
          <t>A 33003-2025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45840</v>
      </c>
      <c r="E41" s="1" t="n">
        <v>46233</v>
      </c>
      <c r="F41" t="inlineStr">
        <is>
          <t>DALARNAS LÄN</t>
        </is>
      </c>
      <c r="G41" t="inlineStr">
        <is>
          <t>VANSBRO</t>
        </is>
      </c>
      <c r="I41" t="n">
        <v>2.3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3</v>
      </c>
      <c r="V41" s="2" t="inlineStr">
        <is>
          <t>Knärot</t>
        </is>
      </c>
      <c r="W41">
        <f>HYPERLINK("https://klasma.github.io/Logging_2021/artfynd/A 33003-2025 artfynd.xlsx", "A 33003-2025")</f>
        <v/>
      </c>
      <c r="X41">
        <f>HYPERLINK("https://klasma.github.io/Logging_2021/kartor/A 33003-2025 karta.png", "A 33003-2025")</f>
        <v/>
      </c>
      <c r="Y41">
        <f>HYPERLINK("https://klasma.github.io/Logging_2021/kartor_geotiff/A 33003-2025 georefererad karta.tif", "A 33003-2025")</f>
        <v/>
      </c>
      <c r="Z41">
        <f>HYPERLINK("https://klasma.github.io/Logging_2021/knärot/A 33003-2025 karta knärot.png", "A 33003-2025")</f>
        <v/>
      </c>
      <c r="AA41">
        <f>HYPERLINK("https://klasma.github.io/Logging_2021/klagomål/A 33003-2025 FSC-klagomål.docx", "A 33003-2025")</f>
        <v/>
      </c>
      <c r="AB41">
        <f>HYPERLINK("https://klasma.github.io/Logging_2021/klagomålsmail/A 33003-2025 FSC-klagomål mail.docx", "A 33003-2025")</f>
        <v/>
      </c>
      <c r="AC41">
        <f>HYPERLINK("https://klasma.github.io/Logging_2021/tillsyn/A 33003-2025 tillsynsbegäran.docx", "A 33003-2025")</f>
        <v/>
      </c>
      <c r="AD41">
        <f>HYPERLINK("https://klasma.github.io/Logging_2021/tillsynsmail/A 33003-2025 tillsynsbegäran mail.docx", "A 33003-2025")</f>
        <v/>
      </c>
    </row>
    <row r="42" ht="15" customHeight="1">
      <c r="A42" t="inlineStr">
        <is>
          <t>A 5659-2026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46051</v>
      </c>
      <c r="E42" s="1" t="n">
        <v>46233</v>
      </c>
      <c r="F42" t="inlineStr">
        <is>
          <t>DALARNAS LÄN</t>
        </is>
      </c>
      <c r="G42" t="inlineStr">
        <is>
          <t>VANSBRO</t>
        </is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rörsvepemossa</t>
        </is>
      </c>
      <c r="W42">
        <f>HYPERLINK("https://klasma.github.io/Logging_2021/artfynd/A 5659-2026 artfynd.xlsx", "A 5659-2026")</f>
        <v/>
      </c>
      <c r="X42">
        <f>HYPERLINK("https://klasma.github.io/Logging_2021/kartor/A 5659-2026 karta.png", "A 5659-2026")</f>
        <v/>
      </c>
      <c r="Y42">
        <f>HYPERLINK("https://klasma.github.io/Logging_2021/kartor_geotiff/A 5659-2026 georefererad karta.tif", "A 5659-2026")</f>
        <v/>
      </c>
      <c r="AA42">
        <f>HYPERLINK("https://klasma.github.io/Logging_2021/klagomål/A 5659-2026 FSC-klagomål.docx", "A 5659-2026")</f>
        <v/>
      </c>
      <c r="AB42">
        <f>HYPERLINK("https://klasma.github.io/Logging_2021/klagomålsmail/A 5659-2026 FSC-klagomål mail.docx", "A 5659-2026")</f>
        <v/>
      </c>
      <c r="AC42">
        <f>HYPERLINK("https://klasma.github.io/Logging_2021/tillsyn/A 5659-2026 tillsynsbegäran.docx", "A 5659-2026")</f>
        <v/>
      </c>
      <c r="AD42">
        <f>HYPERLINK("https://klasma.github.io/Logging_2021/tillsynsmail/A 5659-2026 tillsynsbegäran mail.docx", "A 5659-2026")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46233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46233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Tjäder</t>
        </is>
      </c>
      <c r="W44">
        <f>HYPERLINK("https://klasma.github.io/Logging_2021/artfynd/A 37219-2024 artfynd.xlsx", "A 37219-2024")</f>
        <v/>
      </c>
      <c r="X44">
        <f>HYPERLINK("https://klasma.github.io/Logging_2021/kartor/A 37219-2024 karta.png", "A 37219-2024")</f>
        <v/>
      </c>
      <c r="Y44">
        <f>HYPERLINK("https://klasma.github.io/Logging_2021/kartor_geotiff/A 37219-2024 georefererad karta.tif", "A 37219-2024")</f>
        <v/>
      </c>
      <c r="AA44">
        <f>HYPERLINK("https://klasma.github.io/Logging_2021/klagomål/A 37219-2024 FSC-klagomål.docx", "A 37219-2024")</f>
        <v/>
      </c>
      <c r="AB44">
        <f>HYPERLINK("https://klasma.github.io/Logging_2021/klagomålsmail/A 37219-2024 FSC-klagomål mail.docx", "A 37219-2024")</f>
        <v/>
      </c>
      <c r="AC44">
        <f>HYPERLINK("https://klasma.github.io/Logging_2021/tillsyn/A 37219-2024 tillsynsbegäran.docx", "A 37219-2024")</f>
        <v/>
      </c>
      <c r="AD44">
        <f>HYPERLINK("https://klasma.github.io/Logging_2021/tillsynsmail/A 37219-2024 tillsynsbegäran mail.docx", "A 37219-2024")</f>
        <v/>
      </c>
      <c r="AE44">
        <f>HYPERLINK("https://klasma.github.io/Logging_2021/fåglar/A 37219-2024 prioriterade fågelarter.docx", "A 37219-2024")</f>
        <v/>
      </c>
    </row>
    <row r="45" ht="15" customHeight="1">
      <c r="A45" t="inlineStr">
        <is>
          <t>A 20076-2026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46136</v>
      </c>
      <c r="E45" s="1" t="n">
        <v>46233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öst AB</t>
        </is>
      </c>
      <c r="I45" t="n">
        <v>13.2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Kransrams</t>
        </is>
      </c>
      <c r="W45">
        <f>HYPERLINK("https://klasma.github.io/Logging_2021/artfynd/A 20076-2026 artfynd.xlsx", "A 20076-2026")</f>
        <v/>
      </c>
      <c r="X45">
        <f>HYPERLINK("https://klasma.github.io/Logging_2021/kartor/A 20076-2026 karta.png", "A 20076-2026")</f>
        <v/>
      </c>
      <c r="Y45">
        <f>HYPERLINK("https://klasma.github.io/Logging_2021/kartor_geotiff/A 20076-2026 georefererad karta.tif", "A 20076-2026")</f>
        <v/>
      </c>
      <c r="AA45">
        <f>HYPERLINK("https://klasma.github.io/Logging_2021/klagomål/A 20076-2026 FSC-klagomål.docx", "A 20076-2026")</f>
        <v/>
      </c>
      <c r="AB45">
        <f>HYPERLINK("https://klasma.github.io/Logging_2021/klagomålsmail/A 20076-2026 FSC-klagomål mail.docx", "A 20076-2026")</f>
        <v/>
      </c>
      <c r="AC45">
        <f>HYPERLINK("https://klasma.github.io/Logging_2021/tillsyn/A 20076-2026 tillsynsbegäran.docx", "A 20076-2026")</f>
        <v/>
      </c>
      <c r="AD45">
        <f>HYPERLINK("https://klasma.github.io/Logging_2021/tillsynsmail/A 20076-2026 tillsynsbegäran mail.docx", "A 20076-2026")</f>
        <v/>
      </c>
    </row>
    <row r="46" ht="15" customHeight="1">
      <c r="A46" t="inlineStr">
        <is>
          <t>A 52675-2025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45956</v>
      </c>
      <c r="E46" s="1" t="n">
        <v>46233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väst AB</t>
        </is>
      </c>
      <c r="I46" t="n">
        <v>4.5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Motaggsvamp</t>
        </is>
      </c>
      <c r="W46">
        <f>HYPERLINK("https://klasma.github.io/Logging_2021/artfynd/A 52675-2025 artfynd.xlsx", "A 52675-2025")</f>
        <v/>
      </c>
      <c r="X46">
        <f>HYPERLINK("https://klasma.github.io/Logging_2021/kartor/A 52675-2025 karta.png", "A 52675-2025")</f>
        <v/>
      </c>
      <c r="Y46">
        <f>HYPERLINK("https://klasma.github.io/Logging_2021/kartor_geotiff/A 52675-2025 georefererad karta.tif", "A 52675-2025")</f>
        <v/>
      </c>
      <c r="AA46">
        <f>HYPERLINK("https://klasma.github.io/Logging_2021/klagomål/A 52675-2025 FSC-klagomål.docx", "A 52675-2025")</f>
        <v/>
      </c>
      <c r="AB46">
        <f>HYPERLINK("https://klasma.github.io/Logging_2021/klagomålsmail/A 52675-2025 FSC-klagomål mail.docx", "A 52675-2025")</f>
        <v/>
      </c>
      <c r="AC46">
        <f>HYPERLINK("https://klasma.github.io/Logging_2021/tillsyn/A 52675-2025 tillsynsbegäran.docx", "A 52675-2025")</f>
        <v/>
      </c>
      <c r="AD46">
        <f>HYPERLINK("https://klasma.github.io/Logging_2021/tillsynsmail/A 52675-2025 tillsynsbegäran mail.docx", "A 52675-2025")</f>
        <v/>
      </c>
    </row>
    <row r="47" ht="15" customHeight="1">
      <c r="A47" t="inlineStr">
        <is>
          <t>A 57810-2023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46233</v>
      </c>
      <c r="F47" t="inlineStr">
        <is>
          <t>DALARNAS LÄN</t>
        </is>
      </c>
      <c r="G47" t="inlineStr">
        <is>
          <t>VANSBRO</t>
        </is>
      </c>
      <c r="I47" t="n">
        <v>0.6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Järnsparv</t>
        </is>
      </c>
      <c r="W47">
        <f>HYPERLINK("https://klasma.github.io/Logging_2021/artfynd/A 57810-2023 artfynd.xlsx", "A 57810-2023")</f>
        <v/>
      </c>
      <c r="X47">
        <f>HYPERLINK("https://klasma.github.io/Logging_2021/kartor/A 57810-2023 karta.png", "A 57810-2023")</f>
        <v/>
      </c>
      <c r="Y47">
        <f>HYPERLINK("https://klasma.github.io/Logging_2021/kartor_geotiff/A 57810-2023 georefererad karta.tif", "A 57810-2023")</f>
        <v/>
      </c>
      <c r="AA47">
        <f>HYPERLINK("https://klasma.github.io/Logging_2021/klagomål/A 57810-2023 FSC-klagomål.docx", "A 57810-2023")</f>
        <v/>
      </c>
      <c r="AB47">
        <f>HYPERLINK("https://klasma.github.io/Logging_2021/klagomålsmail/A 57810-2023 FSC-klagomål mail.docx", "A 57810-2023")</f>
        <v/>
      </c>
      <c r="AC47">
        <f>HYPERLINK("https://klasma.github.io/Logging_2021/tillsyn/A 57810-2023 tillsynsbegäran.docx", "A 57810-2023")</f>
        <v/>
      </c>
      <c r="AD47">
        <f>HYPERLINK("https://klasma.github.io/Logging_2021/tillsynsmail/A 57810-2023 tillsynsbegäran mail.docx", "A 57810-2023")</f>
        <v/>
      </c>
      <c r="AE47">
        <f>HYPERLINK("https://klasma.github.io/Logging_2021/fåglar/A 57810-2023 prioriterade fågelarter.docx", "A 57810-2023")</f>
        <v/>
      </c>
    </row>
    <row r="48" ht="15" customHeight="1">
      <c r="A48" t="inlineStr">
        <is>
          <t>A 3854-2024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46233</v>
      </c>
      <c r="F48" t="inlineStr">
        <is>
          <t>DALARNAS LÄN</t>
        </is>
      </c>
      <c r="G48" t="inlineStr">
        <is>
          <t>VANSBRO</t>
        </is>
      </c>
      <c r="H48" t="inlineStr">
        <is>
          <t>Kyrkan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HYPERLINK("https://klasma.github.io/Logging_2021/artfynd/A 3854-2024 artfynd.xlsx", "A 3854-2024")</f>
        <v/>
      </c>
      <c r="X48">
        <f>HYPERLINK("https://klasma.github.io/Logging_2021/kartor/A 3854-2024 karta.png", "A 3854-2024")</f>
        <v/>
      </c>
      <c r="Y48">
        <f>HYPERLINK("https://klasma.github.io/Logging_2021/kartor_geotiff/A 3854-2024 georefererad karta.tif", "A 3854-2024")</f>
        <v/>
      </c>
      <c r="AA48">
        <f>HYPERLINK("https://klasma.github.io/Logging_2021/klagomål/A 3854-2024 FSC-klagomål.docx", "A 3854-2024")</f>
        <v/>
      </c>
      <c r="AB48">
        <f>HYPERLINK("https://klasma.github.io/Logging_2021/klagomålsmail/A 3854-2024 FSC-klagomål mail.docx", "A 3854-2024")</f>
        <v/>
      </c>
      <c r="AC48">
        <f>HYPERLINK("https://klasma.github.io/Logging_2021/tillsyn/A 3854-2024 tillsynsbegäran.docx", "A 3854-2024")</f>
        <v/>
      </c>
      <c r="AD48">
        <f>HYPERLINK("https://klasma.github.io/Logging_2021/tillsynsmail/A 3854-2024 tillsynsbegäran mail.docx", "A 3854-2024")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46233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26756-2026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46184</v>
      </c>
      <c r="E50" s="1" t="n">
        <v>46233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väst AB</t>
        </is>
      </c>
      <c r="I50" t="n">
        <v>11.4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Talltita</t>
        </is>
      </c>
      <c r="W50">
        <f>HYPERLINK("https://klasma.github.io/Logging_2021/artfynd/A 26756-2026 artfynd.xlsx", "A 26756-2026")</f>
        <v/>
      </c>
      <c r="X50">
        <f>HYPERLINK("https://klasma.github.io/Logging_2021/kartor/A 26756-2026 karta.png", "A 26756-2026")</f>
        <v/>
      </c>
      <c r="Y50">
        <f>HYPERLINK("https://klasma.github.io/Logging_2021/kartor_geotiff/A 26756-2026 georefererad karta.tif", "A 26756-2026")</f>
        <v/>
      </c>
      <c r="AA50">
        <f>HYPERLINK("https://klasma.github.io/Logging_2021/klagomål/A 26756-2026 FSC-klagomål.docx", "A 26756-2026")</f>
        <v/>
      </c>
      <c r="AB50">
        <f>HYPERLINK("https://klasma.github.io/Logging_2021/klagomålsmail/A 26756-2026 FSC-klagomål mail.docx", "A 26756-2026")</f>
        <v/>
      </c>
      <c r="AC50">
        <f>HYPERLINK("https://klasma.github.io/Logging_2021/tillsyn/A 26756-2026 tillsynsbegäran.docx", "A 26756-2026")</f>
        <v/>
      </c>
      <c r="AD50">
        <f>HYPERLINK("https://klasma.github.io/Logging_2021/tillsynsmail/A 26756-2026 tillsynsbegäran mail.docx", "A 26756-2026")</f>
        <v/>
      </c>
      <c r="AE50">
        <f>HYPERLINK("https://klasma.github.io/Logging_2021/fåglar/A 26756-2026 prioriterade fågelarter.docx", "A 26756-2026")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46233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46233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46233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46233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46233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46233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46233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46233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49022-2021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46233</v>
      </c>
      <c r="F59" t="inlineStr">
        <is>
          <t>DALARNAS LÄN</t>
        </is>
      </c>
      <c r="G59" t="inlineStr">
        <is>
          <t>VANSBRO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46233</v>
      </c>
      <c r="F60" t="inlineStr">
        <is>
          <t>DALARNAS LÄN</t>
        </is>
      </c>
      <c r="G60" t="inlineStr">
        <is>
          <t>VANSBRO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44708</v>
      </c>
      <c r="E61" s="1" t="n">
        <v>46233</v>
      </c>
      <c r="F61" t="inlineStr">
        <is>
          <t>DALARNAS LÄN</t>
        </is>
      </c>
      <c r="G61" t="inlineStr">
        <is>
          <t>VANSBRO</t>
        </is>
      </c>
      <c r="I61" t="n">
        <v>7.2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17804-2022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44673</v>
      </c>
      <c r="E62" s="1" t="n">
        <v>46233</v>
      </c>
      <c r="F62" t="inlineStr">
        <is>
          <t>DALARNAS LÄN</t>
        </is>
      </c>
      <c r="G62" t="inlineStr">
        <is>
          <t>VANSBRO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46233</v>
      </c>
      <c r="F63" t="inlineStr">
        <is>
          <t>DALARNAS LÄN</t>
        </is>
      </c>
      <c r="G63" t="inlineStr">
        <is>
          <t>VANSBRO</t>
        </is>
      </c>
      <c r="H63" t="inlineStr">
        <is>
          <t>Kyrkan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44742</v>
      </c>
      <c r="E64" s="1" t="n">
        <v>46233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46233</v>
      </c>
      <c r="F65" t="inlineStr">
        <is>
          <t>DALARNAS LÄN</t>
        </is>
      </c>
      <c r="G65" t="inlineStr">
        <is>
          <t>VANSBRO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46233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46233</v>
      </c>
      <c r="F67" t="inlineStr">
        <is>
          <t>DALARNAS LÄN</t>
        </is>
      </c>
      <c r="G67" t="inlineStr">
        <is>
          <t>VANSBRO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44672</v>
      </c>
      <c r="E68" s="1" t="n">
        <v>46233</v>
      </c>
      <c r="F68" t="inlineStr">
        <is>
          <t>DALARNAS LÄN</t>
        </is>
      </c>
      <c r="G68" t="inlineStr">
        <is>
          <t>VANSBRO</t>
        </is>
      </c>
      <c r="H68" t="inlineStr">
        <is>
          <t>Kyrkan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44739</v>
      </c>
      <c r="E69" s="1" t="n">
        <v>46233</v>
      </c>
      <c r="F69" t="inlineStr">
        <is>
          <t>DALARNAS LÄN</t>
        </is>
      </c>
      <c r="G69" t="inlineStr">
        <is>
          <t>VANSBRO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46233</v>
      </c>
      <c r="F70" t="inlineStr">
        <is>
          <t>DALARNAS LÄN</t>
        </is>
      </c>
      <c r="G70" t="inlineStr">
        <is>
          <t>VANSBRO</t>
        </is>
      </c>
      <c r="H70" t="inlineStr">
        <is>
          <t>Bergvik skog öst AB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46233</v>
      </c>
      <c r="F71" t="inlineStr">
        <is>
          <t>DALARNAS LÄN</t>
        </is>
      </c>
      <c r="G71" t="inlineStr">
        <is>
          <t>VANSBRO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46233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46233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46233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39438-2021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44414</v>
      </c>
      <c r="E75" s="1" t="n">
        <v>46233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46233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46233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46233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46233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46233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46233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56098-2021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44477</v>
      </c>
      <c r="E82" s="1" t="n">
        <v>46233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46233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46233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46233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46233</v>
      </c>
      <c r="F86" t="inlineStr">
        <is>
          <t>DALARNAS LÄN</t>
        </is>
      </c>
      <c r="G86" t="inlineStr">
        <is>
          <t>VANSBRO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46233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46233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46233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10012-2024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45363</v>
      </c>
      <c r="E90" s="1" t="n">
        <v>46233</v>
      </c>
      <c r="F90" t="inlineStr">
        <is>
          <t>DALARNAS LÄN</t>
        </is>
      </c>
      <c r="G90" t="inlineStr">
        <is>
          <t>VANSBRO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44837</v>
      </c>
      <c r="E91" s="1" t="n">
        <v>46233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46233</v>
      </c>
      <c r="F92" t="inlineStr">
        <is>
          <t>DALARNAS LÄN</t>
        </is>
      </c>
      <c r="G92" t="inlineStr">
        <is>
          <t>VANSBRO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46233</v>
      </c>
      <c r="F93" t="inlineStr">
        <is>
          <t>DALARNAS LÄN</t>
        </is>
      </c>
      <c r="G93" t="inlineStr">
        <is>
          <t>VANSBRO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35943-2024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45533</v>
      </c>
      <c r="E94" s="1" t="n">
        <v>46233</v>
      </c>
      <c r="F94" t="inlineStr">
        <is>
          <t>DALARNAS LÄN</t>
        </is>
      </c>
      <c r="G94" t="inlineStr">
        <is>
          <t>VANSBRO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45512</v>
      </c>
      <c r="E95" s="1" t="n">
        <v>46233</v>
      </c>
      <c r="F95" t="inlineStr">
        <is>
          <t>DALARNAS LÄN</t>
        </is>
      </c>
      <c r="G95" t="inlineStr">
        <is>
          <t>VANSBRO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53839-2022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44880</v>
      </c>
      <c r="E96" s="1" t="n">
        <v>46233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öst AB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47790-2024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46233</v>
      </c>
      <c r="F97" t="inlineStr">
        <is>
          <t>DALARNAS LÄN</t>
        </is>
      </c>
      <c r="G97" t="inlineStr">
        <is>
          <t>VANSBRO</t>
        </is>
      </c>
      <c r="H97" t="inlineStr">
        <is>
          <t>Övriga statliga verk och myndigheter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49565-2022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44862</v>
      </c>
      <c r="E98" s="1" t="n">
        <v>46233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46233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45457</v>
      </c>
      <c r="E100" s="1" t="n">
        <v>46233</v>
      </c>
      <c r="F100" t="inlineStr">
        <is>
          <t>DALARNAS LÄN</t>
        </is>
      </c>
      <c r="G100" t="inlineStr">
        <is>
          <t>VANSBRO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46233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46233</v>
      </c>
      <c r="F102" t="inlineStr">
        <is>
          <t>DALARNAS LÄN</t>
        </is>
      </c>
      <c r="G102" t="inlineStr">
        <is>
          <t>VANSBRO</t>
        </is>
      </c>
      <c r="H102" t="inlineStr">
        <is>
          <t>Bergvik skog väst AB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46233</v>
      </c>
      <c r="F103" t="inlineStr">
        <is>
          <t>DALARNAS LÄN</t>
        </is>
      </c>
      <c r="G103" t="inlineStr">
        <is>
          <t>VANSBRO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32820-2024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45516</v>
      </c>
      <c r="E104" s="1" t="n">
        <v>46233</v>
      </c>
      <c r="F104" t="inlineStr">
        <is>
          <t>DALARNAS LÄN</t>
        </is>
      </c>
      <c r="G104" t="inlineStr">
        <is>
          <t>VANSBRO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45174</v>
      </c>
      <c r="E105" s="1" t="n">
        <v>46233</v>
      </c>
      <c r="F105" t="inlineStr">
        <is>
          <t>DALARNAS LÄN</t>
        </is>
      </c>
      <c r="G105" t="inlineStr">
        <is>
          <t>VANSBRO</t>
        </is>
      </c>
      <c r="H105" t="inlineStr">
        <is>
          <t>Bergvik skog väst AB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46233</v>
      </c>
      <c r="F106" t="inlineStr">
        <is>
          <t>DALARNAS LÄN</t>
        </is>
      </c>
      <c r="G106" t="inlineStr">
        <is>
          <t>VANSBRO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45807</v>
      </c>
      <c r="E107" s="1" t="n">
        <v>46233</v>
      </c>
      <c r="F107" t="inlineStr">
        <is>
          <t>DALARNAS LÄN</t>
        </is>
      </c>
      <c r="G107" t="inlineStr">
        <is>
          <t>VANSBRO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60848-2024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45644</v>
      </c>
      <c r="E108" s="1" t="n">
        <v>46233</v>
      </c>
      <c r="F108" t="inlineStr">
        <is>
          <t>DALARNAS LÄN</t>
        </is>
      </c>
      <c r="G108" t="inlineStr">
        <is>
          <t>VANSBRO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45807</v>
      </c>
      <c r="E109" s="1" t="n">
        <v>46233</v>
      </c>
      <c r="F109" t="inlineStr">
        <is>
          <t>DALARNAS LÄN</t>
        </is>
      </c>
      <c r="G109" t="inlineStr">
        <is>
          <t>VANSBRO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46037</v>
      </c>
      <c r="E110" s="1" t="n">
        <v>46233</v>
      </c>
      <c r="F110" t="inlineStr">
        <is>
          <t>DALARNAS LÄN</t>
        </is>
      </c>
      <c r="G110" t="inlineStr">
        <is>
          <t>VANSBRO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26990-2025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46233</v>
      </c>
      <c r="F111" t="inlineStr">
        <is>
          <t>DALARNAS LÄN</t>
        </is>
      </c>
      <c r="G111" t="inlineStr">
        <is>
          <t>VANSBRO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26995-2025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46233</v>
      </c>
      <c r="F112" t="inlineStr">
        <is>
          <t>DALARNAS LÄN</t>
        </is>
      </c>
      <c r="G112" t="inlineStr">
        <is>
          <t>VANSBRO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29492-2023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45106</v>
      </c>
      <c r="E113" s="1" t="n">
        <v>46233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väst AB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38670-2025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45884</v>
      </c>
      <c r="E114" s="1" t="n">
        <v>46233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46042</v>
      </c>
      <c r="E115" s="1" t="n">
        <v>46233</v>
      </c>
      <c r="F115" t="inlineStr">
        <is>
          <t>DALARNAS LÄN</t>
        </is>
      </c>
      <c r="G115" t="inlineStr">
        <is>
          <t>VANSBRO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45695</v>
      </c>
      <c r="E116" s="1" t="n">
        <v>46233</v>
      </c>
      <c r="F116" t="inlineStr">
        <is>
          <t>DALARNAS LÄN</t>
        </is>
      </c>
      <c r="G116" t="inlineStr">
        <is>
          <t>VANSBRO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63816-2021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44509</v>
      </c>
      <c r="E117" s="1" t="n">
        <v>46233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17.6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30392-2024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45491</v>
      </c>
      <c r="E118" s="1" t="n">
        <v>46233</v>
      </c>
      <c r="F118" t="inlineStr">
        <is>
          <t>DALARNAS LÄN</t>
        </is>
      </c>
      <c r="G118" t="inlineStr">
        <is>
          <t>VANSBRO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46233</v>
      </c>
      <c r="F119" t="inlineStr">
        <is>
          <t>DALARNAS LÄN</t>
        </is>
      </c>
      <c r="G119" t="inlineStr">
        <is>
          <t>VANSBRO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46233</v>
      </c>
      <c r="F120" t="inlineStr">
        <is>
          <t>DALARNAS LÄN</t>
        </is>
      </c>
      <c r="G120" t="inlineStr">
        <is>
          <t>VANSBRO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39173-2025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46233</v>
      </c>
      <c r="F121" t="inlineStr">
        <is>
          <t>DALARNAS LÄN</t>
        </is>
      </c>
      <c r="G121" t="inlineStr">
        <is>
          <t>VANSBRO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46233</v>
      </c>
      <c r="F122" t="inlineStr">
        <is>
          <t>DALARNAS LÄN</t>
        </is>
      </c>
      <c r="G122" t="inlineStr">
        <is>
          <t>VANSBRO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45544</v>
      </c>
      <c r="E123" s="1" t="n">
        <v>46233</v>
      </c>
      <c r="F123" t="inlineStr">
        <is>
          <t>DALARNAS LÄN</t>
        </is>
      </c>
      <c r="G123" t="inlineStr">
        <is>
          <t>VANSBRO</t>
        </is>
      </c>
      <c r="H123" t="inlineStr">
        <is>
          <t>Övriga statliga verk och myndigheter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46044</v>
      </c>
      <c r="E124" s="1" t="n">
        <v>46233</v>
      </c>
      <c r="F124" t="inlineStr">
        <is>
          <t>DALARNAS LÄN</t>
        </is>
      </c>
      <c r="G124" t="inlineStr">
        <is>
          <t>VANSBRO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46233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39490-2025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46233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46233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öst AB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46233</v>
      </c>
      <c r="F128" t="inlineStr">
        <is>
          <t>DALARNAS LÄN</t>
        </is>
      </c>
      <c r="G128" t="inlineStr">
        <is>
          <t>VANSBRO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46233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45183</v>
      </c>
      <c r="E130" s="1" t="n">
        <v>46233</v>
      </c>
      <c r="F130" t="inlineStr">
        <is>
          <t>DALARNAS LÄN</t>
        </is>
      </c>
      <c r="G130" t="inlineStr">
        <is>
          <t>VANSBRO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45832</v>
      </c>
      <c r="E131" s="1" t="n">
        <v>46233</v>
      </c>
      <c r="F131" t="inlineStr">
        <is>
          <t>DALARNAS LÄN</t>
        </is>
      </c>
      <c r="G131" t="inlineStr">
        <is>
          <t>VANSBRO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46233</v>
      </c>
      <c r="F132" t="inlineStr">
        <is>
          <t>DALARNAS LÄN</t>
        </is>
      </c>
      <c r="G132" t="inlineStr">
        <is>
          <t>VANSBRO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46233</v>
      </c>
      <c r="F133" t="inlineStr">
        <is>
          <t>DALARNAS LÄN</t>
        </is>
      </c>
      <c r="G133" t="inlineStr">
        <is>
          <t>VANSBRO</t>
        </is>
      </c>
      <c r="I133" t="n">
        <v>27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46233</v>
      </c>
      <c r="F134" t="inlineStr">
        <is>
          <t>DALARNAS LÄN</t>
        </is>
      </c>
      <c r="G134" t="inlineStr">
        <is>
          <t>VANSBRO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32040-2025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45835</v>
      </c>
      <c r="E135" s="1" t="n">
        <v>46233</v>
      </c>
      <c r="F135" t="inlineStr">
        <is>
          <t>DALARNAS LÄN</t>
        </is>
      </c>
      <c r="G135" t="inlineStr">
        <is>
          <t>VANSBRO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45689</v>
      </c>
      <c r="E136" s="1" t="n">
        <v>46233</v>
      </c>
      <c r="F136" t="inlineStr">
        <is>
          <t>DALARNAS LÄN</t>
        </is>
      </c>
      <c r="G136" t="inlineStr">
        <is>
          <t>VANSBRO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46050</v>
      </c>
      <c r="E137" s="1" t="n">
        <v>46233</v>
      </c>
      <c r="F137" t="inlineStr">
        <is>
          <t>DALARNAS LÄN</t>
        </is>
      </c>
      <c r="G137" t="inlineStr">
        <is>
          <t>VANSBRO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46233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46233</v>
      </c>
      <c r="F139" t="inlineStr">
        <is>
          <t>DALARNAS LÄN</t>
        </is>
      </c>
      <c r="G139" t="inlineStr">
        <is>
          <t>VANSBRO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46233</v>
      </c>
      <c r="F140" t="inlineStr">
        <is>
          <t>DALARNAS LÄN</t>
        </is>
      </c>
      <c r="G140" t="inlineStr">
        <is>
          <t>VANSBRO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46233</v>
      </c>
      <c r="F141" t="inlineStr">
        <is>
          <t>DALARNAS LÄN</t>
        </is>
      </c>
      <c r="G141" t="inlineStr">
        <is>
          <t>VANSBRO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46233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46233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öst AB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46049</v>
      </c>
      <c r="E144" s="1" t="n">
        <v>46233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46233</v>
      </c>
      <c r="F145" t="inlineStr">
        <is>
          <t>DALARNAS LÄN</t>
        </is>
      </c>
      <c r="G145" t="inlineStr">
        <is>
          <t>VANSBRO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51400-2024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46233</v>
      </c>
      <c r="F146" t="inlineStr">
        <is>
          <t>DALARNAS LÄN</t>
        </is>
      </c>
      <c r="G146" t="inlineStr">
        <is>
          <t>VANSBRO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45846</v>
      </c>
      <c r="E147" s="1" t="n">
        <v>46233</v>
      </c>
      <c r="F147" t="inlineStr">
        <is>
          <t>DALARNAS LÄN</t>
        </is>
      </c>
      <c r="G147" t="inlineStr">
        <is>
          <t>VANSBRO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45772</v>
      </c>
      <c r="E148" s="1" t="n">
        <v>46233</v>
      </c>
      <c r="F148" t="inlineStr">
        <is>
          <t>DALARNAS LÄN</t>
        </is>
      </c>
      <c r="G148" t="inlineStr">
        <is>
          <t>VANSBRO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30889-2024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45498</v>
      </c>
      <c r="E149" s="1" t="n">
        <v>46233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6632-2023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44966</v>
      </c>
      <c r="E150" s="1" t="n">
        <v>46233</v>
      </c>
      <c r="F150" t="inlineStr">
        <is>
          <t>DALARNAS LÄN</t>
        </is>
      </c>
      <c r="G150" t="inlineStr">
        <is>
          <t>VANSBRO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46052</v>
      </c>
      <c r="E151" s="1" t="n">
        <v>46233</v>
      </c>
      <c r="F151" t="inlineStr">
        <is>
          <t>DALARNAS LÄN</t>
        </is>
      </c>
      <c r="G151" t="inlineStr">
        <is>
          <t>VANSBRO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46051</v>
      </c>
      <c r="E152" s="1" t="n">
        <v>46233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väst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45854</v>
      </c>
      <c r="E153" s="1" t="n">
        <v>46233</v>
      </c>
      <c r="F153" t="inlineStr">
        <is>
          <t>DALARNAS LÄN</t>
        </is>
      </c>
      <c r="G153" t="inlineStr">
        <is>
          <t>VANSBRO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45085</v>
      </c>
      <c r="E154" s="1" t="n">
        <v>46233</v>
      </c>
      <c r="F154" t="inlineStr">
        <is>
          <t>DALARNAS LÄN</t>
        </is>
      </c>
      <c r="G154" t="inlineStr">
        <is>
          <t>VANSBRO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45082</v>
      </c>
      <c r="E155" s="1" t="n">
        <v>46233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35782-2025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45860</v>
      </c>
      <c r="E156" s="1" t="n">
        <v>46233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öst AB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45756</v>
      </c>
      <c r="E157" s="1" t="n">
        <v>46233</v>
      </c>
      <c r="F157" t="inlineStr">
        <is>
          <t>DALARNAS LÄN</t>
        </is>
      </c>
      <c r="G157" t="inlineStr">
        <is>
          <t>VANSBRO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20931-2022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44701</v>
      </c>
      <c r="E158" s="1" t="n">
        <v>46233</v>
      </c>
      <c r="F158" t="inlineStr">
        <is>
          <t>DALARNAS LÄN</t>
        </is>
      </c>
      <c r="G158" t="inlineStr">
        <is>
          <t>VANSBRO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45184</v>
      </c>
      <c r="E159" s="1" t="n">
        <v>46233</v>
      </c>
      <c r="F159" t="inlineStr">
        <is>
          <t>DALARNAS LÄN</t>
        </is>
      </c>
      <c r="G159" t="inlineStr">
        <is>
          <t>VANSBRO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16830-2025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45754</v>
      </c>
      <c r="E160" s="1" t="n">
        <v>46233</v>
      </c>
      <c r="F160" t="inlineStr">
        <is>
          <t>DALARNAS LÄN</t>
        </is>
      </c>
      <c r="G160" t="inlineStr">
        <is>
          <t>VANSBRO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36382-2025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45868</v>
      </c>
      <c r="E161" s="1" t="n">
        <v>46233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47833-2025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45932</v>
      </c>
      <c r="E162" s="1" t="n">
        <v>46233</v>
      </c>
      <c r="F162" t="inlineStr">
        <is>
          <t>DALARNAS LÄN</t>
        </is>
      </c>
      <c r="G162" t="inlineStr">
        <is>
          <t>VANSBRO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46233</v>
      </c>
      <c r="F163" t="inlineStr">
        <is>
          <t>DALARNAS LÄN</t>
        </is>
      </c>
      <c r="G163" t="inlineStr">
        <is>
          <t>VANSBRO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45772</v>
      </c>
      <c r="E164" s="1" t="n">
        <v>46233</v>
      </c>
      <c r="F164" t="inlineStr">
        <is>
          <t>DALARNAS LÄN</t>
        </is>
      </c>
      <c r="G164" t="inlineStr">
        <is>
          <t>VANSBRO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45689</v>
      </c>
      <c r="E165" s="1" t="n">
        <v>46233</v>
      </c>
      <c r="F165" t="inlineStr">
        <is>
          <t>DALARNAS LÄN</t>
        </is>
      </c>
      <c r="G165" t="inlineStr">
        <is>
          <t>VANSBRO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45876</v>
      </c>
      <c r="E166" s="1" t="n">
        <v>46233</v>
      </c>
      <c r="F166" t="inlineStr">
        <is>
          <t>DALARNAS LÄN</t>
        </is>
      </c>
      <c r="G166" t="inlineStr">
        <is>
          <t>VANSBRO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45617</v>
      </c>
      <c r="E167" s="1" t="n">
        <v>46233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48102-2025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45933</v>
      </c>
      <c r="E168" s="1" t="n">
        <v>46233</v>
      </c>
      <c r="F168" t="inlineStr">
        <is>
          <t>DALARNAS LÄN</t>
        </is>
      </c>
      <c r="G168" t="inlineStr">
        <is>
          <t>VANSBRO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37287-2025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45876</v>
      </c>
      <c r="E169" s="1" t="n">
        <v>46233</v>
      </c>
      <c r="F169" t="inlineStr">
        <is>
          <t>DALARNAS LÄN</t>
        </is>
      </c>
      <c r="G169" t="inlineStr">
        <is>
          <t>VANSBRO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46233</v>
      </c>
      <c r="F170" t="inlineStr">
        <is>
          <t>DALARNAS LÄN</t>
        </is>
      </c>
      <c r="G170" t="inlineStr">
        <is>
          <t>VANSBRO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45244</v>
      </c>
      <c r="E171" s="1" t="n">
        <v>46233</v>
      </c>
      <c r="F171" t="inlineStr">
        <is>
          <t>DALARNAS LÄN</t>
        </is>
      </c>
      <c r="G171" t="inlineStr">
        <is>
          <t>VANSBRO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48840-2025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45937</v>
      </c>
      <c r="E172" s="1" t="n">
        <v>46233</v>
      </c>
      <c r="F172" t="inlineStr">
        <is>
          <t>DALARNAS LÄN</t>
        </is>
      </c>
      <c r="G172" t="inlineStr">
        <is>
          <t>VANSBRO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46233</v>
      </c>
      <c r="F173" t="inlineStr">
        <is>
          <t>DALARNAS LÄN</t>
        </is>
      </c>
      <c r="G173" t="inlineStr">
        <is>
          <t>VANSBRO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46233</v>
      </c>
      <c r="F174" t="inlineStr">
        <is>
          <t>DALARNAS LÄN</t>
        </is>
      </c>
      <c r="G174" t="inlineStr">
        <is>
          <t>VANSBRO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45601</v>
      </c>
      <c r="E175" s="1" t="n">
        <v>46233</v>
      </c>
      <c r="F175" t="inlineStr">
        <is>
          <t>DALARNAS LÄN</t>
        </is>
      </c>
      <c r="G175" t="inlineStr">
        <is>
          <t>VANSBRO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49673-2025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45939</v>
      </c>
      <c r="E176" s="1" t="n">
        <v>46233</v>
      </c>
      <c r="F176" t="inlineStr">
        <is>
          <t>DALARNAS LÄN</t>
        </is>
      </c>
      <c r="G176" t="inlineStr">
        <is>
          <t>VANSBRO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7259-2026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46058</v>
      </c>
      <c r="E177" s="1" t="n">
        <v>46233</v>
      </c>
      <c r="F177" t="inlineStr">
        <is>
          <t>DALARNAS LÄN</t>
        </is>
      </c>
      <c r="G177" t="inlineStr">
        <is>
          <t>VANSBRO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46058</v>
      </c>
      <c r="E178" s="1" t="n">
        <v>46233</v>
      </c>
      <c r="F178" t="inlineStr">
        <is>
          <t>DALARNAS LÄN</t>
        </is>
      </c>
      <c r="G178" t="inlineStr">
        <is>
          <t>VANSBRO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46233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öst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46057</v>
      </c>
      <c r="E180" s="1" t="n">
        <v>46233</v>
      </c>
      <c r="F180" t="inlineStr">
        <is>
          <t>DALARNAS LÄN</t>
        </is>
      </c>
      <c r="G180" t="inlineStr">
        <is>
          <t>VANSBRO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45481</v>
      </c>
      <c r="E181" s="1" t="n">
        <v>46233</v>
      </c>
      <c r="F181" t="inlineStr">
        <is>
          <t>DALARNAS LÄN</t>
        </is>
      </c>
      <c r="G181" t="inlineStr">
        <is>
          <t>VANSBRO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46233</v>
      </c>
      <c r="F182" t="inlineStr">
        <is>
          <t>DALARNAS LÄN</t>
        </is>
      </c>
      <c r="G182" t="inlineStr">
        <is>
          <t>VANSBRO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7779-2026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46233</v>
      </c>
      <c r="F183" t="inlineStr">
        <is>
          <t>DALARNAS LÄN</t>
        </is>
      </c>
      <c r="G183" t="inlineStr">
        <is>
          <t>VANSBRO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46233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46233</v>
      </c>
      <c r="F185" t="inlineStr">
        <is>
          <t>DALARNAS LÄN</t>
        </is>
      </c>
      <c r="G185" t="inlineStr">
        <is>
          <t>VANSBRO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46233</v>
      </c>
      <c r="F186" t="inlineStr">
        <is>
          <t>DALARNAS LÄN</t>
        </is>
      </c>
      <c r="G186" t="inlineStr">
        <is>
          <t>VANSBRO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46233</v>
      </c>
      <c r="F187" t="inlineStr">
        <is>
          <t>DALARNAS LÄN</t>
        </is>
      </c>
      <c r="G187" t="inlineStr">
        <is>
          <t>VANSBRO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45532</v>
      </c>
      <c r="E188" s="1" t="n">
        <v>46233</v>
      </c>
      <c r="F188" t="inlineStr">
        <is>
          <t>DALARNAS LÄN</t>
        </is>
      </c>
      <c r="G188" t="inlineStr">
        <is>
          <t>VANSBRO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45950</v>
      </c>
      <c r="E189" s="1" t="n">
        <v>46233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45631</v>
      </c>
      <c r="E190" s="1" t="n">
        <v>46233</v>
      </c>
      <c r="F190" t="inlineStr">
        <is>
          <t>DALARNAS LÄN</t>
        </is>
      </c>
      <c r="G190" t="inlineStr">
        <is>
          <t>VANSBRO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46233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10.2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51396-2022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44869</v>
      </c>
      <c r="E192" s="1" t="n">
        <v>46233</v>
      </c>
      <c r="F192" t="inlineStr">
        <is>
          <t>DALARNAS LÄN</t>
        </is>
      </c>
      <c r="G192" t="inlineStr">
        <is>
          <t>VANSBRO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52442-2025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45954</v>
      </c>
      <c r="E193" s="1" t="n">
        <v>46233</v>
      </c>
      <c r="F193" t="inlineStr">
        <is>
          <t>DALARNAS LÄN</t>
        </is>
      </c>
      <c r="G193" t="inlineStr">
        <is>
          <t>VANSBRO</t>
        </is>
      </c>
      <c r="I193" t="n">
        <v>12.6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46041</v>
      </c>
      <c r="E194" s="1" t="n">
        <v>46233</v>
      </c>
      <c r="F194" t="inlineStr">
        <is>
          <t>DALARNAS LÄN</t>
        </is>
      </c>
      <c r="G194" t="inlineStr">
        <is>
          <t>VANSBRO</t>
        </is>
      </c>
      <c r="I194" t="n">
        <v>15.1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45956</v>
      </c>
      <c r="E195" s="1" t="n">
        <v>46233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45956</v>
      </c>
      <c r="E196" s="1" t="n">
        <v>46233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57904-2024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45631</v>
      </c>
      <c r="E197" s="1" t="n">
        <v>46233</v>
      </c>
      <c r="F197" t="inlineStr">
        <is>
          <t>DALARNAS LÄN</t>
        </is>
      </c>
      <c r="G197" t="inlineStr">
        <is>
          <t>VANSBRO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46233</v>
      </c>
      <c r="F198" t="inlineStr">
        <is>
          <t>DALARNAS LÄN</t>
        </is>
      </c>
      <c r="G198" t="inlineStr">
        <is>
          <t>VANSBRO</t>
        </is>
      </c>
      <c r="H198" t="inlineStr">
        <is>
          <t>Bergvik skog väst AB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45666</v>
      </c>
      <c r="E199" s="1" t="n">
        <v>46233</v>
      </c>
      <c r="F199" t="inlineStr">
        <is>
          <t>DALARNAS LÄN</t>
        </is>
      </c>
      <c r="G199" t="inlineStr">
        <is>
          <t>VANSBRO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45672</v>
      </c>
      <c r="E200" s="1" t="n">
        <v>46233</v>
      </c>
      <c r="F200" t="inlineStr">
        <is>
          <t>DALARNAS LÄN</t>
        </is>
      </c>
      <c r="G200" t="inlineStr">
        <is>
          <t>VANSBRO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45639</v>
      </c>
      <c r="E201" s="1" t="n">
        <v>46233</v>
      </c>
      <c r="F201" t="inlineStr">
        <is>
          <t>DALARNAS LÄN</t>
        </is>
      </c>
      <c r="G201" t="inlineStr">
        <is>
          <t>VANSBRO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25916-2022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44734</v>
      </c>
      <c r="E202" s="1" t="n">
        <v>46233</v>
      </c>
      <c r="F202" t="inlineStr">
        <is>
          <t>DALARNAS LÄN</t>
        </is>
      </c>
      <c r="G202" t="inlineStr">
        <is>
          <t>VANSBRO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46233</v>
      </c>
      <c r="F203" t="inlineStr">
        <is>
          <t>DALARNAS LÄN</t>
        </is>
      </c>
      <c r="G203" t="inlineStr">
        <is>
          <t>VANSBRO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46233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64072-2025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46021</v>
      </c>
      <c r="E205" s="1" t="n">
        <v>46233</v>
      </c>
      <c r="F205" t="inlineStr">
        <is>
          <t>DALARNAS LÄN</t>
        </is>
      </c>
      <c r="G205" t="inlineStr">
        <is>
          <t>VANSBRO</t>
        </is>
      </c>
      <c r="I205" t="n">
        <v>19.1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53989-2025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45961</v>
      </c>
      <c r="E206" s="1" t="n">
        <v>46233</v>
      </c>
      <c r="F206" t="inlineStr">
        <is>
          <t>DALARNAS LÄN</t>
        </is>
      </c>
      <c r="G206" t="inlineStr">
        <is>
          <t>VANSBRO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46233</v>
      </c>
      <c r="F207" t="inlineStr">
        <is>
          <t>DALARNAS LÄN</t>
        </is>
      </c>
      <c r="G207" t="inlineStr">
        <is>
          <t>VANSBRO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46233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9417-2026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46233</v>
      </c>
      <c r="F209" t="inlineStr">
        <is>
          <t>DALARNAS LÄN</t>
        </is>
      </c>
      <c r="G209" t="inlineStr">
        <is>
          <t>VANSBRO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46233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54736-2025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46233</v>
      </c>
      <c r="F211" t="inlineStr">
        <is>
          <t>DALARNAS LÄN</t>
        </is>
      </c>
      <c r="G211" t="inlineStr">
        <is>
          <t>VANSBRO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46233</v>
      </c>
      <c r="F212" t="inlineStr">
        <is>
          <t>DALARNAS LÄN</t>
        </is>
      </c>
      <c r="G212" t="inlineStr">
        <is>
          <t>VANSBRO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46233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46233</v>
      </c>
      <c r="F214" t="inlineStr">
        <is>
          <t>DALARNAS LÄN</t>
        </is>
      </c>
      <c r="G214" t="inlineStr">
        <is>
          <t>VANSBRO</t>
        </is>
      </c>
      <c r="I214" t="n">
        <v>7.3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45646</v>
      </c>
      <c r="E215" s="1" t="n">
        <v>46233</v>
      </c>
      <c r="F215" t="inlineStr">
        <is>
          <t>DALARNAS LÄN</t>
        </is>
      </c>
      <c r="G215" t="inlineStr">
        <is>
          <t>VANSBRO</t>
        </is>
      </c>
      <c r="I215" t="n">
        <v>8.800000000000001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46233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51414-2021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44461</v>
      </c>
      <c r="E217" s="1" t="n">
        <v>46233</v>
      </c>
      <c r="F217" t="inlineStr">
        <is>
          <t>DALARNAS LÄN</t>
        </is>
      </c>
      <c r="G217" t="inlineStr">
        <is>
          <t>VANSBRO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52572-2023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45225</v>
      </c>
      <c r="E218" s="1" t="n">
        <v>46233</v>
      </c>
      <c r="F218" t="inlineStr">
        <is>
          <t>DALARNAS LÄN</t>
        </is>
      </c>
      <c r="G218" t="inlineStr">
        <is>
          <t>VANSBRO</t>
        </is>
      </c>
      <c r="H218" t="inlineStr">
        <is>
          <t>Övriga statliga verk och myndigheter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46233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46233</v>
      </c>
      <c r="F220" t="inlineStr">
        <is>
          <t>DALARNAS LÄN</t>
        </is>
      </c>
      <c r="G220" t="inlineStr">
        <is>
          <t>VANSBRO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45691</v>
      </c>
      <c r="E221" s="1" t="n">
        <v>46233</v>
      </c>
      <c r="F221" t="inlineStr">
        <is>
          <t>DALARNAS LÄN</t>
        </is>
      </c>
      <c r="G221" t="inlineStr">
        <is>
          <t>VANSBRO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56280-2025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46233</v>
      </c>
      <c r="F222" t="inlineStr">
        <is>
          <t>DALARNAS LÄN</t>
        </is>
      </c>
      <c r="G222" t="inlineStr">
        <is>
          <t>VANSBRO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4680-2023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44957</v>
      </c>
      <c r="E223" s="1" t="n">
        <v>46233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öst AB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44679-2023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45189</v>
      </c>
      <c r="E224" s="1" t="n">
        <v>46233</v>
      </c>
      <c r="F224" t="inlineStr">
        <is>
          <t>DALARNAS LÄN</t>
        </is>
      </c>
      <c r="G224" t="inlineStr">
        <is>
          <t>VANSBRO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45979</v>
      </c>
      <c r="E225" s="1" t="n">
        <v>46233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45530</v>
      </c>
      <c r="E226" s="1" t="n">
        <v>46233</v>
      </c>
      <c r="F226" t="inlineStr">
        <is>
          <t>DALARNAS LÄN</t>
        </is>
      </c>
      <c r="G226" t="inlineStr">
        <is>
          <t>VANSBRO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46082</v>
      </c>
      <c r="E227" s="1" t="n">
        <v>46233</v>
      </c>
      <c r="F227" t="inlineStr">
        <is>
          <t>DALARNAS LÄN</t>
        </is>
      </c>
      <c r="G227" t="inlineStr">
        <is>
          <t>VANSBRO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46233</v>
      </c>
      <c r="F228" t="inlineStr">
        <is>
          <t>DALARNAS LÄN</t>
        </is>
      </c>
      <c r="G228" t="inlineStr">
        <is>
          <t>VANSBRO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46082</v>
      </c>
      <c r="E229" s="1" t="n">
        <v>46233</v>
      </c>
      <c r="F229" t="inlineStr">
        <is>
          <t>DALARNAS LÄN</t>
        </is>
      </c>
      <c r="G229" t="inlineStr">
        <is>
          <t>VANSBRO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18859-2025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45764</v>
      </c>
      <c r="E230" s="1" t="n">
        <v>46233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45981</v>
      </c>
      <c r="E231" s="1" t="n">
        <v>46233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46233</v>
      </c>
      <c r="F232" t="inlineStr">
        <is>
          <t>DALARNAS LÄN</t>
        </is>
      </c>
      <c r="G232" t="inlineStr">
        <is>
          <t>VANSBRO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58733-2025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46233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18304-2025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45762</v>
      </c>
      <c r="E234" s="1" t="n">
        <v>46233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45987</v>
      </c>
      <c r="E235" s="1" t="n">
        <v>46233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12475-2026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46233</v>
      </c>
      <c r="F236" t="inlineStr">
        <is>
          <t>DALARNAS LÄN</t>
        </is>
      </c>
      <c r="G236" t="inlineStr">
        <is>
          <t>VANSBRO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45735</v>
      </c>
      <c r="E237" s="1" t="n">
        <v>46233</v>
      </c>
      <c r="F237" t="inlineStr">
        <is>
          <t>DALARNAS LÄN</t>
        </is>
      </c>
      <c r="G237" t="inlineStr">
        <is>
          <t>VANSBRO</t>
        </is>
      </c>
      <c r="H237" t="inlineStr">
        <is>
          <t>Kommuner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46233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46233</v>
      </c>
      <c r="F239" t="inlineStr">
        <is>
          <t>DALARNAS LÄN</t>
        </is>
      </c>
      <c r="G239" t="inlineStr">
        <is>
          <t>VANSBRO</t>
        </is>
      </c>
      <c r="I239" t="n">
        <v>9.1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4951-2025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45689</v>
      </c>
      <c r="E240" s="1" t="n">
        <v>46233</v>
      </c>
      <c r="F240" t="inlineStr">
        <is>
          <t>DALARNAS LÄN</t>
        </is>
      </c>
      <c r="G240" t="inlineStr">
        <is>
          <t>VANSBRO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45689</v>
      </c>
      <c r="E241" s="1" t="n">
        <v>46233</v>
      </c>
      <c r="F241" t="inlineStr">
        <is>
          <t>DALARNAS LÄN</t>
        </is>
      </c>
      <c r="G241" t="inlineStr">
        <is>
          <t>VANSBRO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46233</v>
      </c>
      <c r="F242" t="inlineStr">
        <is>
          <t>DALARNAS LÄN</t>
        </is>
      </c>
      <c r="G242" t="inlineStr">
        <is>
          <t>VANSBRO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13403-2026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46233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13506-2026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46233</v>
      </c>
      <c r="F244" t="inlineStr">
        <is>
          <t>DALARNAS LÄN</t>
        </is>
      </c>
      <c r="G244" t="inlineStr">
        <is>
          <t>VANSBRO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14112-2026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46099</v>
      </c>
      <c r="E245" s="1" t="n">
        <v>46233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46002</v>
      </c>
      <c r="E246" s="1" t="n">
        <v>46233</v>
      </c>
      <c r="F246" t="inlineStr">
        <is>
          <t>DALARNAS LÄN</t>
        </is>
      </c>
      <c r="G246" t="inlineStr">
        <is>
          <t>VANSBRO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8694-2023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44972</v>
      </c>
      <c r="E247" s="1" t="n">
        <v>46233</v>
      </c>
      <c r="F247" t="inlineStr">
        <is>
          <t>DALARNAS LÄN</t>
        </is>
      </c>
      <c r="G247" t="inlineStr">
        <is>
          <t>VANSBRO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59736-2022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44908</v>
      </c>
      <c r="E248" s="1" t="n">
        <v>46233</v>
      </c>
      <c r="F248" t="inlineStr">
        <is>
          <t>DALARNAS LÄN</t>
        </is>
      </c>
      <c r="G248" t="inlineStr">
        <is>
          <t>VANSBRO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46165-2021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44442</v>
      </c>
      <c r="E249" s="1" t="n">
        <v>46233</v>
      </c>
      <c r="F249" t="inlineStr">
        <is>
          <t>DALARNAS LÄN</t>
        </is>
      </c>
      <c r="G249" t="inlineStr">
        <is>
          <t>VANSBRO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12917-2026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46092</v>
      </c>
      <c r="E250" s="1" t="n">
        <v>46233</v>
      </c>
      <c r="F250" t="inlineStr">
        <is>
          <t>DALARNAS LÄN</t>
        </is>
      </c>
      <c r="G250" t="inlineStr">
        <is>
          <t>VANSBRO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15408-2026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46233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väst AB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15676-2026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46233</v>
      </c>
      <c r="F252" t="inlineStr">
        <is>
          <t>DALARNAS LÄN</t>
        </is>
      </c>
      <c r="G252" t="inlineStr">
        <is>
          <t>VANSBRO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51606-2023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46233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16134-2026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46233</v>
      </c>
      <c r="F254" t="inlineStr">
        <is>
          <t>DALARNAS LÄN</t>
        </is>
      </c>
      <c r="G254" t="inlineStr">
        <is>
          <t>VANSBRO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2419-2026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46233</v>
      </c>
      <c r="F255" t="inlineStr">
        <is>
          <t>DALARNAS LÄN</t>
        </is>
      </c>
      <c r="G255" t="inlineStr">
        <is>
          <t>VANSBRO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46033</v>
      </c>
      <c r="E256" s="1" t="n">
        <v>46233</v>
      </c>
      <c r="F256" t="inlineStr">
        <is>
          <t>DALARNAS LÄN</t>
        </is>
      </c>
      <c r="G256" t="inlineStr">
        <is>
          <t>VANSBRO</t>
        </is>
      </c>
      <c r="I256" t="n">
        <v>9.9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46031</v>
      </c>
      <c r="E257" s="1" t="n">
        <v>46233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46233</v>
      </c>
      <c r="F258" t="inlineStr">
        <is>
          <t>DALARNAS LÄN</t>
        </is>
      </c>
      <c r="G258" t="inlineStr">
        <is>
          <t>VANSBRO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46112</v>
      </c>
      <c r="E259" s="1" t="n">
        <v>46233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16952-2026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46114</v>
      </c>
      <c r="E260" s="1" t="n">
        <v>46233</v>
      </c>
      <c r="F260" t="inlineStr">
        <is>
          <t>DALARNAS LÄN</t>
        </is>
      </c>
      <c r="G260" t="inlineStr">
        <is>
          <t>VANSBRO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46036</v>
      </c>
      <c r="E261" s="1" t="n">
        <v>46233</v>
      </c>
      <c r="F261" t="inlineStr">
        <is>
          <t>DALARNAS LÄN</t>
        </is>
      </c>
      <c r="G261" t="inlineStr">
        <is>
          <t>VANSBRO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16948-2026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46233</v>
      </c>
      <c r="F262" t="inlineStr">
        <is>
          <t>DALARNAS LÄN</t>
        </is>
      </c>
      <c r="G262" t="inlineStr">
        <is>
          <t>VANSBRO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17321-2026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46119</v>
      </c>
      <c r="E263" s="1" t="n">
        <v>46233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11274-2024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45371</v>
      </c>
      <c r="E264" s="1" t="n">
        <v>46233</v>
      </c>
      <c r="F264" t="inlineStr">
        <is>
          <t>DALARNAS LÄN</t>
        </is>
      </c>
      <c r="G264" t="inlineStr">
        <is>
          <t>VANSBRO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46120</v>
      </c>
      <c r="E265" s="1" t="n">
        <v>46233</v>
      </c>
      <c r="F265" t="inlineStr">
        <is>
          <t>DALARNAS LÄN</t>
        </is>
      </c>
      <c r="G265" t="inlineStr">
        <is>
          <t>VANSBRO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46233</v>
      </c>
      <c r="F266" t="inlineStr">
        <is>
          <t>DALARNAS LÄN</t>
        </is>
      </c>
      <c r="G266" t="inlineStr">
        <is>
          <t>VANSBRO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46233</v>
      </c>
      <c r="F267" t="inlineStr">
        <is>
          <t>DALARNAS LÄN</t>
        </is>
      </c>
      <c r="G267" t="inlineStr">
        <is>
          <t>VANSBRO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46120</v>
      </c>
      <c r="E268" s="1" t="n">
        <v>46233</v>
      </c>
      <c r="F268" t="inlineStr">
        <is>
          <t>DALARNAS LÄN</t>
        </is>
      </c>
      <c r="G268" t="inlineStr">
        <is>
          <t>VANSBRO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46233</v>
      </c>
      <c r="F269" t="inlineStr">
        <is>
          <t>DALARNAS LÄN</t>
        </is>
      </c>
      <c r="G269" t="inlineStr">
        <is>
          <t>VANSBRO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60031-2022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44909</v>
      </c>
      <c r="E270" s="1" t="n">
        <v>46233</v>
      </c>
      <c r="F270" t="inlineStr">
        <is>
          <t>DALARNAS LÄN</t>
        </is>
      </c>
      <c r="G270" t="inlineStr">
        <is>
          <t>VANSBRO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57947-2023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45247</v>
      </c>
      <c r="E271" s="1" t="n">
        <v>46233</v>
      </c>
      <c r="F271" t="inlineStr">
        <is>
          <t>DALARNAS LÄN</t>
        </is>
      </c>
      <c r="G271" t="inlineStr">
        <is>
          <t>VANSBRO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17604-2026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46233</v>
      </c>
      <c r="F272" t="inlineStr">
        <is>
          <t>DALARNAS LÄN</t>
        </is>
      </c>
      <c r="G272" t="inlineStr">
        <is>
          <t>VANSBRO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18068-2026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46233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46124</v>
      </c>
      <c r="E274" s="1" t="n">
        <v>46233</v>
      </c>
      <c r="F274" t="inlineStr">
        <is>
          <t>DALARNAS LÄN</t>
        </is>
      </c>
      <c r="G274" t="inlineStr">
        <is>
          <t>VANSBRO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18140-2026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46125</v>
      </c>
      <c r="E275" s="1" t="n">
        <v>46233</v>
      </c>
      <c r="F275" t="inlineStr">
        <is>
          <t>DALARNAS LÄN</t>
        </is>
      </c>
      <c r="G275" t="inlineStr">
        <is>
          <t>VANSBRO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33829-2024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45520</v>
      </c>
      <c r="E276" s="1" t="n">
        <v>46233</v>
      </c>
      <c r="F276" t="inlineStr">
        <is>
          <t>DALARNAS LÄN</t>
        </is>
      </c>
      <c r="G276" t="inlineStr">
        <is>
          <t>VANSBRO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46127</v>
      </c>
      <c r="E277" s="1" t="n">
        <v>46233</v>
      </c>
      <c r="F277" t="inlineStr">
        <is>
          <t>DALARNAS LÄN</t>
        </is>
      </c>
      <c r="G277" t="inlineStr">
        <is>
          <t>VANSBRO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35299-2024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45530</v>
      </c>
      <c r="E278" s="1" t="n">
        <v>46233</v>
      </c>
      <c r="F278" t="inlineStr">
        <is>
          <t>DALARNAS LÄN</t>
        </is>
      </c>
      <c r="G278" t="inlineStr">
        <is>
          <t>VANSBRO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46233</v>
      </c>
      <c r="F279" t="inlineStr">
        <is>
          <t>DALARNAS LÄN</t>
        </is>
      </c>
      <c r="G279" t="inlineStr">
        <is>
          <t>VANSBRO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18588-2026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46127</v>
      </c>
      <c r="E280" s="1" t="n">
        <v>46233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46233</v>
      </c>
      <c r="F281" t="inlineStr">
        <is>
          <t>DALARNAS LÄN</t>
        </is>
      </c>
      <c r="G281" t="inlineStr">
        <is>
          <t>VANSBRO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46128</v>
      </c>
      <c r="E282" s="1" t="n">
        <v>46233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13.1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13062-2023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45002</v>
      </c>
      <c r="E283" s="1" t="n">
        <v>46233</v>
      </c>
      <c r="F283" t="inlineStr">
        <is>
          <t>DALARNAS LÄN</t>
        </is>
      </c>
      <c r="G283" t="inlineStr">
        <is>
          <t>VANSBRO</t>
        </is>
      </c>
      <c r="H283" t="inlineStr">
        <is>
          <t>Övriga statliga verk och myndigheter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62622-2022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44925</v>
      </c>
      <c r="E284" s="1" t="n">
        <v>46233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18717-2026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46128</v>
      </c>
      <c r="E285" s="1" t="n">
        <v>46233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öst AB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18709-2026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46128</v>
      </c>
      <c r="E286" s="1" t="n">
        <v>46233</v>
      </c>
      <c r="F286" t="inlineStr">
        <is>
          <t>DALARNAS LÄN</t>
        </is>
      </c>
      <c r="G286" t="inlineStr">
        <is>
          <t>VANSBRO</t>
        </is>
      </c>
      <c r="I286" t="n">
        <v>6.4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46233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19809-2026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46233</v>
      </c>
      <c r="F288" t="inlineStr">
        <is>
          <t>DALARNAS LÄN</t>
        </is>
      </c>
      <c r="G288" t="inlineStr">
        <is>
          <t>VANSBRO</t>
        </is>
      </c>
      <c r="H288" t="inlineStr">
        <is>
          <t>Bergvik skog öst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27080-2024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45471</v>
      </c>
      <c r="E289" s="1" t="n">
        <v>46233</v>
      </c>
      <c r="F289" t="inlineStr">
        <is>
          <t>DALARNAS LÄN</t>
        </is>
      </c>
      <c r="G289" t="inlineStr">
        <is>
          <t>VANSBRO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53828-2021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44469</v>
      </c>
      <c r="E290" s="1" t="n">
        <v>46233</v>
      </c>
      <c r="F290" t="inlineStr">
        <is>
          <t>DALARNAS LÄN</t>
        </is>
      </c>
      <c r="G290" t="inlineStr">
        <is>
          <t>VANSBRO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45776</v>
      </c>
      <c r="E291" s="1" t="n">
        <v>46233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väst AB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45806</v>
      </c>
      <c r="E292" s="1" t="n">
        <v>46233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45443</v>
      </c>
      <c r="E293" s="1" t="n">
        <v>46233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väst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20208-2026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46139</v>
      </c>
      <c r="E294" s="1" t="n">
        <v>46233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öst AB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46233</v>
      </c>
      <c r="F295" t="inlineStr">
        <is>
          <t>DALARNAS LÄN</t>
        </is>
      </c>
      <c r="G295" t="inlineStr">
        <is>
          <t>VANSBRO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21117-2024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45440</v>
      </c>
      <c r="E296" s="1" t="n">
        <v>46233</v>
      </c>
      <c r="F296" t="inlineStr">
        <is>
          <t>DALARNAS LÄN</t>
        </is>
      </c>
      <c r="G296" t="inlineStr">
        <is>
          <t>VANSBRO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11598-2025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46233</v>
      </c>
      <c r="F297" t="inlineStr">
        <is>
          <t>DALARNAS LÄN</t>
        </is>
      </c>
      <c r="G297" t="inlineStr">
        <is>
          <t>VANSBRO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45714</v>
      </c>
      <c r="E298" s="1" t="n">
        <v>46233</v>
      </c>
      <c r="F298" t="inlineStr">
        <is>
          <t>DALARNAS LÄN</t>
        </is>
      </c>
      <c r="G298" t="inlineStr">
        <is>
          <t>VANSBRO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5420-2024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45331</v>
      </c>
      <c r="E299" s="1" t="n">
        <v>46233</v>
      </c>
      <c r="F299" t="inlineStr">
        <is>
          <t>DALARNAS LÄN</t>
        </is>
      </c>
      <c r="G299" t="inlineStr">
        <is>
          <t>VANSBRO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50258-2024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45600</v>
      </c>
      <c r="E300" s="1" t="n">
        <v>46233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45.8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46233</v>
      </c>
      <c r="F301" t="inlineStr">
        <is>
          <t>DALARNAS LÄN</t>
        </is>
      </c>
      <c r="G301" t="inlineStr">
        <is>
          <t>VANSBRO</t>
        </is>
      </c>
      <c r="I301" t="n">
        <v>13.9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46233</v>
      </c>
      <c r="F302" t="inlineStr">
        <is>
          <t>DALARNAS LÄN</t>
        </is>
      </c>
      <c r="G302" t="inlineStr">
        <is>
          <t>VANSBRO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23899-2023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45078</v>
      </c>
      <c r="E303" s="1" t="n">
        <v>46233</v>
      </c>
      <c r="F303" t="inlineStr">
        <is>
          <t>DALARNAS LÄN</t>
        </is>
      </c>
      <c r="G303" t="inlineStr">
        <is>
          <t>VANSBRO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64071-2025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46021</v>
      </c>
      <c r="E304" s="1" t="n">
        <v>46233</v>
      </c>
      <c r="F304" t="inlineStr">
        <is>
          <t>DALARNAS LÄN</t>
        </is>
      </c>
      <c r="G304" t="inlineStr">
        <is>
          <t>VANSBRO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11485-2024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45372</v>
      </c>
      <c r="E305" s="1" t="n">
        <v>46233</v>
      </c>
      <c r="F305" t="inlineStr">
        <is>
          <t>DALARNAS LÄN</t>
        </is>
      </c>
      <c r="G305" t="inlineStr">
        <is>
          <t>VANSBRO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36855-2022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44805</v>
      </c>
      <c r="E306" s="1" t="n">
        <v>46233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45608-2023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45194</v>
      </c>
      <c r="E307" s="1" t="n">
        <v>46233</v>
      </c>
      <c r="F307" t="inlineStr">
        <is>
          <t>DALARNAS LÄN</t>
        </is>
      </c>
      <c r="G307" t="inlineStr">
        <is>
          <t>VANSBRO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10013-2024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45363</v>
      </c>
      <c r="E308" s="1" t="n">
        <v>46233</v>
      </c>
      <c r="F308" t="inlineStr">
        <is>
          <t>DALARNAS LÄN</t>
        </is>
      </c>
      <c r="G308" t="inlineStr">
        <is>
          <t>VANSBRO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28011-2025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45817</v>
      </c>
      <c r="E309" s="1" t="n">
        <v>46233</v>
      </c>
      <c r="F309" t="inlineStr">
        <is>
          <t>DALARNAS LÄN</t>
        </is>
      </c>
      <c r="G309" t="inlineStr">
        <is>
          <t>VANSBRO</t>
        </is>
      </c>
      <c r="I309" t="n">
        <v>15.8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20732-2026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46141</v>
      </c>
      <c r="E310" s="1" t="n">
        <v>46233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13639-2022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44648</v>
      </c>
      <c r="E311" s="1" t="n">
        <v>46233</v>
      </c>
      <c r="F311" t="inlineStr">
        <is>
          <t>DALARNAS LÄN</t>
        </is>
      </c>
      <c r="G311" t="inlineStr">
        <is>
          <t>VANSBRO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46233</v>
      </c>
      <c r="F312" t="inlineStr">
        <is>
          <t>DALARNAS LÄN</t>
        </is>
      </c>
      <c r="G312" t="inlineStr">
        <is>
          <t>VANSBRO</t>
        </is>
      </c>
      <c r="H312" t="inlineStr">
        <is>
          <t>Övriga statliga verk och myndigheter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45665</v>
      </c>
      <c r="E313" s="1" t="n">
        <v>46233</v>
      </c>
      <c r="F313" t="inlineStr">
        <is>
          <t>DALARNAS LÄN</t>
        </is>
      </c>
      <c r="G313" t="inlineStr">
        <is>
          <t>VANSBRO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45762</v>
      </c>
      <c r="E314" s="1" t="n">
        <v>46233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46233</v>
      </c>
      <c r="F315" t="inlineStr">
        <is>
          <t>DALARNAS LÄN</t>
        </is>
      </c>
      <c r="G315" t="inlineStr">
        <is>
          <t>VANSBRO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35699-2023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45147</v>
      </c>
      <c r="E316" s="1" t="n">
        <v>46233</v>
      </c>
      <c r="F316" t="inlineStr">
        <is>
          <t>DALARNAS LÄN</t>
        </is>
      </c>
      <c r="G316" t="inlineStr">
        <is>
          <t>VANSBRO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45700</v>
      </c>
      <c r="E317" s="1" t="n">
        <v>46233</v>
      </c>
      <c r="F317" t="inlineStr">
        <is>
          <t>DALARNAS LÄN</t>
        </is>
      </c>
      <c r="G317" t="inlineStr">
        <is>
          <t>VANSBRO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24827-2022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44728</v>
      </c>
      <c r="E318" s="1" t="n">
        <v>46233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24839-2022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44728</v>
      </c>
      <c r="E319" s="1" t="n">
        <v>46233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45183</v>
      </c>
      <c r="E320" s="1" t="n">
        <v>46233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45183</v>
      </c>
      <c r="E321" s="1" t="n">
        <v>46233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46191</v>
      </c>
      <c r="E322" s="1" t="n">
        <v>46233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27937-2026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46191</v>
      </c>
      <c r="E323" s="1" t="n">
        <v>46233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öst AB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21744-2026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46149</v>
      </c>
      <c r="E324" s="1" t="n">
        <v>46233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öst AB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27932-2026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46191</v>
      </c>
      <c r="E325" s="1" t="n">
        <v>46233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7864-2024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45350</v>
      </c>
      <c r="E326" s="1" t="n">
        <v>46233</v>
      </c>
      <c r="F326" t="inlineStr">
        <is>
          <t>DALARNAS LÄN</t>
        </is>
      </c>
      <c r="G326" t="inlineStr">
        <is>
          <t>VANSBRO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45665</v>
      </c>
      <c r="E327" s="1" t="n">
        <v>46233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25496-2024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45463</v>
      </c>
      <c r="E328" s="1" t="n">
        <v>46233</v>
      </c>
      <c r="F328" t="inlineStr">
        <is>
          <t>DALARNAS LÄN</t>
        </is>
      </c>
      <c r="G328" t="inlineStr">
        <is>
          <t>VANSBRO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22379-2026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46154</v>
      </c>
      <c r="E329" s="1" t="n">
        <v>46233</v>
      </c>
      <c r="F329" t="inlineStr">
        <is>
          <t>DALARNAS LÄN</t>
        </is>
      </c>
      <c r="G329" t="inlineStr">
        <is>
          <t>VANSBRO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22384-2026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46233</v>
      </c>
      <c r="F330" t="inlineStr">
        <is>
          <t>DALARNAS LÄN</t>
        </is>
      </c>
      <c r="G330" t="inlineStr">
        <is>
          <t>VANSBRO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45169</v>
      </c>
      <c r="E331" s="1" t="n">
        <v>46233</v>
      </c>
      <c r="F331" t="inlineStr">
        <is>
          <t>DALARNAS LÄN</t>
        </is>
      </c>
      <c r="G331" t="inlineStr">
        <is>
          <t>VANSBRO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28069-2026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46233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10.7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43658-2023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45187</v>
      </c>
      <c r="E333" s="1" t="n">
        <v>46233</v>
      </c>
      <c r="F333" t="inlineStr">
        <is>
          <t>DALARNAS LÄN</t>
        </is>
      </c>
      <c r="G333" t="inlineStr">
        <is>
          <t>VANSBRO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50741-2022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44867</v>
      </c>
      <c r="E334" s="1" t="n">
        <v>46233</v>
      </c>
      <c r="F334" t="inlineStr">
        <is>
          <t>DALARNAS LÄN</t>
        </is>
      </c>
      <c r="G334" t="inlineStr">
        <is>
          <t>VANSBRO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39484-2025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45890</v>
      </c>
      <c r="E335" s="1" t="n">
        <v>46233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15088-2025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45744</v>
      </c>
      <c r="E336" s="1" t="n">
        <v>46233</v>
      </c>
      <c r="F336" t="inlineStr">
        <is>
          <t>DALARNAS LÄN</t>
        </is>
      </c>
      <c r="G336" t="inlineStr">
        <is>
          <t>VANSBRO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46197</v>
      </c>
      <c r="E337" s="1" t="n">
        <v>46233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öst AB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50125-2023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45215</v>
      </c>
      <c r="E338" s="1" t="n">
        <v>46233</v>
      </c>
      <c r="F338" t="inlineStr">
        <is>
          <t>DALARNAS LÄN</t>
        </is>
      </c>
      <c r="G338" t="inlineStr">
        <is>
          <t>VANSBRO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45215</v>
      </c>
      <c r="E339" s="1" t="n">
        <v>46233</v>
      </c>
      <c r="F339" t="inlineStr">
        <is>
          <t>DALARNAS LÄN</t>
        </is>
      </c>
      <c r="G339" t="inlineStr">
        <is>
          <t>VANSBRO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16827-2025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45754</v>
      </c>
      <c r="E340" s="1" t="n">
        <v>46233</v>
      </c>
      <c r="F340" t="inlineStr">
        <is>
          <t>DALARNAS LÄN</t>
        </is>
      </c>
      <c r="G340" t="inlineStr">
        <is>
          <t>VANSBRO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29035-2026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46199</v>
      </c>
      <c r="E341" s="1" t="n">
        <v>46233</v>
      </c>
      <c r="F341" t="inlineStr">
        <is>
          <t>DALARNAS LÄN</t>
        </is>
      </c>
      <c r="G341" t="inlineStr">
        <is>
          <t>VANSBRO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45254</v>
      </c>
      <c r="E342" s="1" t="n">
        <v>46233</v>
      </c>
      <c r="F342" t="inlineStr">
        <is>
          <t>DALARNAS LÄN</t>
        </is>
      </c>
      <c r="G342" t="inlineStr">
        <is>
          <t>VANSBRO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45322</v>
      </c>
      <c r="E343" s="1" t="n">
        <v>46233</v>
      </c>
      <c r="F343" t="inlineStr">
        <is>
          <t>DALARNAS LÄN</t>
        </is>
      </c>
      <c r="G343" t="inlineStr">
        <is>
          <t>VANSBRO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59600-2023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45254</v>
      </c>
      <c r="E344" s="1" t="n">
        <v>46233</v>
      </c>
      <c r="F344" t="inlineStr">
        <is>
          <t>DALARNAS LÄN</t>
        </is>
      </c>
      <c r="G344" t="inlineStr">
        <is>
          <t>VANSBRO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44930</v>
      </c>
      <c r="E345" s="1" t="n">
        <v>46233</v>
      </c>
      <c r="F345" t="inlineStr">
        <is>
          <t>DALARNAS LÄN</t>
        </is>
      </c>
      <c r="G345" t="inlineStr">
        <is>
          <t>VANSBRO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55078-2022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44886</v>
      </c>
      <c r="E346" s="1" t="n">
        <v>46233</v>
      </c>
      <c r="F346" t="inlineStr">
        <is>
          <t>DALARNAS LÄN</t>
        </is>
      </c>
      <c r="G346" t="inlineStr">
        <is>
          <t>VANSBRO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23059-2026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46161</v>
      </c>
      <c r="E347" s="1" t="n">
        <v>46233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23018-2026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46233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29671-2026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46204</v>
      </c>
      <c r="E349" s="1" t="n">
        <v>46233</v>
      </c>
      <c r="F349" t="inlineStr">
        <is>
          <t>DALARNAS LÄN</t>
        </is>
      </c>
      <c r="G349" t="inlineStr">
        <is>
          <t>VANSBRO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46233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29621-2026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46204</v>
      </c>
      <c r="E351" s="1" t="n">
        <v>46233</v>
      </c>
      <c r="F351" t="inlineStr">
        <is>
          <t>DALARNAS LÄN</t>
        </is>
      </c>
      <c r="G351" t="inlineStr">
        <is>
          <t>VANSBRO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46203</v>
      </c>
      <c r="E352" s="1" t="n">
        <v>46233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öst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46203</v>
      </c>
      <c r="E353" s="1" t="n">
        <v>46233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46233</v>
      </c>
      <c r="F354" t="inlineStr">
        <is>
          <t>DALARNAS LÄN</t>
        </is>
      </c>
      <c r="G354" t="inlineStr">
        <is>
          <t>VANSBRO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5386-2024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45331</v>
      </c>
      <c r="E355" s="1" t="n">
        <v>46233</v>
      </c>
      <c r="F355" t="inlineStr">
        <is>
          <t>DALARNAS LÄN</t>
        </is>
      </c>
      <c r="G355" t="inlineStr">
        <is>
          <t>VANSBRO</t>
        </is>
      </c>
      <c r="I355" t="n">
        <v>11.4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45775</v>
      </c>
      <c r="E356" s="1" t="n">
        <v>46233</v>
      </c>
      <c r="F356" t="inlineStr">
        <is>
          <t>DALARNAS LÄN</t>
        </is>
      </c>
      <c r="G356" t="inlineStr">
        <is>
          <t>VANSBRO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61717-2023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45265</v>
      </c>
      <c r="E357" s="1" t="n">
        <v>46233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45315</v>
      </c>
      <c r="E358" s="1" t="n">
        <v>46233</v>
      </c>
      <c r="F358" t="inlineStr">
        <is>
          <t>DALARNAS LÄN</t>
        </is>
      </c>
      <c r="G358" t="inlineStr">
        <is>
          <t>VANSBRO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11408-2025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45726</v>
      </c>
      <c r="E359" s="1" t="n">
        <v>46233</v>
      </c>
      <c r="F359" t="inlineStr">
        <is>
          <t>DALARNAS LÄN</t>
        </is>
      </c>
      <c r="G359" t="inlineStr">
        <is>
          <t>VANSBRO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23752-2026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46164</v>
      </c>
      <c r="E360" s="1" t="n">
        <v>46233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öst AB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33837-2024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45520</v>
      </c>
      <c r="E361" s="1" t="n">
        <v>46233</v>
      </c>
      <c r="F361" t="inlineStr">
        <is>
          <t>DALARNAS LÄN</t>
        </is>
      </c>
      <c r="G361" t="inlineStr">
        <is>
          <t>VANSBRO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45531</v>
      </c>
      <c r="E362" s="1" t="n">
        <v>46233</v>
      </c>
      <c r="F362" t="inlineStr">
        <is>
          <t>DALARNAS LÄN</t>
        </is>
      </c>
      <c r="G362" t="inlineStr">
        <is>
          <t>VANSBRO</t>
        </is>
      </c>
      <c r="H362" t="inlineStr">
        <is>
          <t>Övriga statliga verk och myndigheter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23780-2026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46233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61515-2022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44916</v>
      </c>
      <c r="E364" s="1" t="n">
        <v>46233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46210</v>
      </c>
      <c r="E365" s="1" t="n">
        <v>46233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45008</v>
      </c>
      <c r="E366" s="1" t="n">
        <v>46233</v>
      </c>
      <c r="F366" t="inlineStr">
        <is>
          <t>DALARNAS LÄN</t>
        </is>
      </c>
      <c r="G366" t="inlineStr">
        <is>
          <t>VANSBRO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44960</v>
      </c>
      <c r="E367" s="1" t="n">
        <v>46233</v>
      </c>
      <c r="F367" t="inlineStr">
        <is>
          <t>DALARNAS LÄN</t>
        </is>
      </c>
      <c r="G367" t="inlineStr">
        <is>
          <t>VANSBRO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41371-2022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44826</v>
      </c>
      <c r="E368" s="1" t="n">
        <v>46233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öst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44970</v>
      </c>
      <c r="E369" s="1" t="n">
        <v>46233</v>
      </c>
      <c r="F369" t="inlineStr">
        <is>
          <t>DALARNAS LÄN</t>
        </is>
      </c>
      <c r="G369" t="inlineStr">
        <is>
          <t>VANSBRO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30509-2026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46210</v>
      </c>
      <c r="E370" s="1" t="n">
        <v>46233</v>
      </c>
      <c r="F370" t="inlineStr">
        <is>
          <t>DALARNAS LÄN</t>
        </is>
      </c>
      <c r="G370" t="inlineStr">
        <is>
          <t>VANSBRO</t>
        </is>
      </c>
      <c r="H370" t="inlineStr">
        <is>
          <t>Övriga statliga verk och myndigheter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17807-2022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44673</v>
      </c>
      <c r="E371" s="1" t="n">
        <v>46233</v>
      </c>
      <c r="F371" t="inlineStr">
        <is>
          <t>DALARNAS LÄN</t>
        </is>
      </c>
      <c r="G371" t="inlineStr">
        <is>
          <t>VANSBRO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54159-2022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44881</v>
      </c>
      <c r="E372" s="1" t="n">
        <v>46233</v>
      </c>
      <c r="F372" t="inlineStr">
        <is>
          <t>DALARNAS LÄN</t>
        </is>
      </c>
      <c r="G372" t="inlineStr">
        <is>
          <t>VANSBRO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22756-2024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45448</v>
      </c>
      <c r="E373" s="1" t="n">
        <v>46233</v>
      </c>
      <c r="F373" t="inlineStr">
        <is>
          <t>DALARNAS LÄN</t>
        </is>
      </c>
      <c r="G373" t="inlineStr">
        <is>
          <t>VANSBRO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46212</v>
      </c>
      <c r="E374" s="1" t="n">
        <v>46233</v>
      </c>
      <c r="F374" t="inlineStr">
        <is>
          <t>DALARNAS LÄN</t>
        </is>
      </c>
      <c r="G374" t="inlineStr">
        <is>
          <t>VANSBRO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44930</v>
      </c>
      <c r="E375" s="1" t="n">
        <v>46233</v>
      </c>
      <c r="F375" t="inlineStr">
        <is>
          <t>DALARNAS LÄN</t>
        </is>
      </c>
      <c r="G375" t="inlineStr">
        <is>
          <t>VANSBRO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46212</v>
      </c>
      <c r="E376" s="1" t="n">
        <v>46233</v>
      </c>
      <c r="F376" t="inlineStr">
        <is>
          <t>DALARNAS LÄN</t>
        </is>
      </c>
      <c r="G376" t="inlineStr">
        <is>
          <t>VANSBRO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46199</v>
      </c>
      <c r="E377" s="1" t="n">
        <v>46233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45111</v>
      </c>
      <c r="E378" s="1" t="n">
        <v>46233</v>
      </c>
      <c r="F378" t="inlineStr">
        <is>
          <t>DALARNAS LÄN</t>
        </is>
      </c>
      <c r="G378" t="inlineStr">
        <is>
          <t>VANSBRO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46233</v>
      </c>
      <c r="F379" t="inlineStr">
        <is>
          <t>DALARNAS LÄN</t>
        </is>
      </c>
      <c r="G379" t="inlineStr">
        <is>
          <t>VANSBRO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55942-2023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45240</v>
      </c>
      <c r="E380" s="1" t="n">
        <v>46233</v>
      </c>
      <c r="F380" t="inlineStr">
        <is>
          <t>DALARNAS LÄN</t>
        </is>
      </c>
      <c r="G380" t="inlineStr">
        <is>
          <t>VANSBRO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56129-2023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45240</v>
      </c>
      <c r="E381" s="1" t="n">
        <v>46233</v>
      </c>
      <c r="F381" t="inlineStr">
        <is>
          <t>DALARNAS LÄN</t>
        </is>
      </c>
      <c r="G381" t="inlineStr">
        <is>
          <t>VANSBRO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48005-2022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44855</v>
      </c>
      <c r="E382" s="1" t="n">
        <v>46233</v>
      </c>
      <c r="F382" t="inlineStr">
        <is>
          <t>DALARNAS LÄN</t>
        </is>
      </c>
      <c r="G382" t="inlineStr">
        <is>
          <t>VANSBRO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34882-2022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44796</v>
      </c>
      <c r="E383" s="1" t="n">
        <v>46233</v>
      </c>
      <c r="F383" t="inlineStr">
        <is>
          <t>DALARNAS LÄN</t>
        </is>
      </c>
      <c r="G383" t="inlineStr">
        <is>
          <t>VANSBRO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49921-2023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45214</v>
      </c>
      <c r="E384" s="1" t="n">
        <v>46233</v>
      </c>
      <c r="F384" t="inlineStr">
        <is>
          <t>DALARNAS LÄN</t>
        </is>
      </c>
      <c r="G384" t="inlineStr">
        <is>
          <t>VANSBRO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46233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27089-2024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45471</v>
      </c>
      <c r="E386" s="1" t="n">
        <v>46233</v>
      </c>
      <c r="F386" t="inlineStr">
        <is>
          <t>DALARNAS LÄN</t>
        </is>
      </c>
      <c r="G386" t="inlineStr">
        <is>
          <t>VANSBRO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29174-2026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46202</v>
      </c>
      <c r="E387" s="1" t="n">
        <v>46233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öst AB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45356-2024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45576</v>
      </c>
      <c r="E388" s="1" t="n">
        <v>46233</v>
      </c>
      <c r="F388" t="inlineStr">
        <is>
          <t>DALARNAS LÄN</t>
        </is>
      </c>
      <c r="G388" t="inlineStr">
        <is>
          <t>VANSBRO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45689</v>
      </c>
      <c r="E389" s="1" t="n">
        <v>46233</v>
      </c>
      <c r="F389" t="inlineStr">
        <is>
          <t>DALARNAS LÄN</t>
        </is>
      </c>
      <c r="G389" t="inlineStr">
        <is>
          <t>VANSBRO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9296-2023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44980</v>
      </c>
      <c r="E390" s="1" t="n">
        <v>46233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21418-2023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45063</v>
      </c>
      <c r="E391" s="1" t="n">
        <v>46233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öst AB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55570-2023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45238</v>
      </c>
      <c r="E392" s="1" t="n">
        <v>46233</v>
      </c>
      <c r="F392" t="inlineStr">
        <is>
          <t>DALARNAS LÄN</t>
        </is>
      </c>
      <c r="G392" t="inlineStr">
        <is>
          <t>VANSBRO</t>
        </is>
      </c>
      <c r="H392" t="inlineStr">
        <is>
          <t>Övriga statliga verk och myndigheter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44931</v>
      </c>
      <c r="E393" s="1" t="n">
        <v>46233</v>
      </c>
      <c r="F393" t="inlineStr">
        <is>
          <t>DALARNAS LÄN</t>
        </is>
      </c>
      <c r="G393" t="inlineStr">
        <is>
          <t>VANSBRO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46233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24277-2026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46169</v>
      </c>
      <c r="E395" s="1" t="n">
        <v>46233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46233</v>
      </c>
      <c r="F396" t="inlineStr">
        <is>
          <t>DALARNAS LÄN</t>
        </is>
      </c>
      <c r="G396" t="inlineStr">
        <is>
          <t>VANSBRO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25958-2026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46181</v>
      </c>
      <c r="E397" s="1" t="n">
        <v>46233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1588-2026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46034</v>
      </c>
      <c r="E398" s="1" t="n">
        <v>46233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48111-2024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45589</v>
      </c>
      <c r="E399" s="1" t="n">
        <v>46233</v>
      </c>
      <c r="F399" t="inlineStr">
        <is>
          <t>DALARNAS LÄN</t>
        </is>
      </c>
      <c r="G399" t="inlineStr">
        <is>
          <t>VANSBRO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9298-2023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44980</v>
      </c>
      <c r="E400" s="1" t="n">
        <v>46233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väst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46184</v>
      </c>
      <c r="E401" s="1" t="n">
        <v>46233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46233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27117-2026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46188</v>
      </c>
      <c r="E403" s="1" t="n">
        <v>46233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34738-2023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45141</v>
      </c>
      <c r="E404" s="1" t="n">
        <v>46233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40382-2023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46233</v>
      </c>
      <c r="F405" t="inlineStr">
        <is>
          <t>DALARNAS LÄN</t>
        </is>
      </c>
      <c r="G405" t="inlineStr">
        <is>
          <t>VANSBRO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40383-2023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45169</v>
      </c>
      <c r="E406" s="1" t="n">
        <v>46233</v>
      </c>
      <c r="F406" t="inlineStr">
        <is>
          <t>DALARNAS LÄN</t>
        </is>
      </c>
      <c r="G406" t="inlineStr">
        <is>
          <t>VANSBRO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46184</v>
      </c>
      <c r="E407" s="1" t="n">
        <v>46233</v>
      </c>
      <c r="F407" t="inlineStr">
        <is>
          <t>DALARNAS LÄN</t>
        </is>
      </c>
      <c r="G407" t="inlineStr">
        <is>
          <t>VANSBRO</t>
        </is>
      </c>
      <c r="H407" t="inlineStr">
        <is>
          <t>Övriga statliga verk och myndigheter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46233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10.5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34277-2022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44791</v>
      </c>
      <c r="E409" s="1" t="n">
        <v>46233</v>
      </c>
      <c r="F409" t="inlineStr">
        <is>
          <t>DALARNAS LÄN</t>
        </is>
      </c>
      <c r="G409" t="inlineStr">
        <is>
          <t>VANSBRO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46233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45296</v>
      </c>
      <c r="E411" s="1" t="n">
        <v>46233</v>
      </c>
      <c r="F411" t="inlineStr">
        <is>
          <t>DALARNAS LÄN</t>
        </is>
      </c>
      <c r="G411" t="inlineStr">
        <is>
          <t>VANSBRO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31867-2026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46231</v>
      </c>
      <c r="E412" s="1" t="n">
        <v>46233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väst AB</t>
        </is>
      </c>
      <c r="I412" t="n">
        <v>20.2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27629-2026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46190</v>
      </c>
      <c r="E413" s="1" t="n">
        <v>46233</v>
      </c>
      <c r="F413" t="inlineStr">
        <is>
          <t>DALARNAS LÄN</t>
        </is>
      </c>
      <c r="G413" t="inlineStr">
        <is>
          <t>VANSBRO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46233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8447-2022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44612</v>
      </c>
      <c r="E415" s="1" t="n">
        <v>46233</v>
      </c>
      <c r="F415" t="inlineStr">
        <is>
          <t>DALARNAS LÄN</t>
        </is>
      </c>
      <c r="G415" t="inlineStr">
        <is>
          <t>VANSBRO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35365-2022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44798</v>
      </c>
      <c r="E416" s="1" t="n">
        <v>46233</v>
      </c>
      <c r="F416" t="inlineStr">
        <is>
          <t>DALARNAS LÄN</t>
        </is>
      </c>
      <c r="G416" t="inlineStr">
        <is>
          <t>VANSBRO</t>
        </is>
      </c>
      <c r="H416" t="inlineStr">
        <is>
          <t>Kommuner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27195-2026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46233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27631-2026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46190</v>
      </c>
      <c r="E418" s="1" t="n">
        <v>46233</v>
      </c>
      <c r="F418" t="inlineStr">
        <is>
          <t>DALARNAS LÄN</t>
        </is>
      </c>
      <c r="G418" t="inlineStr">
        <is>
          <t>VANSBRO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10886-2025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45722</v>
      </c>
      <c r="E419" s="1" t="n">
        <v>46233</v>
      </c>
      <c r="F419" t="inlineStr">
        <is>
          <t>DALARNAS LÄN</t>
        </is>
      </c>
      <c r="G419" t="inlineStr">
        <is>
          <t>VANSBRO</t>
        </is>
      </c>
      <c r="I419" t="n">
        <v>15.5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45519</v>
      </c>
      <c r="E420" s="1" t="n">
        <v>46233</v>
      </c>
      <c r="F420" t="inlineStr">
        <is>
          <t>DALARNAS LÄN</t>
        </is>
      </c>
      <c r="G420" t="inlineStr">
        <is>
          <t>VANSBRO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62398-2021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44503</v>
      </c>
      <c r="E421" s="1" t="n">
        <v>46233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öst AB</t>
        </is>
      </c>
      <c r="I421" t="n">
        <v>22.1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23432-2024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45453</v>
      </c>
      <c r="E422" s="1" t="n">
        <v>46233</v>
      </c>
      <c r="F422" t="inlineStr">
        <is>
          <t>DALARNAS LÄN</t>
        </is>
      </c>
      <c r="G422" t="inlineStr">
        <is>
          <t>VANSBRO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45666</v>
      </c>
      <c r="E423" s="1" t="n">
        <v>46233</v>
      </c>
      <c r="F423" t="inlineStr">
        <is>
          <t>DALARNAS LÄN</t>
        </is>
      </c>
      <c r="G423" t="inlineStr">
        <is>
          <t>VANSBRO</t>
        </is>
      </c>
      <c r="H423" t="inlineStr">
        <is>
          <t>Övriga statliga verk och myndigheter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16823-2025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45754</v>
      </c>
      <c r="E424" s="1" t="n">
        <v>46233</v>
      </c>
      <c r="F424" t="inlineStr">
        <is>
          <t>DALARNAS LÄN</t>
        </is>
      </c>
      <c r="G424" t="inlineStr">
        <is>
          <t>VANSBRO</t>
        </is>
      </c>
      <c r="I424" t="n">
        <v>9.9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45712</v>
      </c>
      <c r="E425" s="1" t="n">
        <v>46233</v>
      </c>
      <c r="F425" t="inlineStr">
        <is>
          <t>DALARNAS LÄN</t>
        </is>
      </c>
      <c r="G425" t="inlineStr">
        <is>
          <t>VANSBRO</t>
        </is>
      </c>
      <c r="I425" t="n">
        <v>13.8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45258</v>
      </c>
      <c r="E426" s="1" t="n">
        <v>46233</v>
      </c>
      <c r="F426" t="inlineStr">
        <is>
          <t>DALARNAS LÄN</t>
        </is>
      </c>
      <c r="G426" t="inlineStr">
        <is>
          <t>VANSBRO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2086-2024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45309</v>
      </c>
      <c r="E427" s="1" t="n">
        <v>46233</v>
      </c>
      <c r="F427" t="inlineStr">
        <is>
          <t>DALARNAS LÄN</t>
        </is>
      </c>
      <c r="G427" t="inlineStr">
        <is>
          <t>VANSBRO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18882-2025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45764</v>
      </c>
      <c r="E428" s="1" t="n">
        <v>46233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47824-2023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46233</v>
      </c>
      <c r="F429" t="inlineStr">
        <is>
          <t>DALARNAS LÄN</t>
        </is>
      </c>
      <c r="G429" t="inlineStr">
        <is>
          <t>VANSBRO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42824-2023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45182</v>
      </c>
      <c r="E430" s="1" t="n">
        <v>46233</v>
      </c>
      <c r="F430" t="inlineStr">
        <is>
          <t>DALARNAS LÄN</t>
        </is>
      </c>
      <c r="G430" t="inlineStr">
        <is>
          <t>VANSBRO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56986-2023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45244</v>
      </c>
      <c r="E431" s="1" t="n">
        <v>46233</v>
      </c>
      <c r="F431" t="inlineStr">
        <is>
          <t>DALARNAS LÄN</t>
        </is>
      </c>
      <c r="G431" t="inlineStr">
        <is>
          <t>VANSBRO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42207-2021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44426</v>
      </c>
      <c r="E432" s="1" t="n">
        <v>46233</v>
      </c>
      <c r="F432" t="inlineStr">
        <is>
          <t>DALARNAS LÄN</t>
        </is>
      </c>
      <c r="G432" t="inlineStr">
        <is>
          <t>VANSBRO</t>
        </is>
      </c>
      <c r="I432" t="n">
        <v>25.5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45483</v>
      </c>
      <c r="E433" s="1" t="n">
        <v>46233</v>
      </c>
      <c r="F433" t="inlineStr">
        <is>
          <t>DALARNAS LÄN</t>
        </is>
      </c>
      <c r="G433" t="inlineStr">
        <is>
          <t>VANSBRO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21616-2025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45783</v>
      </c>
      <c r="E434" s="1" t="n">
        <v>46233</v>
      </c>
      <c r="F434" t="inlineStr">
        <is>
          <t>DALARNAS LÄN</t>
        </is>
      </c>
      <c r="G434" t="inlineStr">
        <is>
          <t>VANSBRO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45674</v>
      </c>
      <c r="E435" s="1" t="n">
        <v>46233</v>
      </c>
      <c r="F435" t="inlineStr">
        <is>
          <t>DALARNAS LÄN</t>
        </is>
      </c>
      <c r="G435" t="inlineStr">
        <is>
          <t>VANSBRO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21656-2025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45783</v>
      </c>
      <c r="E436" s="1" t="n">
        <v>46233</v>
      </c>
      <c r="F436" t="inlineStr">
        <is>
          <t>DALARNAS LÄN</t>
        </is>
      </c>
      <c r="G436" t="inlineStr">
        <is>
          <t>VANSBRO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23085-2022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44719</v>
      </c>
      <c r="E437" s="1" t="n">
        <v>46233</v>
      </c>
      <c r="F437" t="inlineStr">
        <is>
          <t>DALARNAS LÄN</t>
        </is>
      </c>
      <c r="G437" t="inlineStr">
        <is>
          <t>VANSBRO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30544-2024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45492</v>
      </c>
      <c r="E438" s="1" t="n">
        <v>46233</v>
      </c>
      <c r="F438" t="inlineStr">
        <is>
          <t>DALARNAS LÄN</t>
        </is>
      </c>
      <c r="G438" t="inlineStr">
        <is>
          <t>VANSBRO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29411-2024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45483</v>
      </c>
      <c r="E439" s="1" t="n">
        <v>46233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23792-2025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45793</v>
      </c>
      <c r="E440" s="1" t="n">
        <v>46233</v>
      </c>
      <c r="F440" t="inlineStr">
        <is>
          <t>DALARNAS LÄN</t>
        </is>
      </c>
      <c r="G440" t="inlineStr">
        <is>
          <t>VANSBRO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4760-2025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45688</v>
      </c>
      <c r="E441" s="1" t="n">
        <v>46233</v>
      </c>
      <c r="F441" t="inlineStr">
        <is>
          <t>DALARNAS LÄN</t>
        </is>
      </c>
      <c r="G441" t="inlineStr">
        <is>
          <t>VANSBRO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45531</v>
      </c>
      <c r="E442" s="1" t="n">
        <v>46233</v>
      </c>
      <c r="F442" t="inlineStr">
        <is>
          <t>DALARNAS LÄN</t>
        </is>
      </c>
      <c r="G442" t="inlineStr">
        <is>
          <t>VANSBRO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24522-2025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45798</v>
      </c>
      <c r="E443" s="1" t="n">
        <v>46233</v>
      </c>
      <c r="F443" t="inlineStr">
        <is>
          <t>DALARNAS LÄN</t>
        </is>
      </c>
      <c r="G443" t="inlineStr">
        <is>
          <t>VANSBRO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46233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46233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46233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46233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46233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46233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2026-07-30T01:53:44Z</dcterms:created>
  <dcterms:modified xmlns:dcterms="http://purl.org/dc/terms/" xmlns:xsi="http://www.w3.org/2001/XMLSchema-instance" xsi:type="dcterms:W3CDTF">2026-07-30T01:53:45Z</dcterms:modified>
</cp:coreProperties>
</file>