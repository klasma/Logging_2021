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42021-2026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46304</v>
      </c>
      <c r="E6" s="1" t="n">
        <v>46326</v>
      </c>
      <c r="F6" t="inlineStr">
        <is>
          <t>DALARNAS LÄN</t>
        </is>
      </c>
      <c r="G6" t="inlineStr">
        <is>
          <t>VANSBRO</t>
        </is>
      </c>
      <c r="I6" t="n">
        <v>9.1</v>
      </c>
      <c r="J6" t="n">
        <v>4</v>
      </c>
      <c r="K6" t="n">
        <v>4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13</v>
      </c>
      <c r="T6" t="n">
        <v>51</v>
      </c>
      <c r="U6" t="n">
        <v>51</v>
      </c>
      <c r="V6" s="2" t="inlineStr">
        <is>
          <t>Garnlav
Knärot
Kattfotslav
Stjärntagging
Talltita
Tretåig hackspett
Ullticka
Vedtrappmossa
Mindre märgborre
Vedticka
Vågbandad barkbock
Zontaggsvamp
Spillkråka</t>
        </is>
      </c>
      <c r="W6">
        <f>HYPERLINK("https://klasma.github.io/Logging_2021/artfynd/A 42021-2026 artfynd.xlsx", "A 42021-2026")</f>
        <v/>
      </c>
      <c r="X6">
        <f>HYPERLINK("https://klasma.github.io/Logging_2021/kartor/A 42021-2026 karta.png", "A 42021-2026")</f>
        <v/>
      </c>
      <c r="Y6">
        <f>HYPERLINK("https://klasma.github.io/Logging_2021/kartor_geotiff/A 42021-2026 georefererad karta.tif", "A 42021-2026")</f>
        <v/>
      </c>
      <c r="Z6">
        <f>HYPERLINK("https://klasma.github.io/Logging_2021/knärot/A 42021-2026 karta knärot.png", "A 42021-2026")</f>
        <v/>
      </c>
      <c r="AA6">
        <f>HYPERLINK("https://klasma.github.io/Logging_2021/klagomål/A 42021-2026 FSC-klagomål.docx", "A 42021-2026")</f>
        <v/>
      </c>
      <c r="AB6">
        <f>HYPERLINK("https://klasma.github.io/Logging_2021/klagomålsmail/A 42021-2026 FSC-klagomål mail.docx", "A 42021-2026")</f>
        <v/>
      </c>
      <c r="AC6">
        <f>HYPERLINK("https://klasma.github.io/Logging_2021/tillsyn/A 42021-2026 tillsynsbegäran.docx", "A 42021-2026")</f>
        <v/>
      </c>
      <c r="AD6">
        <f>HYPERLINK("https://klasma.github.io/Logging_2021/tillsynsmail/A 42021-2026 tillsynsbegäran mail.docx", "A 42021-2026")</f>
        <v/>
      </c>
      <c r="AE6">
        <f>HYPERLINK("https://klasma.github.io/Logging_2021/fåglar/A 42021-2026 prioriterade fågelarter.docx", "A 42021-2026")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46326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1691-2026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46034</v>
      </c>
      <c r="E8" s="1" t="n">
        <v>46326</v>
      </c>
      <c r="F8" t="inlineStr">
        <is>
          <t>DALARNAS LÄN</t>
        </is>
      </c>
      <c r="G8" t="inlineStr">
        <is>
          <t>VANSBRO</t>
        </is>
      </c>
      <c r="I8" t="n">
        <v>6.3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12</v>
      </c>
      <c r="T8" t="n">
        <v>74</v>
      </c>
      <c r="U8" t="n">
        <v>71</v>
      </c>
      <c r="V8" s="2" t="inlineStr">
        <is>
          <t>Garnlav
Jättemusseron
Dropptaggsvamp
Kolflarnlav
Motaggsvamp
Tallticka
Tretåig hackspett
Vaddporing
Violettgrå tagellav
Mindre märgborre
Spillkråka
Tjäder</t>
        </is>
      </c>
      <c r="W8">
        <f>HYPERLINK("https://klasma.github.io/Logging_2021/artfynd/A 1691-2026 artfynd.xlsx", "A 1691-2026")</f>
        <v/>
      </c>
      <c r="X8">
        <f>HYPERLINK("https://klasma.github.io/Logging_2021/kartor/A 1691-2026 karta.png", "A 1691-2026")</f>
        <v/>
      </c>
      <c r="Y8">
        <f>HYPERLINK("https://klasma.github.io/Logging_2021/kartor_geotiff/A 1691-2026 georefererad karta.tif", "A 1691-2026")</f>
        <v/>
      </c>
      <c r="AA8">
        <f>HYPERLINK("https://klasma.github.io/Logging_2021/klagomål/A 1691-2026 FSC-klagomål.docx", "A 1691-2026")</f>
        <v/>
      </c>
      <c r="AB8">
        <f>HYPERLINK("https://klasma.github.io/Logging_2021/klagomålsmail/A 1691-2026 FSC-klagomål mail.docx", "A 1691-2026")</f>
        <v/>
      </c>
      <c r="AC8">
        <f>HYPERLINK("https://klasma.github.io/Logging_2021/tillsyn/A 1691-2026 tillsynsbegäran.docx", "A 1691-2026")</f>
        <v/>
      </c>
      <c r="AD8">
        <f>HYPERLINK("https://klasma.github.io/Logging_2021/tillsynsmail/A 1691-2026 tillsynsbegäran mail.docx", "A 1691-2026")</f>
        <v/>
      </c>
      <c r="AE8">
        <f>HYPERLINK("https://klasma.github.io/Logging_2021/fåglar/A 1691-2026 prioriterade fågelarter.docx", "A 1691-2026")</f>
        <v/>
      </c>
    </row>
    <row r="9" ht="15" customHeight="1">
      <c r="A9" t="inlineStr">
        <is>
          <t>A 41917-2026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46326</v>
      </c>
      <c r="F9" t="inlineStr">
        <is>
          <t>DALARNAS LÄN</t>
        </is>
      </c>
      <c r="G9" t="inlineStr">
        <is>
          <t>VANSBRO</t>
        </is>
      </c>
      <c r="I9" t="n">
        <v>7.5</v>
      </c>
      <c r="J9" t="n">
        <v>6</v>
      </c>
      <c r="K9" t="n">
        <v>3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12</v>
      </c>
      <c r="T9" t="n">
        <v>23</v>
      </c>
      <c r="U9" t="n">
        <v>23</v>
      </c>
      <c r="V9" s="2" t="inlineStr">
        <is>
          <t>Garnlav
Rynkskinn
Tallticka
Talltita
Tretåig hackspett
Ullticka
Bollvitmossa
Mindre märgborre
Plattlummer
Mattlummer
Spillkråka
Revlummer</t>
        </is>
      </c>
      <c r="W9">
        <f>HYPERLINK("https://klasma.github.io/Logging_2021/artfynd/A 41917-2026 artfynd.xlsx", "A 41917-2026")</f>
        <v/>
      </c>
      <c r="X9">
        <f>HYPERLINK("https://klasma.github.io/Logging_2021/kartor/A 41917-2026 karta.png", "A 41917-2026")</f>
        <v/>
      </c>
      <c r="Y9">
        <f>HYPERLINK("https://klasma.github.io/Logging_2021/kartor_geotiff/A 41917-2026 georefererad karta.tif", "A 41917-2026")</f>
        <v/>
      </c>
      <c r="AA9">
        <f>HYPERLINK("https://klasma.github.io/Logging_2021/klagomål/A 41917-2026 FSC-klagomål.docx", "A 41917-2026")</f>
        <v/>
      </c>
      <c r="AB9">
        <f>HYPERLINK("https://klasma.github.io/Logging_2021/klagomålsmail/A 41917-2026 FSC-klagomål mail.docx", "A 41917-2026")</f>
        <v/>
      </c>
      <c r="AC9">
        <f>HYPERLINK("https://klasma.github.io/Logging_2021/tillsyn/A 41917-2026 tillsynsbegäran.docx", "A 41917-2026")</f>
        <v/>
      </c>
      <c r="AD9">
        <f>HYPERLINK("https://klasma.github.io/Logging_2021/tillsynsmail/A 41917-2026 tillsynsbegäran mail.docx", "A 41917-2026")</f>
        <v/>
      </c>
      <c r="AE9">
        <f>HYPERLINK("https://klasma.github.io/Logging_2021/fåglar/A 41917-2026 prioriterade fågelarter.docx", "A 41917-2026")</f>
        <v/>
      </c>
    </row>
    <row r="10" ht="15" customHeight="1">
      <c r="A10" t="inlineStr">
        <is>
          <t>A 63676-2025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46326</v>
      </c>
      <c r="F10" t="inlineStr">
        <is>
          <t>DALARNAS LÄN</t>
        </is>
      </c>
      <c r="G10" t="inlineStr">
        <is>
          <t>VANSBRO</t>
        </is>
      </c>
      <c r="I10" t="n">
        <v>12.3</v>
      </c>
      <c r="J10" t="n">
        <v>4</v>
      </c>
      <c r="K10" t="n">
        <v>1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11</v>
      </c>
      <c r="T10" t="n">
        <v>37</v>
      </c>
      <c r="U10" t="n">
        <v>0</v>
      </c>
      <c r="V10" s="2" t="inlineStr">
        <is>
          <t>Garnlav
Dropptaggsvamp
Kolflarnlav
Mörk kolflarnlav
Tallticka
Tretåig hackspett
Vaddporing
Mindre märgborre
Spillkråka
Tjäder
Revlummer</t>
        </is>
      </c>
      <c r="W10">
        <f>HYPERLINK("https://klasma.github.io/Logging_2021/artfynd/A 63676-2025 artfynd.xlsx", "A 63676-2025")</f>
        <v/>
      </c>
      <c r="X10">
        <f>HYPERLINK("https://klasma.github.io/Logging_2021/kartor/A 63676-2025 karta.png", "A 63676-2025")</f>
        <v/>
      </c>
      <c r="Y10">
        <f>HYPERLINK("https://klasma.github.io/Logging_2021/kartor_geotiff/A 63676-2025 georefererad karta.tif", "A 63676-2025")</f>
        <v/>
      </c>
      <c r="AA10">
        <f>HYPERLINK("https://klasma.github.io/Logging_2021/klagomål/A 63676-2025 FSC-klagomål.docx", "A 63676-2025")</f>
        <v/>
      </c>
      <c r="AB10">
        <f>HYPERLINK("https://klasma.github.io/Logging_2021/klagomålsmail/A 63676-2025 FSC-klagomål mail.docx", "A 63676-2025")</f>
        <v/>
      </c>
      <c r="AC10">
        <f>HYPERLINK("https://klasma.github.io/Logging_2021/tillsyn/A 63676-2025 tillsynsbegäran.docx", "A 63676-2025")</f>
        <v/>
      </c>
      <c r="AD10">
        <f>HYPERLINK("https://klasma.github.io/Logging_2021/tillsynsmail/A 63676-2025 tillsynsbegäran mail.docx", "A 63676-2025")</f>
        <v/>
      </c>
      <c r="AE10">
        <f>HYPERLINK("https://klasma.github.io/Logging_2021/fåglar/A 63676-2025 prioriterade fågelarter.docx", "A 63676-2025")</f>
        <v/>
      </c>
    </row>
    <row r="11" ht="15" customHeight="1">
      <c r="A11" t="inlineStr">
        <is>
          <t>A 57979-2025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46326</v>
      </c>
      <c r="F11" t="inlineStr">
        <is>
          <t>DALARNAS LÄN</t>
        </is>
      </c>
      <c r="G11" t="inlineStr">
        <is>
          <t>VANSBRO</t>
        </is>
      </c>
      <c r="I11" t="n">
        <v>1</v>
      </c>
      <c r="J11" t="n">
        <v>1</v>
      </c>
      <c r="K11" t="n">
        <v>8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10</v>
      </c>
      <c r="T11" t="n">
        <v>18</v>
      </c>
      <c r="U11" t="n">
        <v>1</v>
      </c>
      <c r="V11" s="2" t="inlineStr">
        <is>
          <t>Vridfingersvamp
Lutvaxing
Blodvaxing
Gulvaxing
Hagfingersvamp
Honungsvaxing
Kantarellvaxing
Tvåblad
Vitvaxing agg.
Ängsvaxing agg.</t>
        </is>
      </c>
      <c r="W11">
        <f>HYPERLINK("https://klasma.github.io/Logging_2021/artfynd/A 57979-2025 artfynd.xlsx", "A 57979-2025")</f>
        <v/>
      </c>
      <c r="X11">
        <f>HYPERLINK("https://klasma.github.io/Logging_2021/kartor/A 57979-2025 karta.png", "A 57979-2025")</f>
        <v/>
      </c>
      <c r="Y11">
        <f>HYPERLINK("https://klasma.github.io/Logging_2021/kartor_geotiff/A 57979-2025 georefererad karta.tif", "A 57979-2025")</f>
        <v/>
      </c>
      <c r="AA11">
        <f>HYPERLINK("https://klasma.github.io/Logging_2021/klagomål/A 57979-2025 FSC-klagomål.docx", "A 57979-2025")</f>
        <v/>
      </c>
      <c r="AB11">
        <f>HYPERLINK("https://klasma.github.io/Logging_2021/klagomålsmail/A 57979-2025 FSC-klagomål mail.docx", "A 57979-2025")</f>
        <v/>
      </c>
      <c r="AC11">
        <f>HYPERLINK("https://klasma.github.io/Logging_2021/tillsyn/A 57979-2025 tillsynsbegäran.docx", "A 57979-2025")</f>
        <v/>
      </c>
      <c r="AD11">
        <f>HYPERLINK("https://klasma.github.io/Logging_2021/tillsynsmail/A 57979-2025 tillsynsbegäran mail.docx", "A 57979-2025")</f>
        <v/>
      </c>
    </row>
    <row r="12" ht="15" customHeight="1">
      <c r="A12" t="inlineStr">
        <is>
          <t>A 11713-2025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46326</v>
      </c>
      <c r="F12" t="inlineStr">
        <is>
          <t>DALARNAS LÄN</t>
        </is>
      </c>
      <c r="G12" t="inlineStr">
        <is>
          <t>VANSBRO</t>
        </is>
      </c>
      <c r="I12" t="n">
        <v>10.6</v>
      </c>
      <c r="J12" t="n">
        <v>3</v>
      </c>
      <c r="K12" t="n">
        <v>2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10</v>
      </c>
      <c r="T12" t="n">
        <v>65</v>
      </c>
      <c r="U12" t="n">
        <v>65</v>
      </c>
      <c r="V12" s="2" t="inlineStr">
        <is>
          <t>Garnlav
Knärot
Fjällig taggsvamp s.str.
Orange taggsvamp
Rynkskinn
Tretåig hackspett
Ullticka
Trådticka
Vedticka
Tjäder</t>
        </is>
      </c>
      <c r="W12">
        <f>HYPERLINK("https://klasma.github.io/Logging_2021/artfynd/A 11713-2025 artfynd.xlsx", "A 11713-2025")</f>
        <v/>
      </c>
      <c r="X12">
        <f>HYPERLINK("https://klasma.github.io/Logging_2021/kartor/A 11713-2025 karta.png", "A 11713-2025")</f>
        <v/>
      </c>
      <c r="Y12">
        <f>HYPERLINK("https://klasma.github.io/Logging_2021/kartor_geotiff/A 11713-2025 georefererad karta.tif", "A 11713-2025")</f>
        <v/>
      </c>
      <c r="Z12">
        <f>HYPERLINK("https://klasma.github.io/Logging_2021/knärot/A 11713-2025 karta knärot.png", "A 11713-2025")</f>
        <v/>
      </c>
      <c r="AA12">
        <f>HYPERLINK("https://klasma.github.io/Logging_2021/klagomål/A 11713-2025 FSC-klagomål.docx", "A 11713-2025")</f>
        <v/>
      </c>
      <c r="AB12">
        <f>HYPERLINK("https://klasma.github.io/Logging_2021/klagomålsmail/A 11713-2025 FSC-klagomål mail.docx", "A 11713-2025")</f>
        <v/>
      </c>
      <c r="AC12">
        <f>HYPERLINK("https://klasma.github.io/Logging_2021/tillsyn/A 11713-2025 tillsynsbegäran.docx", "A 11713-2025")</f>
        <v/>
      </c>
      <c r="AD12">
        <f>HYPERLINK("https://klasma.github.io/Logging_2021/tillsynsmail/A 11713-2025 tillsynsbegäran mail.docx", "A 11713-2025")</f>
        <v/>
      </c>
      <c r="AE12">
        <f>HYPERLINK("https://klasma.github.io/Logging_2021/fåglar/A 11713-2025 prioriterade fågelarter.docx", "A 11713-2025")</f>
        <v/>
      </c>
    </row>
    <row r="13" ht="15" customHeight="1">
      <c r="A13" t="inlineStr">
        <is>
          <t>A 62461-2025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46326</v>
      </c>
      <c r="F13" t="inlineStr">
        <is>
          <t>DALARNAS LÄN</t>
        </is>
      </c>
      <c r="G13" t="inlineStr">
        <is>
          <t>VANSBRO</t>
        </is>
      </c>
      <c r="I13" t="n">
        <v>11.9</v>
      </c>
      <c r="J13" t="n">
        <v>4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10</v>
      </c>
      <c r="T13" t="n">
        <v>26</v>
      </c>
      <c r="U13" t="n">
        <v>0</v>
      </c>
      <c r="V13" s="2" t="inlineStr">
        <is>
          <t>Garnlav
Knärot
Dropptaggsvamp
Kolflarnlav
Mörk kolflarnlav
Tretåig hackspett
Vaddporing
Bollvitmossa
Spillkråka
Tjäder</t>
        </is>
      </c>
      <c r="W13">
        <f>HYPERLINK("https://klasma.github.io/Logging_2021/artfynd/A 62461-2025 artfynd.xlsx", "A 62461-2025")</f>
        <v/>
      </c>
      <c r="X13">
        <f>HYPERLINK("https://klasma.github.io/Logging_2021/kartor/A 62461-2025 karta.png", "A 62461-2025")</f>
        <v/>
      </c>
      <c r="Y13">
        <f>HYPERLINK("https://klasma.github.io/Logging_2021/kartor_geotiff/A 62461-2025 georefererad karta.tif", "A 62461-2025")</f>
        <v/>
      </c>
      <c r="Z13">
        <f>HYPERLINK("https://klasma.github.io/Logging_2021/knärot/A 62461-2025 karta knärot.png", "A 62461-2025")</f>
        <v/>
      </c>
      <c r="AA13">
        <f>HYPERLINK("https://klasma.github.io/Logging_2021/klagomål/A 62461-2025 FSC-klagomål.docx", "A 62461-2025")</f>
        <v/>
      </c>
      <c r="AB13">
        <f>HYPERLINK("https://klasma.github.io/Logging_2021/klagomålsmail/A 62461-2025 FSC-klagomål mail.docx", "A 62461-2025")</f>
        <v/>
      </c>
      <c r="AC13">
        <f>HYPERLINK("https://klasma.github.io/Logging_2021/tillsyn/A 62461-2025 tillsynsbegäran.docx", "A 62461-2025")</f>
        <v/>
      </c>
      <c r="AD13">
        <f>HYPERLINK("https://klasma.github.io/Logging_2021/tillsynsmail/A 62461-2025 tillsynsbegäran mail.docx", "A 62461-2025")</f>
        <v/>
      </c>
      <c r="AE13">
        <f>HYPERLINK("https://klasma.github.io/Logging_2021/fåglar/A 62461-2025 prioriterade fågelarter.docx", "A 62461-2025")</f>
        <v/>
      </c>
    </row>
    <row r="14" ht="15" customHeight="1">
      <c r="A14" t="inlineStr">
        <is>
          <t>A 18713-2026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46326</v>
      </c>
      <c r="F14" t="inlineStr">
        <is>
          <t>DALARNAS LÄN</t>
        </is>
      </c>
      <c r="G14" t="inlineStr">
        <is>
          <t>VANSBRO</t>
        </is>
      </c>
      <c r="I14" t="n">
        <v>21.8</v>
      </c>
      <c r="J14" t="n">
        <v>3</v>
      </c>
      <c r="K14" t="n">
        <v>1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135</v>
      </c>
      <c r="U14" t="n">
        <v>134</v>
      </c>
      <c r="V14" s="2" t="inlineStr">
        <is>
          <t>Garnlav
Knärot
Dropptaggsvamp
Kolflarnlav
Mörk kolflarnlav
Tallticka
Tretåig hackspett
Mindre märgborre
Tjäder</t>
        </is>
      </c>
      <c r="W14">
        <f>HYPERLINK("https://klasma.github.io/Logging_2021/artfynd/A 18713-2026 artfynd.xlsx", "A 18713-2026")</f>
        <v/>
      </c>
      <c r="X14">
        <f>HYPERLINK("https://klasma.github.io/Logging_2021/kartor/A 18713-2026 karta.png", "A 18713-2026")</f>
        <v/>
      </c>
      <c r="Y14">
        <f>HYPERLINK("https://klasma.github.io/Logging_2021/kartor_geotiff/A 18713-2026 georefererad karta.tif", "A 18713-2026")</f>
        <v/>
      </c>
      <c r="Z14">
        <f>HYPERLINK("https://klasma.github.io/Logging_2021/knärot/A 18713-2026 karta knärot.png", "A 18713-2026")</f>
        <v/>
      </c>
      <c r="AA14">
        <f>HYPERLINK("https://klasma.github.io/Logging_2021/klagomål/A 18713-2026 FSC-klagomål.docx", "A 18713-2026")</f>
        <v/>
      </c>
      <c r="AB14">
        <f>HYPERLINK("https://klasma.github.io/Logging_2021/klagomålsmail/A 18713-2026 FSC-klagomål mail.docx", "A 18713-2026")</f>
        <v/>
      </c>
      <c r="AC14">
        <f>HYPERLINK("https://klasma.github.io/Logging_2021/tillsyn/A 18713-2026 tillsynsbegäran.docx", "A 18713-2026")</f>
        <v/>
      </c>
      <c r="AD14">
        <f>HYPERLINK("https://klasma.github.io/Logging_2021/tillsynsmail/A 18713-2026 tillsynsbegäran mail.docx", "A 18713-2026")</f>
        <v/>
      </c>
      <c r="AE14">
        <f>HYPERLINK("https://klasma.github.io/Logging_2021/fåglar/A 18713-2026 prioriterade fågelarter.docx", "A 18713-2026")</f>
        <v/>
      </c>
    </row>
    <row r="15" ht="15" customHeight="1">
      <c r="A15" t="inlineStr">
        <is>
          <t>A 60229-2025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46326</v>
      </c>
      <c r="F15" t="inlineStr">
        <is>
          <t>DALARNAS LÄN</t>
        </is>
      </c>
      <c r="G15" t="inlineStr">
        <is>
          <t>VANSBRO</t>
        </is>
      </c>
      <c r="I15" t="n">
        <v>4.9</v>
      </c>
      <c r="J15" t="n">
        <v>3</v>
      </c>
      <c r="K15" t="n">
        <v>1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73</v>
      </c>
      <c r="U15" t="n">
        <v>73</v>
      </c>
      <c r="V15" s="2" t="inlineStr">
        <is>
          <t>Garnlav
Knärot
Kolflarnlav
Mörk kolflarnlav
Tallticka
Tretåig hackspett
Ullticka
Grönpyrola
Spillkråka</t>
        </is>
      </c>
      <c r="W15">
        <f>HYPERLINK("https://klasma.github.io/Logging_2021/artfynd/A 60229-2025 artfynd.xlsx", "A 60229-2025")</f>
        <v/>
      </c>
      <c r="X15">
        <f>HYPERLINK("https://klasma.github.io/Logging_2021/kartor/A 60229-2025 karta.png", "A 60229-2025")</f>
        <v/>
      </c>
      <c r="Y15">
        <f>HYPERLINK("https://klasma.github.io/Logging_2021/kartor_geotiff/A 60229-2025 georefererad karta.tif", "A 60229-2025")</f>
        <v/>
      </c>
      <c r="Z15">
        <f>HYPERLINK("https://klasma.github.io/Logging_2021/knärot/A 60229-2025 karta knärot.png", "A 60229-2025")</f>
        <v/>
      </c>
      <c r="AA15">
        <f>HYPERLINK("https://klasma.github.io/Logging_2021/klagomål/A 60229-2025 FSC-klagomål.docx", "A 60229-2025")</f>
        <v/>
      </c>
      <c r="AB15">
        <f>HYPERLINK("https://klasma.github.io/Logging_2021/klagomålsmail/A 60229-2025 FSC-klagomål mail.docx", "A 60229-2025")</f>
        <v/>
      </c>
      <c r="AC15">
        <f>HYPERLINK("https://klasma.github.io/Logging_2021/tillsyn/A 60229-2025 tillsynsbegäran.docx", "A 60229-2025")</f>
        <v/>
      </c>
      <c r="AD15">
        <f>HYPERLINK("https://klasma.github.io/Logging_2021/tillsynsmail/A 60229-2025 tillsynsbegäran mail.docx", "A 60229-2025")</f>
        <v/>
      </c>
      <c r="AE15">
        <f>HYPERLINK("https://klasma.github.io/Logging_2021/fåglar/A 60229-2025 prioriterade fågelarter.docx", "A 60229-2025")</f>
        <v/>
      </c>
    </row>
    <row r="16" ht="15" customHeight="1">
      <c r="A16" t="inlineStr">
        <is>
          <t>A 33963-2025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46326</v>
      </c>
      <c r="F16" t="inlineStr">
        <is>
          <t>DALARNAS LÄN</t>
        </is>
      </c>
      <c r="G16" t="inlineStr">
        <is>
          <t>VANSBRO</t>
        </is>
      </c>
      <c r="I16" t="n">
        <v>3.2</v>
      </c>
      <c r="J16" t="n">
        <v>3</v>
      </c>
      <c r="K16" t="n">
        <v>1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18</v>
      </c>
      <c r="U16" t="n">
        <v>18</v>
      </c>
      <c r="V16" s="2" t="inlineStr">
        <is>
          <t>Garnlav
Knärot
Kattfotslav
Tretåig hackspett
Ullticka
Vedskivlav
Vedticka
Spillkråka</t>
        </is>
      </c>
      <c r="W16">
        <f>HYPERLINK("https://klasma.github.io/Logging_2021/artfynd/A 33963-2025 artfynd.xlsx", "A 33963-2025")</f>
        <v/>
      </c>
      <c r="X16">
        <f>HYPERLINK("https://klasma.github.io/Logging_2021/kartor/A 33963-2025 karta.png", "A 33963-2025")</f>
        <v/>
      </c>
      <c r="Y16">
        <f>HYPERLINK("https://klasma.github.io/Logging_2021/kartor_geotiff/A 33963-2025 georefererad karta.tif", "A 33963-2025")</f>
        <v/>
      </c>
      <c r="Z16">
        <f>HYPERLINK("https://klasma.github.io/Logging_2021/knärot/A 33963-2025 karta knärot.png", "A 33963-2025")</f>
        <v/>
      </c>
      <c r="AA16">
        <f>HYPERLINK("https://klasma.github.io/Logging_2021/klagomål/A 33963-2025 FSC-klagomål.docx", "A 33963-2025")</f>
        <v/>
      </c>
      <c r="AB16">
        <f>HYPERLINK("https://klasma.github.io/Logging_2021/klagomålsmail/A 33963-2025 FSC-klagomål mail.docx", "A 33963-2025")</f>
        <v/>
      </c>
      <c r="AC16">
        <f>HYPERLINK("https://klasma.github.io/Logging_2021/tillsyn/A 33963-2025 tillsynsbegäran.docx", "A 33963-2025")</f>
        <v/>
      </c>
      <c r="AD16">
        <f>HYPERLINK("https://klasma.github.io/Logging_2021/tillsynsmail/A 33963-2025 tillsynsbegäran mail.docx", "A 33963-2025")</f>
        <v/>
      </c>
      <c r="AE16">
        <f>HYPERLINK("https://klasma.github.io/Logging_2021/fåglar/A 33963-2025 prioriterade fågelarter.docx", "A 33963-2025")</f>
        <v/>
      </c>
    </row>
    <row r="17" ht="15" customHeight="1">
      <c r="A17" t="inlineStr">
        <is>
          <t>A 6640-2026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46326</v>
      </c>
      <c r="F17" t="inlineStr">
        <is>
          <t>DALARNAS LÄN</t>
        </is>
      </c>
      <c r="G17" t="inlineStr">
        <is>
          <t>VANSBRO</t>
        </is>
      </c>
      <c r="I17" t="n">
        <v>5.4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35</v>
      </c>
      <c r="U17" t="n">
        <v>0</v>
      </c>
      <c r="V17" s="2" t="inlineStr">
        <is>
          <t>Garnlav
Dvärgbägarlav
Mörk kolflarnlav
Tallticka
Vedskivlav
Mindre märgborre
Nästlav
Tjäder</t>
        </is>
      </c>
      <c r="W17">
        <f>HYPERLINK("https://klasma.github.io/Logging_2021/artfynd/A 6640-2026 artfynd.xlsx", "A 6640-2026")</f>
        <v/>
      </c>
      <c r="X17">
        <f>HYPERLINK("https://klasma.github.io/Logging_2021/kartor/A 6640-2026 karta.png", "A 6640-2026")</f>
        <v/>
      </c>
      <c r="Y17">
        <f>HYPERLINK("https://klasma.github.io/Logging_2021/kartor_geotiff/A 6640-2026 georefererad karta.tif", "A 6640-2026")</f>
        <v/>
      </c>
      <c r="AA17">
        <f>HYPERLINK("https://klasma.github.io/Logging_2021/klagomål/A 6640-2026 FSC-klagomål.docx", "A 6640-2026")</f>
        <v/>
      </c>
      <c r="AB17">
        <f>HYPERLINK("https://klasma.github.io/Logging_2021/klagomålsmail/A 6640-2026 FSC-klagomål mail.docx", "A 6640-2026")</f>
        <v/>
      </c>
      <c r="AC17">
        <f>HYPERLINK("https://klasma.github.io/Logging_2021/tillsyn/A 6640-2026 tillsynsbegäran.docx", "A 6640-2026")</f>
        <v/>
      </c>
      <c r="AD17">
        <f>HYPERLINK("https://klasma.github.io/Logging_2021/tillsynsmail/A 6640-2026 tillsynsbegäran mail.docx", "A 6640-2026")</f>
        <v/>
      </c>
      <c r="AE17">
        <f>HYPERLINK("https://klasma.github.io/Logging_2021/fåglar/A 6640-2026 prioriterade fågelarter.docx", "A 6640-2026")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46326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33962-2025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45842</v>
      </c>
      <c r="E19" s="1" t="n">
        <v>46326</v>
      </c>
      <c r="F19" t="inlineStr">
        <is>
          <t>DALARNAS LÄN</t>
        </is>
      </c>
      <c r="G19" t="inlineStr">
        <is>
          <t>VANSBRO</t>
        </is>
      </c>
      <c r="I19" t="n">
        <v>7</v>
      </c>
      <c r="J19" t="n">
        <v>3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22</v>
      </c>
      <c r="U19" t="n">
        <v>22</v>
      </c>
      <c r="V19" s="2" t="inlineStr">
        <is>
          <t>Garnlav
Knärot
Lunglav
Tretåig hackspett
Vedticka
Spillkråka</t>
        </is>
      </c>
      <c r="W19">
        <f>HYPERLINK("https://klasma.github.io/Logging_2021/artfynd/A 33962-2025 artfynd.xlsx", "A 33962-2025")</f>
        <v/>
      </c>
      <c r="X19">
        <f>HYPERLINK("https://klasma.github.io/Logging_2021/kartor/A 33962-2025 karta.png", "A 33962-2025")</f>
        <v/>
      </c>
      <c r="Y19">
        <f>HYPERLINK("https://klasma.github.io/Logging_2021/kartor_geotiff/A 33962-2025 georefererad karta.tif", "A 33962-2025")</f>
        <v/>
      </c>
      <c r="Z19">
        <f>HYPERLINK("https://klasma.github.io/Logging_2021/knärot/A 33962-2025 karta knärot.png", "A 33962-2025")</f>
        <v/>
      </c>
      <c r="AA19">
        <f>HYPERLINK("https://klasma.github.io/Logging_2021/klagomål/A 33962-2025 FSC-klagomål.docx", "A 33962-2025")</f>
        <v/>
      </c>
      <c r="AB19">
        <f>HYPERLINK("https://klasma.github.io/Logging_2021/klagomålsmail/A 33962-2025 FSC-klagomål mail.docx", "A 33962-2025")</f>
        <v/>
      </c>
      <c r="AC19">
        <f>HYPERLINK("https://klasma.github.io/Logging_2021/tillsyn/A 33962-2025 tillsynsbegäran.docx", "A 33962-2025")</f>
        <v/>
      </c>
      <c r="AD19">
        <f>HYPERLINK("https://klasma.github.io/Logging_2021/tillsynsmail/A 33962-2025 tillsynsbegäran mail.docx", "A 33962-2025")</f>
        <v/>
      </c>
      <c r="AE19">
        <f>HYPERLINK("https://klasma.github.io/Logging_2021/fåglar/A 33962-2025 prioriterade fågelarter.docx", "A 33962-2025")</f>
        <v/>
      </c>
    </row>
    <row r="20" ht="15" customHeight="1">
      <c r="A20" t="inlineStr">
        <is>
          <t>A 6671-2026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46326</v>
      </c>
      <c r="F20" t="inlineStr">
        <is>
          <t>DALARNAS LÄN</t>
        </is>
      </c>
      <c r="G20" t="inlineStr">
        <is>
          <t>VANSBRO</t>
        </is>
      </c>
      <c r="I20" t="n">
        <v>13.9</v>
      </c>
      <c r="J20" t="n">
        <v>1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27</v>
      </c>
      <c r="U20" t="n">
        <v>0</v>
      </c>
      <c r="V20" s="2" t="inlineStr">
        <is>
          <t>Garnlav
Kolflarnlav
Mörk kolflarnlav
Rynkskinn
Mindre märgborre
Tjäder</t>
        </is>
      </c>
      <c r="W20">
        <f>HYPERLINK("https://klasma.github.io/Logging_2021/artfynd/A 6671-2026 artfynd.xlsx", "A 6671-2026")</f>
        <v/>
      </c>
      <c r="X20">
        <f>HYPERLINK("https://klasma.github.io/Logging_2021/kartor/A 6671-2026 karta.png", "A 6671-2026")</f>
        <v/>
      </c>
      <c r="Y20">
        <f>HYPERLINK("https://klasma.github.io/Logging_2021/kartor_geotiff/A 6671-2026 georefererad karta.tif", "A 6671-2026")</f>
        <v/>
      </c>
      <c r="AA20">
        <f>HYPERLINK("https://klasma.github.io/Logging_2021/klagomål/A 6671-2026 FSC-klagomål.docx", "A 6671-2026")</f>
        <v/>
      </c>
      <c r="AB20">
        <f>HYPERLINK("https://klasma.github.io/Logging_2021/klagomålsmail/A 6671-2026 FSC-klagomål mail.docx", "A 6671-2026")</f>
        <v/>
      </c>
      <c r="AC20">
        <f>HYPERLINK("https://klasma.github.io/Logging_2021/tillsyn/A 6671-2026 tillsynsbegäran.docx", "A 6671-2026")</f>
        <v/>
      </c>
      <c r="AD20">
        <f>HYPERLINK("https://klasma.github.io/Logging_2021/tillsynsmail/A 6671-2026 tillsynsbegäran mail.docx", "A 6671-2026")</f>
        <v/>
      </c>
      <c r="AE20">
        <f>HYPERLINK("https://klasma.github.io/Logging_2021/fåglar/A 6671-2026 prioriterade fågelarter.docx", "A 6671-2026")</f>
        <v/>
      </c>
    </row>
    <row r="21" ht="15" customHeight="1">
      <c r="A21" t="inlineStr">
        <is>
          <t>A 33005-2025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46326</v>
      </c>
      <c r="F21" t="inlineStr">
        <is>
          <t>DALARNAS LÄN</t>
        </is>
      </c>
      <c r="G21" t="inlineStr">
        <is>
          <t>VANSBRO</t>
        </is>
      </c>
      <c r="I21" t="n">
        <v>5.5</v>
      </c>
      <c r="J21" t="n">
        <v>2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17</v>
      </c>
      <c r="U21" t="n">
        <v>17</v>
      </c>
      <c r="V21" s="2" t="inlineStr">
        <is>
          <t>Knärot
Kolflarnlav
Mörk kolflarnlav
Tretåig hackspett
Mindre märgborre</t>
        </is>
      </c>
      <c r="W21">
        <f>HYPERLINK("https://klasma.github.io/Logging_2021/artfynd/A 33005-2025 artfynd.xlsx", "A 33005-2025")</f>
        <v/>
      </c>
      <c r="X21">
        <f>HYPERLINK("https://klasma.github.io/Logging_2021/kartor/A 33005-2025 karta.png", "A 33005-2025")</f>
        <v/>
      </c>
      <c r="Y21">
        <f>HYPERLINK("https://klasma.github.io/Logging_2021/kartor_geotiff/A 33005-2025 georefererad karta.tif", "A 33005-2025")</f>
        <v/>
      </c>
      <c r="Z21">
        <f>HYPERLINK("https://klasma.github.io/Logging_2021/knärot/A 33005-2025 karta knärot.png", "A 33005-2025")</f>
        <v/>
      </c>
      <c r="AA21">
        <f>HYPERLINK("https://klasma.github.io/Logging_2021/klagomål/A 33005-2025 FSC-klagomål.docx", "A 33005-2025")</f>
        <v/>
      </c>
      <c r="AB21">
        <f>HYPERLINK("https://klasma.github.io/Logging_2021/klagomålsmail/A 33005-2025 FSC-klagomål mail.docx", "A 33005-2025")</f>
        <v/>
      </c>
      <c r="AC21">
        <f>HYPERLINK("https://klasma.github.io/Logging_2021/tillsyn/A 33005-2025 tillsynsbegäran.docx", "A 33005-2025")</f>
        <v/>
      </c>
      <c r="AD21">
        <f>HYPERLINK("https://klasma.github.io/Logging_2021/tillsynsmail/A 33005-2025 tillsynsbegäran mail.docx", "A 33005-2025")</f>
        <v/>
      </c>
      <c r="AE21">
        <f>HYPERLINK("https://klasma.github.io/Logging_2021/fåglar/A 33005-2025 prioriterade fågelarter.docx", "A 33005-2025")</f>
        <v/>
      </c>
    </row>
    <row r="22" ht="15" customHeight="1">
      <c r="A22" t="inlineStr">
        <is>
          <t>A 3363-2026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46326</v>
      </c>
      <c r="F22" t="inlineStr">
        <is>
          <t>DALARNAS LÄN</t>
        </is>
      </c>
      <c r="G22" t="inlineStr">
        <is>
          <t>VANSBRO</t>
        </is>
      </c>
      <c r="I22" t="n">
        <v>5.3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39</v>
      </c>
      <c r="U22" t="n">
        <v>39</v>
      </c>
      <c r="V22" s="2" t="inlineStr">
        <is>
          <t>Garnlav
Knärot
Tretåig hackspett
Ullticka
Tjäder</t>
        </is>
      </c>
      <c r="W22">
        <f>HYPERLINK("https://klasma.github.io/Logging_2021/artfynd/A 3363-2026 artfynd.xlsx", "A 3363-2026")</f>
        <v/>
      </c>
      <c r="X22">
        <f>HYPERLINK("https://klasma.github.io/Logging_2021/kartor/A 3363-2026 karta.png", "A 3363-2026")</f>
        <v/>
      </c>
      <c r="Y22">
        <f>HYPERLINK("https://klasma.github.io/Logging_2021/kartor_geotiff/A 3363-2026 georefererad karta.tif", "A 3363-2026")</f>
        <v/>
      </c>
      <c r="Z22">
        <f>HYPERLINK("https://klasma.github.io/Logging_2021/knärot/A 3363-2026 karta knärot.png", "A 3363-2026")</f>
        <v/>
      </c>
      <c r="AA22">
        <f>HYPERLINK("https://klasma.github.io/Logging_2021/klagomål/A 3363-2026 FSC-klagomål.docx", "A 3363-2026")</f>
        <v/>
      </c>
      <c r="AB22">
        <f>HYPERLINK("https://klasma.github.io/Logging_2021/klagomålsmail/A 3363-2026 FSC-klagomål mail.docx", "A 3363-2026")</f>
        <v/>
      </c>
      <c r="AC22">
        <f>HYPERLINK("https://klasma.github.io/Logging_2021/tillsyn/A 3363-2026 tillsynsbegäran.docx", "A 3363-2026")</f>
        <v/>
      </c>
      <c r="AD22">
        <f>HYPERLINK("https://klasma.github.io/Logging_2021/tillsynsmail/A 3363-2026 tillsynsbegäran mail.docx", "A 3363-2026")</f>
        <v/>
      </c>
      <c r="AE22">
        <f>HYPERLINK("https://klasma.github.io/Logging_2021/fåglar/A 3363-2026 prioriterade fågelarter.docx", "A 3363-2026")</f>
        <v/>
      </c>
    </row>
    <row r="23" ht="15" customHeight="1">
      <c r="A23" t="inlineStr">
        <is>
          <t>A 62734-2021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46326</v>
      </c>
      <c r="F23" t="inlineStr">
        <is>
          <t>DALARNAS LÄN</t>
        </is>
      </c>
      <c r="G23" t="inlineStr">
        <is>
          <t>VANSBRO</t>
        </is>
      </c>
      <c r="H23" t="inlineStr">
        <is>
          <t>Bergvik skog öst AB</t>
        </is>
      </c>
      <c r="I23" t="n">
        <v>5.6</v>
      </c>
      <c r="J23" t="n">
        <v>0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Doftskinn
Ullticka
Violettgrå tagellav
Stuplav</t>
        </is>
      </c>
      <c r="W23">
        <f>HYPERLINK("https://klasma.github.io/Logging_2021/artfynd/A 62734-2021 artfynd.xlsx", "A 62734-2021")</f>
        <v/>
      </c>
      <c r="X23">
        <f>HYPERLINK("https://klasma.github.io/Logging_2021/kartor/A 62734-2021 karta.png", "A 62734-2021")</f>
        <v/>
      </c>
      <c r="Y23">
        <f>HYPERLINK("https://klasma.github.io/Logging_2021/kartor_geotiff/A 62734-2021 georefererad karta.tif", "A 62734-2021")</f>
        <v/>
      </c>
      <c r="AA23">
        <f>HYPERLINK("https://klasma.github.io/Logging_2021/klagomål/A 62734-2021 FSC-klagomål.docx", "A 62734-2021")</f>
        <v/>
      </c>
      <c r="AB23">
        <f>HYPERLINK("https://klasma.github.io/Logging_2021/klagomålsmail/A 62734-2021 FSC-klagomål mail.docx", "A 62734-2021")</f>
        <v/>
      </c>
      <c r="AC23">
        <f>HYPERLINK("https://klasma.github.io/Logging_2021/tillsyn/A 62734-2021 tillsynsbegäran.docx", "A 62734-2021")</f>
        <v/>
      </c>
      <c r="AD23">
        <f>HYPERLINK("https://klasma.github.io/Logging_2021/tillsynsmail/A 62734-2021 tillsynsbegäran mail.docx", "A 62734-2021")</f>
        <v/>
      </c>
    </row>
    <row r="24" ht="15" customHeight="1">
      <c r="A24" t="inlineStr">
        <is>
          <t>A 3854-2024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46326</v>
      </c>
      <c r="F24" t="inlineStr">
        <is>
          <t>DALARNAS LÄN</t>
        </is>
      </c>
      <c r="G24" t="inlineStr">
        <is>
          <t>VANSBRO</t>
        </is>
      </c>
      <c r="H24" t="inlineStr">
        <is>
          <t>Kyrkan</t>
        </is>
      </c>
      <c r="I24" t="n">
        <v>4.6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3</v>
      </c>
      <c r="V24" s="2" t="inlineStr">
        <is>
          <t>Garnlav
Tretåig hackspett
Björksplintborre
Utter</t>
        </is>
      </c>
      <c r="W24">
        <f>HYPERLINK("https://klasma.github.io/Logging_2021/artfynd/A 3854-2024 artfynd.xlsx", "A 3854-2024")</f>
        <v/>
      </c>
      <c r="X24">
        <f>HYPERLINK("https://klasma.github.io/Logging_2021/kartor/A 3854-2024 karta.png", "A 3854-2024")</f>
        <v/>
      </c>
      <c r="Y24">
        <f>HYPERLINK("https://klasma.github.io/Logging_2021/kartor_geotiff/A 3854-2024 georefererad karta.tif", "A 3854-2024")</f>
        <v/>
      </c>
      <c r="AA24">
        <f>HYPERLINK("https://klasma.github.io/Logging_2021/klagomål/A 3854-2024 FSC-klagomål.docx", "A 3854-2024")</f>
        <v/>
      </c>
      <c r="AB24">
        <f>HYPERLINK("https://klasma.github.io/Logging_2021/klagomålsmail/A 3854-2024 FSC-klagomål mail.docx", "A 3854-2024")</f>
        <v/>
      </c>
      <c r="AC24">
        <f>HYPERLINK("https://klasma.github.io/Logging_2021/tillsyn/A 3854-2024 tillsynsbegäran.docx", "A 3854-2024")</f>
        <v/>
      </c>
      <c r="AD24">
        <f>HYPERLINK("https://klasma.github.io/Logging_2021/tillsynsmail/A 3854-2024 tillsynsbegäran mail.docx", "A 3854-2024")</f>
        <v/>
      </c>
      <c r="AE24">
        <f>HYPERLINK("https://klasma.github.io/Logging_2021/fåglar/A 3854-2024 prioriterade fågelarter.docx", "A 3854-2024")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46326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45350-2024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45576</v>
      </c>
      <c r="E26" s="1" t="n">
        <v>46326</v>
      </c>
      <c r="F26" t="inlineStr">
        <is>
          <t>DALARNAS LÄN</t>
        </is>
      </c>
      <c r="G26" t="inlineStr">
        <is>
          <t>VANSBRO</t>
        </is>
      </c>
      <c r="I26" t="n">
        <v>13.4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8</v>
      </c>
      <c r="U26" t="n">
        <v>8</v>
      </c>
      <c r="V26" s="2" t="inlineStr">
        <is>
          <t>Garnlav
Dropptaggsvamp
Kolflarnlav
Mindre märgborre</t>
        </is>
      </c>
      <c r="W26">
        <f>HYPERLINK("https://klasma.github.io/Logging_2021/artfynd/A 45350-2024 artfynd.xlsx", "A 45350-2024")</f>
        <v/>
      </c>
      <c r="X26">
        <f>HYPERLINK("https://klasma.github.io/Logging_2021/kartor/A 45350-2024 karta.png", "A 45350-2024")</f>
        <v/>
      </c>
      <c r="Y26">
        <f>HYPERLINK("https://klasma.github.io/Logging_2021/kartor_geotiff/A 45350-2024 georefererad karta.tif", "A 45350-2024")</f>
        <v/>
      </c>
      <c r="AA26">
        <f>HYPERLINK("https://klasma.github.io/Logging_2021/klagomål/A 45350-2024 FSC-klagomål.docx", "A 45350-2024")</f>
        <v/>
      </c>
      <c r="AB26">
        <f>HYPERLINK("https://klasma.github.io/Logging_2021/klagomålsmail/A 45350-2024 FSC-klagomål mail.docx", "A 45350-2024")</f>
        <v/>
      </c>
      <c r="AC26">
        <f>HYPERLINK("https://klasma.github.io/Logging_2021/tillsyn/A 45350-2024 tillsynsbegäran.docx", "A 45350-2024")</f>
        <v/>
      </c>
      <c r="AD26">
        <f>HYPERLINK("https://klasma.github.io/Logging_2021/tillsynsmail/A 45350-2024 tillsynsbegäran mail.docx", "A 45350-2024")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46326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13339-2025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46326</v>
      </c>
      <c r="F28" t="inlineStr">
        <is>
          <t>DALARNAS LÄN</t>
        </is>
      </c>
      <c r="G28" t="inlineStr">
        <is>
          <t>VANSBRO</t>
        </is>
      </c>
      <c r="I28" t="n">
        <v>0.4</v>
      </c>
      <c r="J28" t="n">
        <v>1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5</v>
      </c>
      <c r="U28" t="n">
        <v>5</v>
      </c>
      <c r="V28" s="2" t="inlineStr">
        <is>
          <t>Garnlav
Knärot
Dropptaggsvamp
Mörk kolflarnlav</t>
        </is>
      </c>
      <c r="W28">
        <f>HYPERLINK("https://klasma.github.io/Logging_2021/artfynd/A 13339-2025 artfynd.xlsx", "A 13339-2025")</f>
        <v/>
      </c>
      <c r="X28">
        <f>HYPERLINK("https://klasma.github.io/Logging_2021/kartor/A 13339-2025 karta.png", "A 13339-2025")</f>
        <v/>
      </c>
      <c r="Y28">
        <f>HYPERLINK("https://klasma.github.io/Logging_2021/kartor_geotiff/A 13339-2025 georefererad karta.tif", "A 13339-2025")</f>
        <v/>
      </c>
      <c r="Z28">
        <f>HYPERLINK("https://klasma.github.io/Logging_2021/knärot/A 13339-2025 karta knärot.png", "A 13339-2025")</f>
        <v/>
      </c>
      <c r="AA28">
        <f>HYPERLINK("https://klasma.github.io/Logging_2021/klagomål/A 13339-2025 FSC-klagomål.docx", "A 13339-2025")</f>
        <v/>
      </c>
      <c r="AB28">
        <f>HYPERLINK("https://klasma.github.io/Logging_2021/klagomålsmail/A 13339-2025 FSC-klagomål mail.docx", "A 13339-2025")</f>
        <v/>
      </c>
      <c r="AC28">
        <f>HYPERLINK("https://klasma.github.io/Logging_2021/tillsyn/A 13339-2025 tillsynsbegäran.docx", "A 13339-2025")</f>
        <v/>
      </c>
      <c r="AD28">
        <f>HYPERLINK("https://klasma.github.io/Logging_2021/tillsynsmail/A 13339-2025 tillsynsbegäran mail.docx", "A 13339-2025")</f>
        <v/>
      </c>
    </row>
    <row r="29" ht="15" customHeight="1">
      <c r="A29" t="inlineStr">
        <is>
          <t>A 13344-2025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45735</v>
      </c>
      <c r="E29" s="1" t="n">
        <v>46326</v>
      </c>
      <c r="F29" t="inlineStr">
        <is>
          <t>DALARNAS LÄN</t>
        </is>
      </c>
      <c r="G29" t="inlineStr">
        <is>
          <t>VANSBRO</t>
        </is>
      </c>
      <c r="I29" t="n">
        <v>0.5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6</v>
      </c>
      <c r="V29" s="2" t="inlineStr">
        <is>
          <t>Knärot
Mörk kolflarnlav
Ullticka
Tjäder</t>
        </is>
      </c>
      <c r="W29">
        <f>HYPERLINK("https://klasma.github.io/Logging_2021/artfynd/A 13344-2025 artfynd.xlsx", "A 13344-2025")</f>
        <v/>
      </c>
      <c r="X29">
        <f>HYPERLINK("https://klasma.github.io/Logging_2021/kartor/A 13344-2025 karta.png", "A 13344-2025")</f>
        <v/>
      </c>
      <c r="Y29">
        <f>HYPERLINK("https://klasma.github.io/Logging_2021/kartor_geotiff/A 13344-2025 georefererad karta.tif", "A 13344-2025")</f>
        <v/>
      </c>
      <c r="Z29">
        <f>HYPERLINK("https://klasma.github.io/Logging_2021/knärot/A 13344-2025 karta knärot.png", "A 13344-2025")</f>
        <v/>
      </c>
      <c r="AA29">
        <f>HYPERLINK("https://klasma.github.io/Logging_2021/klagomål/A 13344-2025 FSC-klagomål.docx", "A 13344-2025")</f>
        <v/>
      </c>
      <c r="AB29">
        <f>HYPERLINK("https://klasma.github.io/Logging_2021/klagomålsmail/A 13344-2025 FSC-klagomål mail.docx", "A 13344-2025")</f>
        <v/>
      </c>
      <c r="AC29">
        <f>HYPERLINK("https://klasma.github.io/Logging_2021/tillsyn/A 13344-2025 tillsynsbegäran.docx", "A 13344-2025")</f>
        <v/>
      </c>
      <c r="AD29">
        <f>HYPERLINK("https://klasma.github.io/Logging_2021/tillsynsmail/A 13344-2025 tillsynsbegäran mail.docx", "A 13344-2025")</f>
        <v/>
      </c>
      <c r="AE29">
        <f>HYPERLINK("https://klasma.github.io/Logging_2021/fåglar/A 13344-2025 prioriterade fågelarter.docx", "A 13344-2025")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46326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46326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27504-2025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45813</v>
      </c>
      <c r="E32" s="1" t="n">
        <v>46326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3.4</v>
      </c>
      <c r="J32" t="n">
        <v>0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5</v>
      </c>
      <c r="U32" t="n">
        <v>0</v>
      </c>
      <c r="V32" s="2" t="inlineStr">
        <is>
          <t>Garnlav
Kortskaftad ärgspik
Vedticka</t>
        </is>
      </c>
      <c r="W32">
        <f>HYPERLINK("https://klasma.github.io/Logging_2021/artfynd/A 27504-2025 artfynd.xlsx", "A 27504-2025")</f>
        <v/>
      </c>
      <c r="X32">
        <f>HYPERLINK("https://klasma.github.io/Logging_2021/kartor/A 27504-2025 karta.png", "A 27504-2025")</f>
        <v/>
      </c>
      <c r="Y32">
        <f>HYPERLINK("https://klasma.github.io/Logging_2021/kartor_geotiff/A 27504-2025 georefererad karta.tif", "A 27504-2025")</f>
        <v/>
      </c>
      <c r="AA32">
        <f>HYPERLINK("https://klasma.github.io/Logging_2021/klagomål/A 27504-2025 FSC-klagomål.docx", "A 27504-2025")</f>
        <v/>
      </c>
      <c r="AB32">
        <f>HYPERLINK("https://klasma.github.io/Logging_2021/klagomålsmail/A 27504-2025 FSC-klagomål mail.docx", "A 27504-2025")</f>
        <v/>
      </c>
      <c r="AC32">
        <f>HYPERLINK("https://klasma.github.io/Logging_2021/tillsyn/A 27504-2025 tillsynsbegäran.docx", "A 27504-2025")</f>
        <v/>
      </c>
      <c r="AD32">
        <f>HYPERLINK("https://klasma.github.io/Logging_2021/tillsynsmail/A 27504-2025 tillsynsbegäran mail.docx", "A 27504-2025")</f>
        <v/>
      </c>
    </row>
    <row r="33" ht="15" customHeight="1">
      <c r="A33" t="inlineStr">
        <is>
          <t>A 11433-2025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45726</v>
      </c>
      <c r="E33" s="1" t="n">
        <v>46326</v>
      </c>
      <c r="F33" t="inlineStr">
        <is>
          <t>DALARNAS LÄN</t>
        </is>
      </c>
      <c r="G33" t="inlineStr">
        <is>
          <t>VANSBRO</t>
        </is>
      </c>
      <c r="I33" t="n">
        <v>7.5</v>
      </c>
      <c r="J33" t="n">
        <v>1</v>
      </c>
      <c r="K33" t="n">
        <v>1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24</v>
      </c>
      <c r="U33" t="n">
        <v>24</v>
      </c>
      <c r="V33" s="2" t="inlineStr">
        <is>
          <t>Garnlav
Knärot
Bollvitmossa</t>
        </is>
      </c>
      <c r="W33">
        <f>HYPERLINK("https://klasma.github.io/Logging_2021/artfynd/A 11433-2025 artfynd.xlsx", "A 11433-2025")</f>
        <v/>
      </c>
      <c r="X33">
        <f>HYPERLINK("https://klasma.github.io/Logging_2021/kartor/A 11433-2025 karta.png", "A 11433-2025")</f>
        <v/>
      </c>
      <c r="Y33">
        <f>HYPERLINK("https://klasma.github.io/Logging_2021/kartor_geotiff/A 11433-2025 georefererad karta.tif", "A 11433-2025")</f>
        <v/>
      </c>
      <c r="Z33">
        <f>HYPERLINK("https://klasma.github.io/Logging_2021/knärot/A 11433-2025 karta knärot.png", "A 11433-2025")</f>
        <v/>
      </c>
      <c r="AA33">
        <f>HYPERLINK("https://klasma.github.io/Logging_2021/klagomål/A 11433-2025 FSC-klagomål.docx", "A 11433-2025")</f>
        <v/>
      </c>
      <c r="AB33">
        <f>HYPERLINK("https://klasma.github.io/Logging_2021/klagomålsmail/A 11433-2025 FSC-klagomål mail.docx", "A 11433-2025")</f>
        <v/>
      </c>
      <c r="AC33">
        <f>HYPERLINK("https://klasma.github.io/Logging_2021/tillsyn/A 11433-2025 tillsynsbegäran.docx", "A 11433-2025")</f>
        <v/>
      </c>
      <c r="AD33">
        <f>HYPERLINK("https://klasma.github.io/Logging_2021/tillsynsmail/A 11433-2025 tillsynsbegäran mail.docx", "A 11433-2025")</f>
        <v/>
      </c>
    </row>
    <row r="34" ht="15" customHeight="1">
      <c r="A34" t="inlineStr">
        <is>
          <t>A 41377-2026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46301</v>
      </c>
      <c r="E34" s="1" t="n">
        <v>46326</v>
      </c>
      <c r="F34" t="inlineStr">
        <is>
          <t>DALARNAS LÄN</t>
        </is>
      </c>
      <c r="G34" t="inlineStr">
        <is>
          <t>VANSBRO</t>
        </is>
      </c>
      <c r="I34" t="n">
        <v>0.6</v>
      </c>
      <c r="J34" t="n">
        <v>1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3</v>
      </c>
      <c r="T34" t="n">
        <v>4</v>
      </c>
      <c r="U34" t="n">
        <v>0</v>
      </c>
      <c r="V34" s="2" t="inlineStr">
        <is>
          <t>Garnlav
Knärot
Ullticka</t>
        </is>
      </c>
      <c r="W34">
        <f>HYPERLINK("https://klasma.github.io/Logging_2021/artfynd/A 41377-2026 artfynd.xlsx", "A 41377-2026")</f>
        <v/>
      </c>
      <c r="X34">
        <f>HYPERLINK("https://klasma.github.io/Logging_2021/kartor/A 41377-2026 karta.png", "A 41377-2026")</f>
        <v/>
      </c>
      <c r="Y34">
        <f>HYPERLINK("https://klasma.github.io/Logging_2021/kartor_geotiff/A 41377-2026 georefererad karta.tif", "A 41377-2026")</f>
        <v/>
      </c>
      <c r="Z34">
        <f>HYPERLINK("https://klasma.github.io/Logging_2021/knärot/A 41377-2026 karta knärot.png", "A 41377-2026")</f>
        <v/>
      </c>
      <c r="AA34">
        <f>HYPERLINK("https://klasma.github.io/Logging_2021/klagomål/A 41377-2026 FSC-klagomål.docx", "A 41377-2026")</f>
        <v/>
      </c>
      <c r="AB34">
        <f>HYPERLINK("https://klasma.github.io/Logging_2021/klagomålsmail/A 41377-2026 FSC-klagomål mail.docx", "A 41377-2026")</f>
        <v/>
      </c>
      <c r="AC34">
        <f>HYPERLINK("https://klasma.github.io/Logging_2021/tillsyn/A 41377-2026 tillsynsbegäran.docx", "A 41377-2026")</f>
        <v/>
      </c>
      <c r="AD34">
        <f>HYPERLINK("https://klasma.github.io/Logging_2021/tillsynsmail/A 41377-2026 tillsynsbegäran mail.docx", "A 41377-2026")</f>
        <v/>
      </c>
    </row>
    <row r="35" ht="15" customHeight="1">
      <c r="A35" t="inlineStr">
        <is>
          <t>A 41690-2026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46302</v>
      </c>
      <c r="E35" s="1" t="n">
        <v>46326</v>
      </c>
      <c r="F35" t="inlineStr">
        <is>
          <t>DALARNAS LÄN</t>
        </is>
      </c>
      <c r="G35" t="inlineStr">
        <is>
          <t>VANSBRO</t>
        </is>
      </c>
      <c r="I35" t="n">
        <v>2.4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Drillsnäppa
Ullticka
Älg</t>
        </is>
      </c>
      <c r="W35">
        <f>HYPERLINK("https://klasma.github.io/Logging_2021/artfynd/A 41690-2026 artfynd.xlsx", "A 41690-2026")</f>
        <v/>
      </c>
      <c r="X35">
        <f>HYPERLINK("https://klasma.github.io/Logging_2021/kartor/A 41690-2026 karta.png", "A 41690-2026")</f>
        <v/>
      </c>
      <c r="Y35">
        <f>HYPERLINK("https://klasma.github.io/Logging_2021/kartor_geotiff/A 41690-2026 georefererad karta.tif", "A 41690-2026")</f>
        <v/>
      </c>
      <c r="AA35">
        <f>HYPERLINK("https://klasma.github.io/Logging_2021/klagomål/A 41690-2026 FSC-klagomål.docx", "A 41690-2026")</f>
        <v/>
      </c>
      <c r="AB35">
        <f>HYPERLINK("https://klasma.github.io/Logging_2021/klagomålsmail/A 41690-2026 FSC-klagomål mail.docx", "A 41690-2026")</f>
        <v/>
      </c>
      <c r="AC35">
        <f>HYPERLINK("https://klasma.github.io/Logging_2021/tillsyn/A 41690-2026 tillsynsbegäran.docx", "A 41690-2026")</f>
        <v/>
      </c>
      <c r="AD35">
        <f>HYPERLINK("https://klasma.github.io/Logging_2021/tillsynsmail/A 41690-2026 tillsynsbegäran mail.docx", "A 41690-2026")</f>
        <v/>
      </c>
      <c r="AE35">
        <f>HYPERLINK("https://klasma.github.io/Logging_2021/fåglar/A 41690-2026 prioriterade fågelarter.docx", "A 41690-2026")</f>
        <v/>
      </c>
    </row>
    <row r="36" ht="15" customHeight="1">
      <c r="A36" t="inlineStr">
        <is>
          <t>A 33898-2022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46326</v>
      </c>
      <c r="F36" t="inlineStr">
        <is>
          <t>DALARNAS LÄN</t>
        </is>
      </c>
      <c r="G36" t="inlineStr">
        <is>
          <t>VANSBRO</t>
        </is>
      </c>
      <c r="I36" t="n">
        <v>2.8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Kungsfågel</t>
        </is>
      </c>
      <c r="W36">
        <f>HYPERLINK("https://klasma.github.io/Logging_2021/artfynd/A 33898-2022 artfynd.xlsx", "A 33898-2022")</f>
        <v/>
      </c>
      <c r="X36">
        <f>HYPERLINK("https://klasma.github.io/Logging_2021/kartor/A 33898-2022 karta.png", "A 33898-2022")</f>
        <v/>
      </c>
      <c r="Y36">
        <f>HYPERLINK("https://klasma.github.io/Logging_2021/kartor_geotiff/A 33898-2022 georefererad karta.tif", "A 33898-2022")</f>
        <v/>
      </c>
      <c r="Z36">
        <f>HYPERLINK("https://klasma.github.io/Logging_2021/knärot/A 33898-2022 karta knärot.png", "A 33898-2022")</f>
        <v/>
      </c>
      <c r="AA36">
        <f>HYPERLINK("https://klasma.github.io/Logging_2021/klagomål/A 33898-2022 FSC-klagomål.docx", "A 33898-2022")</f>
        <v/>
      </c>
      <c r="AB36">
        <f>HYPERLINK("https://klasma.github.io/Logging_2021/klagomålsmail/A 33898-2022 FSC-klagomål mail.docx", "A 33898-2022")</f>
        <v/>
      </c>
      <c r="AC36">
        <f>HYPERLINK("https://klasma.github.io/Logging_2021/tillsyn/A 33898-2022 tillsynsbegäran.docx", "A 33898-2022")</f>
        <v/>
      </c>
      <c r="AD36">
        <f>HYPERLINK("https://klasma.github.io/Logging_2021/tillsynsmail/A 33898-2022 tillsynsbegäran mail.docx", "A 33898-2022")</f>
        <v/>
      </c>
    </row>
    <row r="37" ht="15" customHeight="1">
      <c r="A37" t="inlineStr">
        <is>
          <t>A 13323-2025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45735</v>
      </c>
      <c r="E37" s="1" t="n">
        <v>46326</v>
      </c>
      <c r="F37" t="inlineStr">
        <is>
          <t>DALARNAS LÄN</t>
        </is>
      </c>
      <c r="G37" t="inlineStr">
        <is>
          <t>VANSBRO</t>
        </is>
      </c>
      <c r="I37" t="n">
        <v>2.1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Ullticka</t>
        </is>
      </c>
      <c r="W37">
        <f>HYPERLINK("https://klasma.github.io/Logging_2021/artfynd/A 13323-2025 artfynd.xlsx", "A 13323-2025")</f>
        <v/>
      </c>
      <c r="X37">
        <f>HYPERLINK("https://klasma.github.io/Logging_2021/kartor/A 13323-2025 karta.png", "A 13323-2025")</f>
        <v/>
      </c>
      <c r="Y37">
        <f>HYPERLINK("https://klasma.github.io/Logging_2021/kartor_geotiff/A 13323-2025 georefererad karta.tif", "A 13323-2025")</f>
        <v/>
      </c>
      <c r="Z37">
        <f>HYPERLINK("https://klasma.github.io/Logging_2021/knärot/A 13323-2025 karta knärot.png", "A 13323-2025")</f>
        <v/>
      </c>
      <c r="AA37">
        <f>HYPERLINK("https://klasma.github.io/Logging_2021/klagomål/A 13323-2025 FSC-klagomål.docx", "A 13323-2025")</f>
        <v/>
      </c>
      <c r="AB37">
        <f>HYPERLINK("https://klasma.github.io/Logging_2021/klagomålsmail/A 13323-2025 FSC-klagomål mail.docx", "A 13323-2025")</f>
        <v/>
      </c>
      <c r="AC37">
        <f>HYPERLINK("https://klasma.github.io/Logging_2021/tillsyn/A 13323-2025 tillsynsbegäran.docx", "A 13323-2025")</f>
        <v/>
      </c>
      <c r="AD37">
        <f>HYPERLINK("https://klasma.github.io/Logging_2021/tillsynsmail/A 13323-2025 tillsynsbegäran mail.docx", "A 13323-2025")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46326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58009-2023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46326</v>
      </c>
      <c r="F39" t="inlineStr">
        <is>
          <t>DALARNAS LÄN</t>
        </is>
      </c>
      <c r="G39" t="inlineStr">
        <is>
          <t>VANSBRO</t>
        </is>
      </c>
      <c r="I39" t="n">
        <v>0.5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Sädesärla
Orre</t>
        </is>
      </c>
      <c r="W39">
        <f>HYPERLINK("https://klasma.github.io/Logging_2021/artfynd/A 58009-2023 artfynd.xlsx", "A 58009-2023")</f>
        <v/>
      </c>
      <c r="X39">
        <f>HYPERLINK("https://klasma.github.io/Logging_2021/kartor/A 58009-2023 karta.png", "A 58009-2023")</f>
        <v/>
      </c>
      <c r="Y39">
        <f>HYPERLINK("https://klasma.github.io/Logging_2021/kartor_geotiff/A 58009-2023 georefererad karta.tif", "A 58009-2023")</f>
        <v/>
      </c>
      <c r="AA39">
        <f>HYPERLINK("https://klasma.github.io/Logging_2021/klagomål/A 58009-2023 FSC-klagomål.docx", "A 58009-2023")</f>
        <v/>
      </c>
      <c r="AB39">
        <f>HYPERLINK("https://klasma.github.io/Logging_2021/klagomålsmail/A 58009-2023 FSC-klagomål mail.docx", "A 58009-2023")</f>
        <v/>
      </c>
      <c r="AC39">
        <f>HYPERLINK("https://klasma.github.io/Logging_2021/tillsyn/A 58009-2023 tillsynsbegäran.docx", "A 58009-2023")</f>
        <v/>
      </c>
      <c r="AD39">
        <f>HYPERLINK("https://klasma.github.io/Logging_2021/tillsynsmail/A 58009-2023 tillsynsbegäran mail.docx", "A 58009-2023")</f>
        <v/>
      </c>
      <c r="AE39">
        <f>HYPERLINK("https://klasma.github.io/Logging_2021/fåglar/A 58009-2023 prioriterade fågelarter.docx", "A 58009-2023")</f>
        <v/>
      </c>
    </row>
    <row r="40" ht="15" customHeight="1">
      <c r="A40" t="inlineStr">
        <is>
          <t>A 14475-2024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46326</v>
      </c>
      <c r="F40" t="inlineStr">
        <is>
          <t>DALARNAS LÄN</t>
        </is>
      </c>
      <c r="G40" t="inlineStr">
        <is>
          <t>VANSBRO</t>
        </is>
      </c>
      <c r="I40" t="n">
        <v>20.4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3</v>
      </c>
      <c r="V40" s="2" t="inlineStr">
        <is>
          <t>Garnlav
Dropptaggsvamp</t>
        </is>
      </c>
      <c r="W40">
        <f>HYPERLINK("https://klasma.github.io/Logging_2021/artfynd/A 14475-2024 artfynd.xlsx", "A 14475-2024")</f>
        <v/>
      </c>
      <c r="X40">
        <f>HYPERLINK("https://klasma.github.io/Logging_2021/kartor/A 14475-2024 karta.png", "A 14475-2024")</f>
        <v/>
      </c>
      <c r="Y40">
        <f>HYPERLINK("https://klasma.github.io/Logging_2021/kartor_geotiff/A 14475-2024 georefererad karta.tif", "A 14475-2024")</f>
        <v/>
      </c>
      <c r="AA40">
        <f>HYPERLINK("https://klasma.github.io/Logging_2021/klagomål/A 14475-2024 FSC-klagomål.docx", "A 14475-2024")</f>
        <v/>
      </c>
      <c r="AB40">
        <f>HYPERLINK("https://klasma.github.io/Logging_2021/klagomålsmail/A 14475-2024 FSC-klagomål mail.docx", "A 14475-2024")</f>
        <v/>
      </c>
      <c r="AC40">
        <f>HYPERLINK("https://klasma.github.io/Logging_2021/tillsyn/A 14475-2024 tillsynsbegäran.docx", "A 14475-2024")</f>
        <v/>
      </c>
      <c r="AD40">
        <f>HYPERLINK("https://klasma.github.io/Logging_2021/tillsynsmail/A 14475-2024 tillsynsbegäran mail.docx", "A 14475-2024")</f>
        <v/>
      </c>
    </row>
    <row r="41" ht="15" customHeight="1">
      <c r="A41" t="inlineStr">
        <is>
          <t>A 33793-2026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46326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0.9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Nästlav</t>
        </is>
      </c>
      <c r="W41">
        <f>HYPERLINK("https://klasma.github.io/Logging_2021/artfynd/A 33793-2026 artfynd.xlsx", "A 33793-2026")</f>
        <v/>
      </c>
      <c r="X41">
        <f>HYPERLINK("https://klasma.github.io/Logging_2021/kartor/A 33793-2026 karta.png", "A 33793-2026")</f>
        <v/>
      </c>
      <c r="Y41">
        <f>HYPERLINK("https://klasma.github.io/Logging_2021/kartor_geotiff/A 33793-2026 georefererad karta.tif", "A 33793-2026")</f>
        <v/>
      </c>
      <c r="AA41">
        <f>HYPERLINK("https://klasma.github.io/Logging_2021/klagomål/A 33793-2026 FSC-klagomål.docx", "A 33793-2026")</f>
        <v/>
      </c>
      <c r="AB41">
        <f>HYPERLINK("https://klasma.github.io/Logging_2021/klagomålsmail/A 33793-2026 FSC-klagomål mail.docx", "A 33793-2026")</f>
        <v/>
      </c>
      <c r="AC41">
        <f>HYPERLINK("https://klasma.github.io/Logging_2021/tillsyn/A 33793-2026 tillsynsbegäran.docx", "A 33793-2026")</f>
        <v/>
      </c>
      <c r="AD41">
        <f>HYPERLINK("https://klasma.github.io/Logging_2021/tillsynsmail/A 33793-2026 tillsynsbegäran mail.docx", "A 33793-2026")</f>
        <v/>
      </c>
    </row>
    <row r="42" ht="15" customHeight="1">
      <c r="A42" t="inlineStr">
        <is>
          <t>A 43753-2026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46316</v>
      </c>
      <c r="E42" s="1" t="n">
        <v>46326</v>
      </c>
      <c r="F42" t="inlineStr">
        <is>
          <t>DALARNAS LÄN</t>
        </is>
      </c>
      <c r="G42" t="inlineStr">
        <is>
          <t>VANSBRO</t>
        </is>
      </c>
      <c r="I42" t="n">
        <v>2.7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Kungsfågel</t>
        </is>
      </c>
      <c r="W42">
        <f>HYPERLINK("https://klasma.github.io/Logging_2021/artfynd/A 43753-2026 artfynd.xlsx", "A 43753-2026")</f>
        <v/>
      </c>
      <c r="X42">
        <f>HYPERLINK("https://klasma.github.io/Logging_2021/kartor/A 43753-2026 karta.png", "A 43753-2026")</f>
        <v/>
      </c>
      <c r="Y42">
        <f>HYPERLINK("https://klasma.github.io/Logging_2021/kartor_geotiff/A 43753-2026 georefererad karta.tif", "A 43753-2026")</f>
        <v/>
      </c>
      <c r="Z42">
        <f>HYPERLINK("https://klasma.github.io/Logging_2021/knärot/A 43753-2026 karta knärot.png", "A 43753-2026")</f>
        <v/>
      </c>
      <c r="AA42">
        <f>HYPERLINK("https://klasma.github.io/Logging_2021/klagomål/A 43753-2026 FSC-klagomål.docx", "A 43753-2026")</f>
        <v/>
      </c>
      <c r="AB42">
        <f>HYPERLINK("https://klasma.github.io/Logging_2021/klagomålsmail/A 43753-2026 FSC-klagomål mail.docx", "A 43753-2026")</f>
        <v/>
      </c>
      <c r="AC42">
        <f>HYPERLINK("https://klasma.github.io/Logging_2021/tillsyn/A 43753-2026 tillsynsbegäran.docx", "A 43753-2026")</f>
        <v/>
      </c>
      <c r="AD42">
        <f>HYPERLINK("https://klasma.github.io/Logging_2021/tillsynsmail/A 43753-2026 tillsynsbegäran mail.docx", "A 43753-2026")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46326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46326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46326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46326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48109-2025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46326</v>
      </c>
      <c r="F47" t="inlineStr">
        <is>
          <t>DALARNAS LÄN</t>
        </is>
      </c>
      <c r="G47" t="inlineStr">
        <is>
          <t>VANSBRO</t>
        </is>
      </c>
      <c r="I47" t="n">
        <v>0.8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Gränsticka</t>
        </is>
      </c>
      <c r="W47">
        <f>HYPERLINK("https://klasma.github.io/Logging_2021/artfynd/A 48109-2025 artfynd.xlsx", "A 48109-2025")</f>
        <v/>
      </c>
      <c r="X47">
        <f>HYPERLINK("https://klasma.github.io/Logging_2021/kartor/A 48109-2025 karta.png", "A 48109-2025")</f>
        <v/>
      </c>
      <c r="Y47">
        <f>HYPERLINK("https://klasma.github.io/Logging_2021/kartor_geotiff/A 48109-2025 georefererad karta.tif", "A 48109-2025")</f>
        <v/>
      </c>
      <c r="AA47">
        <f>HYPERLINK("https://klasma.github.io/Logging_2021/klagomål/A 48109-2025 FSC-klagomål.docx", "A 48109-2025")</f>
        <v/>
      </c>
      <c r="AB47">
        <f>HYPERLINK("https://klasma.github.io/Logging_2021/klagomålsmail/A 48109-2025 FSC-klagomål mail.docx", "A 48109-2025")</f>
        <v/>
      </c>
      <c r="AC47">
        <f>HYPERLINK("https://klasma.github.io/Logging_2021/tillsyn/A 48109-2025 tillsynsbegäran.docx", "A 48109-2025")</f>
        <v/>
      </c>
      <c r="AD47">
        <f>HYPERLINK("https://klasma.github.io/Logging_2021/tillsynsmail/A 48109-2025 tillsynsbegäran mail.docx", "A 48109-2025")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46326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20076-2026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46326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13.2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Kransrams</t>
        </is>
      </c>
      <c r="W49">
        <f>HYPERLINK("https://klasma.github.io/Logging_2021/artfynd/A 20076-2026 artfynd.xlsx", "A 20076-2026")</f>
        <v/>
      </c>
      <c r="X49">
        <f>HYPERLINK("https://klasma.github.io/Logging_2021/kartor/A 20076-2026 karta.png", "A 20076-2026")</f>
        <v/>
      </c>
      <c r="Y49">
        <f>HYPERLINK("https://klasma.github.io/Logging_2021/kartor_geotiff/A 20076-2026 georefererad karta.tif", "A 20076-2026")</f>
        <v/>
      </c>
      <c r="AA49">
        <f>HYPERLINK("https://klasma.github.io/Logging_2021/klagomål/A 20076-2026 FSC-klagomål.docx", "A 20076-2026")</f>
        <v/>
      </c>
      <c r="AB49">
        <f>HYPERLINK("https://klasma.github.io/Logging_2021/klagomålsmail/A 20076-2026 FSC-klagomål mail.docx", "A 20076-2026")</f>
        <v/>
      </c>
      <c r="AC49">
        <f>HYPERLINK("https://klasma.github.io/Logging_2021/tillsyn/A 20076-2026 tillsynsbegäran.docx", "A 20076-2026")</f>
        <v/>
      </c>
      <c r="AD49">
        <f>HYPERLINK("https://klasma.github.io/Logging_2021/tillsynsmail/A 20076-2026 tillsynsbegäran mail.docx", "A 20076-2026")</f>
        <v/>
      </c>
    </row>
    <row r="50" ht="15" customHeight="1">
      <c r="A50" t="inlineStr">
        <is>
          <t>A 37219-2024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46326</v>
      </c>
      <c r="F50" t="inlineStr">
        <is>
          <t>DALARNAS LÄN</t>
        </is>
      </c>
      <c r="G50" t="inlineStr">
        <is>
          <t>VANSBRO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Tjäder</t>
        </is>
      </c>
      <c r="W50">
        <f>HYPERLINK("https://klasma.github.io/Logging_2021/artfynd/A 37219-2024 artfynd.xlsx", "A 37219-2024")</f>
        <v/>
      </c>
      <c r="X50">
        <f>HYPERLINK("https://klasma.github.io/Logging_2021/kartor/A 37219-2024 karta.png", "A 37219-2024")</f>
        <v/>
      </c>
      <c r="Y50">
        <f>HYPERLINK("https://klasma.github.io/Logging_2021/kartor_geotiff/A 37219-2024 georefererad karta.tif", "A 37219-2024")</f>
        <v/>
      </c>
      <c r="AA50">
        <f>HYPERLINK("https://klasma.github.io/Logging_2021/klagomål/A 37219-2024 FSC-klagomål.docx", "A 37219-2024")</f>
        <v/>
      </c>
      <c r="AB50">
        <f>HYPERLINK("https://klasma.github.io/Logging_2021/klagomålsmail/A 37219-2024 FSC-klagomål mail.docx", "A 37219-2024")</f>
        <v/>
      </c>
      <c r="AC50">
        <f>HYPERLINK("https://klasma.github.io/Logging_2021/tillsyn/A 37219-2024 tillsynsbegäran.docx", "A 37219-2024")</f>
        <v/>
      </c>
      <c r="AD50">
        <f>HYPERLINK("https://klasma.github.io/Logging_2021/tillsynsmail/A 37219-2024 tillsynsbegäran mail.docx", "A 37219-2024")</f>
        <v/>
      </c>
      <c r="AE50">
        <f>HYPERLINK("https://klasma.github.io/Logging_2021/fåglar/A 37219-2024 prioriterade fågelarter.docx", "A 37219-2024")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46326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26756-2026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46326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11.4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HYPERLINK("https://klasma.github.io/Logging_2021/artfynd/A 26756-2026 artfynd.xlsx", "A 26756-2026")</f>
        <v/>
      </c>
      <c r="X52">
        <f>HYPERLINK("https://klasma.github.io/Logging_2021/kartor/A 26756-2026 karta.png", "A 26756-2026")</f>
        <v/>
      </c>
      <c r="Y52">
        <f>HYPERLINK("https://klasma.github.io/Logging_2021/kartor_geotiff/A 26756-2026 georefererad karta.tif", "A 26756-2026")</f>
        <v/>
      </c>
      <c r="AA52">
        <f>HYPERLINK("https://klasma.github.io/Logging_2021/klagomål/A 26756-2026 FSC-klagomål.docx", "A 26756-2026")</f>
        <v/>
      </c>
      <c r="AB52">
        <f>HYPERLINK("https://klasma.github.io/Logging_2021/klagomålsmail/A 26756-2026 FSC-klagomål mail.docx", "A 26756-2026")</f>
        <v/>
      </c>
      <c r="AC52">
        <f>HYPERLINK("https://klasma.github.io/Logging_2021/tillsyn/A 26756-2026 tillsynsbegäran.docx", "A 26756-2026")</f>
        <v/>
      </c>
      <c r="AD52">
        <f>HYPERLINK("https://klasma.github.io/Logging_2021/tillsynsmail/A 26756-2026 tillsynsbegäran mail.docx", "A 26756-2026")</f>
        <v/>
      </c>
      <c r="AE52">
        <f>HYPERLINK("https://klasma.github.io/Logging_2021/fåglar/A 26756-2026 prioriterade fågelarter.docx", "A 26756-2026")</f>
        <v/>
      </c>
    </row>
    <row r="53" ht="15" customHeight="1">
      <c r="A53" t="inlineStr">
        <is>
          <t>A 57810-2023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46326</v>
      </c>
      <c r="F53" t="inlineStr">
        <is>
          <t>DALARNAS LÄN</t>
        </is>
      </c>
      <c r="G53" t="inlineStr">
        <is>
          <t>VANSBRO</t>
        </is>
      </c>
      <c r="I53" t="n">
        <v>0.6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Järnsparv</t>
        </is>
      </c>
      <c r="W53">
        <f>HYPERLINK("https://klasma.github.io/Logging_2021/artfynd/A 57810-2023 artfynd.xlsx", "A 57810-2023")</f>
        <v/>
      </c>
      <c r="X53">
        <f>HYPERLINK("https://klasma.github.io/Logging_2021/kartor/A 57810-2023 karta.png", "A 57810-2023")</f>
        <v/>
      </c>
      <c r="Y53">
        <f>HYPERLINK("https://klasma.github.io/Logging_2021/kartor_geotiff/A 57810-2023 georefererad karta.tif", "A 57810-2023")</f>
        <v/>
      </c>
      <c r="AA53">
        <f>HYPERLINK("https://klasma.github.io/Logging_2021/klagomål/A 57810-2023 FSC-klagomål.docx", "A 57810-2023")</f>
        <v/>
      </c>
      <c r="AB53">
        <f>HYPERLINK("https://klasma.github.io/Logging_2021/klagomålsmail/A 57810-2023 FSC-klagomål mail.docx", "A 57810-2023")</f>
        <v/>
      </c>
      <c r="AC53">
        <f>HYPERLINK("https://klasma.github.io/Logging_2021/tillsyn/A 57810-2023 tillsynsbegäran.docx", "A 57810-2023")</f>
        <v/>
      </c>
      <c r="AD53">
        <f>HYPERLINK("https://klasma.github.io/Logging_2021/tillsynsmail/A 57810-2023 tillsynsbegäran mail.docx", "A 57810-2023")</f>
        <v/>
      </c>
      <c r="AE53">
        <f>HYPERLINK("https://klasma.github.io/Logging_2021/fåglar/A 57810-2023 prioriterade fågelarter.docx", "A 57810-2023")</f>
        <v/>
      </c>
    </row>
    <row r="54" ht="15" customHeight="1">
      <c r="A54" t="inlineStr">
        <is>
          <t>A 33250-2024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45518</v>
      </c>
      <c r="E54" s="1" t="n">
        <v>46326</v>
      </c>
      <c r="F54" t="inlineStr">
        <is>
          <t>DALARNAS LÄN</t>
        </is>
      </c>
      <c r="G54" t="inlineStr">
        <is>
          <t>VANSBRO</t>
        </is>
      </c>
      <c r="I54" t="n">
        <v>6.8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Reliktbock</t>
        </is>
      </c>
      <c r="W54">
        <f>HYPERLINK("https://klasma.github.io/Logging_2021/artfynd/A 33250-2024 artfynd.xlsx", "A 33250-2024")</f>
        <v/>
      </c>
      <c r="X54">
        <f>HYPERLINK("https://klasma.github.io/Logging_2021/kartor/A 33250-2024 karta.png", "A 33250-2024")</f>
        <v/>
      </c>
      <c r="Y54">
        <f>HYPERLINK("https://klasma.github.io/Logging_2021/kartor_geotiff/A 33250-2024 georefererad karta.tif", "A 33250-2024")</f>
        <v/>
      </c>
      <c r="AA54">
        <f>HYPERLINK("https://klasma.github.io/Logging_2021/klagomål/A 33250-2024 FSC-klagomål.docx", "A 33250-2024")</f>
        <v/>
      </c>
      <c r="AB54">
        <f>HYPERLINK("https://klasma.github.io/Logging_2021/klagomålsmail/A 33250-2024 FSC-klagomål mail.docx", "A 33250-2024")</f>
        <v/>
      </c>
      <c r="AC54">
        <f>HYPERLINK("https://klasma.github.io/Logging_2021/tillsyn/A 33250-2024 tillsynsbegäran.docx", "A 33250-2024")</f>
        <v/>
      </c>
      <c r="AD54">
        <f>HYPERLINK("https://klasma.github.io/Logging_2021/tillsynsmail/A 33250-2024 tillsynsbegäran mail.docx", "A 33250-2024")</f>
        <v/>
      </c>
    </row>
    <row r="55" ht="15" customHeight="1">
      <c r="A55" t="inlineStr">
        <is>
          <t>A 35533-2026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46326</v>
      </c>
      <c r="F55" t="inlineStr">
        <is>
          <t>DALARNAS LÄN</t>
        </is>
      </c>
      <c r="G55" t="inlineStr">
        <is>
          <t>VANSBRO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HYPERLINK("https://klasma.github.io/Logging_2021/artfynd/A 35533-2026 artfynd.xlsx", "A 35533-2026")</f>
        <v/>
      </c>
      <c r="X55">
        <f>HYPERLINK("https://klasma.github.io/Logging_2021/kartor/A 35533-2026 karta.png", "A 35533-2026")</f>
        <v/>
      </c>
      <c r="Y55">
        <f>HYPERLINK("https://klasma.github.io/Logging_2021/kartor_geotiff/A 35533-2026 georefererad karta.tif", "A 35533-2026")</f>
        <v/>
      </c>
      <c r="Z55">
        <f>HYPERLINK("https://klasma.github.io/Logging_2021/knärot/A 35533-2026 karta knärot.png", "A 35533-2026")</f>
        <v/>
      </c>
      <c r="AA55">
        <f>HYPERLINK("https://klasma.github.io/Logging_2021/klagomål/A 35533-2026 FSC-klagomål.docx", "A 35533-2026")</f>
        <v/>
      </c>
      <c r="AB55">
        <f>HYPERLINK("https://klasma.github.io/Logging_2021/klagomålsmail/A 35533-2026 FSC-klagomål mail.docx", "A 35533-2026")</f>
        <v/>
      </c>
      <c r="AC55">
        <f>HYPERLINK("https://klasma.github.io/Logging_2021/tillsyn/A 35533-2026 tillsynsbegäran.docx", "A 35533-2026")</f>
        <v/>
      </c>
      <c r="AD55">
        <f>HYPERLINK("https://klasma.github.io/Logging_2021/tillsynsmail/A 35533-2026 tillsynsbegäran mail.docx", "A 35533-2026")</f>
        <v/>
      </c>
    </row>
    <row r="56" ht="15" customHeight="1">
      <c r="A56" t="inlineStr">
        <is>
          <t>S 146-2023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44942</v>
      </c>
      <c r="E56" s="1" t="n">
        <v>46326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8.9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HYPERLINK("https://klasma.github.io/Logging_2021/artfynd/S 146-2023 artfynd.xlsx", "S 146-2023")</f>
        <v/>
      </c>
      <c r="X56">
        <f>HYPERLINK("https://klasma.github.io/Logging_2021/kartor/S 146-2023 karta.png", "S 146-2023")</f>
        <v/>
      </c>
      <c r="Y56">
        <f>HYPERLINK("https://klasma.github.io/Logging_2021/kartor_geotiff/S 146-2023 georefererad karta.tif", "S 146-2023")</f>
        <v/>
      </c>
      <c r="AA56">
        <f>HYPERLINK("https://klasma.github.io/Logging_2021/klagomål/S 146-2023 FSC-klagomål.docx", "S 146-2023")</f>
        <v/>
      </c>
      <c r="AB56">
        <f>HYPERLINK("https://klasma.github.io/Logging_2021/klagomålsmail/S 146-2023 FSC-klagomål mail.docx", "S 146-2023")</f>
        <v/>
      </c>
      <c r="AC56">
        <f>HYPERLINK("https://klasma.github.io/Logging_2021/tillsyn/S 146-2023 tillsynsbegäran.docx", "S 146-2023")</f>
        <v/>
      </c>
      <c r="AD56">
        <f>HYPERLINK("https://klasma.github.io/Logging_2021/tillsynsmail/S 146-2023 tillsynsbegäran mail.docx", "S 146-2023")</f>
        <v/>
      </c>
    </row>
    <row r="57" ht="15" customHeight="1">
      <c r="A57" t="inlineStr">
        <is>
          <t>S 940-2024</t>
        </is>
      </c>
      <c r="B57" t="inlineStr">
        <is>
          <t>samrådsanmälan</t>
        </is>
      </c>
      <c r="C57" t="inlineStr">
        <is>
          <t>Skogsgödsling</t>
        </is>
      </c>
      <c r="D57" s="1" t="n">
        <v>45377</v>
      </c>
      <c r="E57" s="1" t="n">
        <v>46326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158.9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HYPERLINK("https://klasma.github.io/Logging_2021/artfynd/S 940-2024 artfynd.xlsx", "S 940-2024")</f>
        <v/>
      </c>
      <c r="X57">
        <f>HYPERLINK("https://klasma.github.io/Logging_2021/kartor/S 940-2024 karta.png", "S 940-2024")</f>
        <v/>
      </c>
      <c r="Y57">
        <f>HYPERLINK("https://klasma.github.io/Logging_2021/kartor_geotiff/S 940-2024 georefererad karta.tif", "S 940-2024")</f>
        <v/>
      </c>
      <c r="AA57">
        <f>HYPERLINK("https://klasma.github.io/Logging_2021/klagomål/S 940-2024 FSC-klagomål.docx", "S 940-2024")</f>
        <v/>
      </c>
      <c r="AB57">
        <f>HYPERLINK("https://klasma.github.io/Logging_2021/klagomålsmail/S 940-2024 FSC-klagomål mail.docx", "S 940-2024")</f>
        <v/>
      </c>
      <c r="AC57">
        <f>HYPERLINK("https://klasma.github.io/Logging_2021/tillsyn/S 940-2024 tillsynsbegäran.docx", "S 940-2024")</f>
        <v/>
      </c>
      <c r="AD57">
        <f>HYPERLINK("https://klasma.github.io/Logging_2021/tillsynsmail/S 940-2024 tillsynsbegäran mail.docx", "S 940-2024")</f>
        <v/>
      </c>
    </row>
    <row r="58" ht="15" customHeight="1">
      <c r="A58" t="inlineStr">
        <is>
          <t>A 54023-2022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46326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46326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46326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66705-2021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46326</v>
      </c>
      <c r="F61" t="inlineStr">
        <is>
          <t>DALARNAS LÄN</t>
        </is>
      </c>
      <c r="G61" t="inlineStr">
        <is>
          <t>VANSBRO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46326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46326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46326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46326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46326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46326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46326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46326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46326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46326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46326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46326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46326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46326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46326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46326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46326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46326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46326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46326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46326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46326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46326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46326</v>
      </c>
      <c r="F85" t="inlineStr">
        <is>
          <t>DALARNAS LÄN</t>
        </is>
      </c>
      <c r="G85" t="inlineStr">
        <is>
          <t>VANSBRO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46326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46326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46326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46326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46326</v>
      </c>
      <c r="F90" t="inlineStr">
        <is>
          <t>DALARNAS LÄN</t>
        </is>
      </c>
      <c r="G90" t="inlineStr">
        <is>
          <t>VANSBRO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11408-2025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45726</v>
      </c>
      <c r="E91" s="1" t="n">
        <v>46326</v>
      </c>
      <c r="F91" t="inlineStr">
        <is>
          <t>DALARNAS LÄN</t>
        </is>
      </c>
      <c r="G91" t="inlineStr">
        <is>
          <t>VANSBRO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46326</v>
      </c>
      <c r="F92" t="inlineStr">
        <is>
          <t>DALARNAS LÄN</t>
        </is>
      </c>
      <c r="G92" t="inlineStr">
        <is>
          <t>VANSBRO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55078-2022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44886</v>
      </c>
      <c r="E93" s="1" t="n">
        <v>46326</v>
      </c>
      <c r="F93" t="inlineStr">
        <is>
          <t>DALARNAS LÄN</t>
        </is>
      </c>
      <c r="G93" t="inlineStr">
        <is>
          <t>VANSBRO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46326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46326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46326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46326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44796</v>
      </c>
      <c r="E98" s="1" t="n">
        <v>46326</v>
      </c>
      <c r="F98" t="inlineStr">
        <is>
          <t>DALARNAS LÄN</t>
        </is>
      </c>
      <c r="G98" t="inlineStr">
        <is>
          <t>VANSBRO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46326</v>
      </c>
      <c r="F99" t="inlineStr">
        <is>
          <t>DALARNAS LÄN</t>
        </is>
      </c>
      <c r="G99" t="inlineStr">
        <is>
          <t>VANSBRO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45637</v>
      </c>
      <c r="E100" s="1" t="n">
        <v>46326</v>
      </c>
      <c r="F100" t="inlineStr">
        <is>
          <t>DALARNAS LÄN</t>
        </is>
      </c>
      <c r="G100" t="inlineStr">
        <is>
          <t>VANSBRO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46326</v>
      </c>
      <c r="F101" t="inlineStr">
        <is>
          <t>DALARNAS LÄN</t>
        </is>
      </c>
      <c r="G101" t="inlineStr">
        <is>
          <t>VANSBRO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46326</v>
      </c>
      <c r="F102" t="inlineStr">
        <is>
          <t>DALARNAS LÄN</t>
        </is>
      </c>
      <c r="G102" t="inlineStr">
        <is>
          <t>VANSBRO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46326</v>
      </c>
      <c r="F103" t="inlineStr">
        <is>
          <t>DALARNAS LÄN</t>
        </is>
      </c>
      <c r="G103" t="inlineStr">
        <is>
          <t>VANSBRO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46326</v>
      </c>
      <c r="F104" t="inlineStr">
        <is>
          <t>DALARNAS LÄN</t>
        </is>
      </c>
      <c r="G104" t="inlineStr">
        <is>
          <t>VANSBRO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45754</v>
      </c>
      <c r="E105" s="1" t="n">
        <v>46326</v>
      </c>
      <c r="F105" t="inlineStr">
        <is>
          <t>DALARNAS LÄN</t>
        </is>
      </c>
      <c r="G105" t="inlineStr">
        <is>
          <t>VANSBRO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45689</v>
      </c>
      <c r="E106" s="1" t="n">
        <v>46326</v>
      </c>
      <c r="F106" t="inlineStr">
        <is>
          <t>DALARNAS LÄN</t>
        </is>
      </c>
      <c r="G106" t="inlineStr">
        <is>
          <t>VANSBRO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45530</v>
      </c>
      <c r="E107" s="1" t="n">
        <v>46326</v>
      </c>
      <c r="F107" t="inlineStr">
        <is>
          <t>DALARNAS LÄN</t>
        </is>
      </c>
      <c r="G107" t="inlineStr">
        <is>
          <t>VANSBRO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46326</v>
      </c>
      <c r="F108" t="inlineStr">
        <is>
          <t>DALARNAS LÄN</t>
        </is>
      </c>
      <c r="G108" t="inlineStr">
        <is>
          <t>VANSBRO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44925</v>
      </c>
      <c r="E109" s="1" t="n">
        <v>46326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46326</v>
      </c>
      <c r="F110" t="inlineStr">
        <is>
          <t>DALARNAS LÄN</t>
        </is>
      </c>
      <c r="G110" t="inlineStr">
        <is>
          <t>VANSBRO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46326</v>
      </c>
      <c r="F111" t="inlineStr">
        <is>
          <t>DALARNAS LÄN</t>
        </is>
      </c>
      <c r="G111" t="inlineStr">
        <is>
          <t>VANSBRO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46326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46326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46326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46326</v>
      </c>
      <c r="F115" t="inlineStr">
        <is>
          <t>DALARNAS LÄN</t>
        </is>
      </c>
      <c r="G115" t="inlineStr">
        <is>
          <t>VANSBRO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44862</v>
      </c>
      <c r="E116" s="1" t="n">
        <v>46326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46326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46326</v>
      </c>
      <c r="F118" t="inlineStr">
        <is>
          <t>DALARNAS LÄN</t>
        </is>
      </c>
      <c r="G118" t="inlineStr">
        <is>
          <t>VANSBRO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46326</v>
      </c>
      <c r="F119" t="inlineStr">
        <is>
          <t>DALARNAS LÄN</t>
        </is>
      </c>
      <c r="G119" t="inlineStr">
        <is>
          <t>VANSBRO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46326</v>
      </c>
      <c r="F120" t="inlineStr">
        <is>
          <t>DALARNAS LÄN</t>
        </is>
      </c>
      <c r="G120" t="inlineStr">
        <is>
          <t>VANSBRO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46326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46326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46033</v>
      </c>
      <c r="E123" s="1" t="n">
        <v>46326</v>
      </c>
      <c r="F123" t="inlineStr">
        <is>
          <t>DALARNAS LÄN</t>
        </is>
      </c>
      <c r="G123" t="inlineStr">
        <is>
          <t>VANSBRO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45356-2024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45576</v>
      </c>
      <c r="E124" s="1" t="n">
        <v>46326</v>
      </c>
      <c r="F124" t="inlineStr">
        <is>
          <t>DALARNAS LÄN</t>
        </is>
      </c>
      <c r="G124" t="inlineStr">
        <is>
          <t>VANSBRO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46326</v>
      </c>
      <c r="F125" t="inlineStr">
        <is>
          <t>DALARNAS LÄN</t>
        </is>
      </c>
      <c r="G125" t="inlineStr">
        <is>
          <t>VANSBRO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46326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46326</v>
      </c>
      <c r="F127" t="inlineStr">
        <is>
          <t>DALARNAS LÄN</t>
        </is>
      </c>
      <c r="G127" t="inlineStr">
        <is>
          <t>VANSBRO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46326</v>
      </c>
      <c r="F128" t="inlineStr">
        <is>
          <t>DALARNAS LÄN</t>
        </is>
      </c>
      <c r="G128" t="inlineStr">
        <is>
          <t>VANSBRO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46326</v>
      </c>
      <c r="F129" t="inlineStr">
        <is>
          <t>DALARNAS LÄN</t>
        </is>
      </c>
      <c r="G129" t="inlineStr">
        <is>
          <t>VANSBRO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46326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46326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46326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46326</v>
      </c>
      <c r="F133" t="inlineStr">
        <is>
          <t>DALARNAS LÄN</t>
        </is>
      </c>
      <c r="G133" t="inlineStr">
        <is>
          <t>VANSBRO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46326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46326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46326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46326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46326</v>
      </c>
      <c r="F138" t="inlineStr">
        <is>
          <t>DALARNAS LÄN</t>
        </is>
      </c>
      <c r="G138" t="inlineStr">
        <is>
          <t>VANSBRO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46326</v>
      </c>
      <c r="F139" t="inlineStr">
        <is>
          <t>DALARNAS LÄN</t>
        </is>
      </c>
      <c r="G139" t="inlineStr">
        <is>
          <t>VANSBRO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46326</v>
      </c>
      <c r="F140" t="inlineStr">
        <is>
          <t>DALARNAS LÄN</t>
        </is>
      </c>
      <c r="G140" t="inlineStr">
        <is>
          <t>VANSBRO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46326</v>
      </c>
      <c r="F141" t="inlineStr">
        <is>
          <t>DALARNAS LÄN</t>
        </is>
      </c>
      <c r="G141" t="inlineStr">
        <is>
          <t>VANSBRO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46326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45183</v>
      </c>
      <c r="E143" s="1" t="n">
        <v>46326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46326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46326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46326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45764</v>
      </c>
      <c r="E147" s="1" t="n">
        <v>46326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45665</v>
      </c>
      <c r="E148" s="1" t="n">
        <v>46326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46326</v>
      </c>
      <c r="F149" t="inlineStr">
        <is>
          <t>DALARNAS LÄN</t>
        </is>
      </c>
      <c r="G149" t="inlineStr">
        <is>
          <t>VANSBRO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46326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45846</v>
      </c>
      <c r="E151" s="1" t="n">
        <v>46326</v>
      </c>
      <c r="F151" t="inlineStr">
        <is>
          <t>DALARNAS LÄN</t>
        </is>
      </c>
      <c r="G151" t="inlineStr">
        <is>
          <t>VANSBRO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46326</v>
      </c>
      <c r="F152" t="inlineStr">
        <is>
          <t>DALARNAS LÄN</t>
        </is>
      </c>
      <c r="G152" t="inlineStr">
        <is>
          <t>VANSBRO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46326</v>
      </c>
      <c r="F153" t="inlineStr">
        <is>
          <t>DALARNAS LÄN</t>
        </is>
      </c>
      <c r="G153" t="inlineStr">
        <is>
          <t>VANSBRO</t>
        </is>
      </c>
      <c r="H153" t="inlineStr">
        <is>
          <t>Övriga statliga verk och myndigheter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46326</v>
      </c>
      <c r="F154" t="inlineStr">
        <is>
          <t>DALARNAS LÄN</t>
        </is>
      </c>
      <c r="G154" t="inlineStr">
        <is>
          <t>VANSBRO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46326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45854</v>
      </c>
      <c r="E156" s="1" t="n">
        <v>46326</v>
      </c>
      <c r="F156" t="inlineStr">
        <is>
          <t>DALARNAS LÄN</t>
        </is>
      </c>
      <c r="G156" t="inlineStr">
        <is>
          <t>VANSBRO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46326</v>
      </c>
      <c r="F157" t="inlineStr">
        <is>
          <t>DALARNAS LÄN</t>
        </is>
      </c>
      <c r="G157" t="inlineStr">
        <is>
          <t>VANSBRO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46326</v>
      </c>
      <c r="F158" t="inlineStr">
        <is>
          <t>DALARNAS LÄN</t>
        </is>
      </c>
      <c r="G158" t="inlineStr">
        <is>
          <t>VANSBRO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46326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46326</v>
      </c>
      <c r="F160" t="inlineStr">
        <is>
          <t>DALARNAS LÄN</t>
        </is>
      </c>
      <c r="G160" t="inlineStr">
        <is>
          <t>VANSBRO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46326</v>
      </c>
      <c r="F161" t="inlineStr">
        <is>
          <t>DALARNAS LÄN</t>
        </is>
      </c>
      <c r="G161" t="inlineStr">
        <is>
          <t>VANSBRO</t>
        </is>
      </c>
      <c r="H161" t="inlineStr">
        <is>
          <t>Övriga statliga verk och myndigheter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46326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46326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45868</v>
      </c>
      <c r="E164" s="1" t="n">
        <v>46326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48102-2025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46326</v>
      </c>
      <c r="F165" t="inlineStr">
        <is>
          <t>DALARNAS LÄN</t>
        </is>
      </c>
      <c r="G165" t="inlineStr">
        <is>
          <t>VANSBRO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46326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46326</v>
      </c>
      <c r="F167" t="inlineStr">
        <is>
          <t>DALARNAS LÄN</t>
        </is>
      </c>
      <c r="G167" t="inlineStr">
        <is>
          <t>VANSBRO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46326</v>
      </c>
      <c r="F168" t="inlineStr">
        <is>
          <t>DALARNAS LÄN</t>
        </is>
      </c>
      <c r="G168" t="inlineStr">
        <is>
          <t>VANSBRO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46326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46326</v>
      </c>
      <c r="F170" t="inlineStr">
        <is>
          <t>DALARNAS LÄN</t>
        </is>
      </c>
      <c r="G170" t="inlineStr">
        <is>
          <t>VANSBRO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44811</v>
      </c>
      <c r="E171" s="1" t="n">
        <v>46326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45876</v>
      </c>
      <c r="E172" s="1" t="n">
        <v>46326</v>
      </c>
      <c r="F172" t="inlineStr">
        <is>
          <t>DALARNAS LÄN</t>
        </is>
      </c>
      <c r="G172" t="inlineStr">
        <is>
          <t>VANSBRO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46326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46326</v>
      </c>
      <c r="F174" t="inlineStr">
        <is>
          <t>DALARNAS LÄN</t>
        </is>
      </c>
      <c r="G174" t="inlineStr">
        <is>
          <t>VANSBRO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46326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46326</v>
      </c>
      <c r="F176" t="inlineStr">
        <is>
          <t>DALARNAS LÄN</t>
        </is>
      </c>
      <c r="G176" t="inlineStr">
        <is>
          <t>VANSBRO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46326</v>
      </c>
      <c r="F177" t="inlineStr">
        <is>
          <t>DALARNAS LÄN</t>
        </is>
      </c>
      <c r="G177" t="inlineStr">
        <is>
          <t>VANSBRO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46326</v>
      </c>
      <c r="F178" t="inlineStr">
        <is>
          <t>DALARNAS LÄN</t>
        </is>
      </c>
      <c r="G178" t="inlineStr">
        <is>
          <t>VANSBRO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46326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46326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46326</v>
      </c>
      <c r="F181" t="inlineStr">
        <is>
          <t>DALARNAS LÄN</t>
        </is>
      </c>
      <c r="G181" t="inlineStr">
        <is>
          <t>VANSBRO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46326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46326</v>
      </c>
      <c r="F183" t="inlineStr">
        <is>
          <t>DALARNAS LÄN</t>
        </is>
      </c>
      <c r="G183" t="inlineStr">
        <is>
          <t>VANSBRO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46326</v>
      </c>
      <c r="F184" t="inlineStr">
        <is>
          <t>DALARNAS LÄN</t>
        </is>
      </c>
      <c r="G184" t="inlineStr">
        <is>
          <t>VANSBRO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46326</v>
      </c>
      <c r="F185" t="inlineStr">
        <is>
          <t>DALARNAS LÄN</t>
        </is>
      </c>
      <c r="G185" t="inlineStr">
        <is>
          <t>VANSBRO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46326</v>
      </c>
      <c r="F186" t="inlineStr">
        <is>
          <t>DALARNAS LÄN</t>
        </is>
      </c>
      <c r="G186" t="inlineStr">
        <is>
          <t>VANSBRO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46326</v>
      </c>
      <c r="F187" t="inlineStr">
        <is>
          <t>DALARNAS LÄN</t>
        </is>
      </c>
      <c r="G187" t="inlineStr">
        <is>
          <t>VANSBRO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45182</v>
      </c>
      <c r="E188" s="1" t="n">
        <v>46326</v>
      </c>
      <c r="F188" t="inlineStr">
        <is>
          <t>DALARNAS LÄN</t>
        </is>
      </c>
      <c r="G188" t="inlineStr">
        <is>
          <t>VANSBRO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46326</v>
      </c>
      <c r="F189" t="inlineStr">
        <is>
          <t>DALARNAS LÄN</t>
        </is>
      </c>
      <c r="G189" t="inlineStr">
        <is>
          <t>VANSBRO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46326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46326</v>
      </c>
      <c r="F191" t="inlineStr">
        <is>
          <t>DALARNAS LÄN</t>
        </is>
      </c>
      <c r="G191" t="inlineStr">
        <is>
          <t>VANSBRO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46326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46326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46326</v>
      </c>
      <c r="F194" t="inlineStr">
        <is>
          <t>DALARNAS LÄN</t>
        </is>
      </c>
      <c r="G194" t="inlineStr">
        <is>
          <t>VANSBRO</t>
        </is>
      </c>
      <c r="I194" t="n">
        <v>15.1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46326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46326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45956</v>
      </c>
      <c r="E197" s="1" t="n">
        <v>46326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45666</v>
      </c>
      <c r="E198" s="1" t="n">
        <v>46326</v>
      </c>
      <c r="F198" t="inlineStr">
        <is>
          <t>DALARNAS LÄN</t>
        </is>
      </c>
      <c r="G198" t="inlineStr">
        <is>
          <t>VANSBRO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46326</v>
      </c>
      <c r="F199" t="inlineStr">
        <is>
          <t>DALARNAS LÄN</t>
        </is>
      </c>
      <c r="G199" t="inlineStr">
        <is>
          <t>VANSBRO</t>
        </is>
      </c>
      <c r="I199" t="n">
        <v>19.1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46326</v>
      </c>
      <c r="F200" t="inlineStr">
        <is>
          <t>DALARNAS LÄN</t>
        </is>
      </c>
      <c r="G200" t="inlineStr">
        <is>
          <t>VANSBRO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46326</v>
      </c>
      <c r="F201" t="inlineStr">
        <is>
          <t>DALARNAS LÄN</t>
        </is>
      </c>
      <c r="G201" t="inlineStr">
        <is>
          <t>VANSBRO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46326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46326</v>
      </c>
      <c r="F203" t="inlineStr">
        <is>
          <t>DALARNAS LÄN</t>
        </is>
      </c>
      <c r="G203" t="inlineStr">
        <is>
          <t>VANSBRO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45673</v>
      </c>
      <c r="E204" s="1" t="n">
        <v>46326</v>
      </c>
      <c r="F204" t="inlineStr">
        <is>
          <t>DALARNAS LÄN</t>
        </is>
      </c>
      <c r="G204" t="inlineStr">
        <is>
          <t>VANSBRO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46326</v>
      </c>
      <c r="F205" t="inlineStr">
        <is>
          <t>DALARNAS LÄN</t>
        </is>
      </c>
      <c r="G205" t="inlineStr">
        <is>
          <t>VANSBRO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46326</v>
      </c>
      <c r="F206" t="inlineStr">
        <is>
          <t>DALARNAS LÄN</t>
        </is>
      </c>
      <c r="G206" t="inlineStr">
        <is>
          <t>VANSBRO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46326</v>
      </c>
      <c r="F207" t="inlineStr">
        <is>
          <t>DALARNAS LÄN</t>
        </is>
      </c>
      <c r="G207" t="inlineStr">
        <is>
          <t>VANSBRO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45214</v>
      </c>
      <c r="E208" s="1" t="n">
        <v>46326</v>
      </c>
      <c r="F208" t="inlineStr">
        <is>
          <t>DALARNAS LÄN</t>
        </is>
      </c>
      <c r="G208" t="inlineStr">
        <is>
          <t>VANSBRO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46326</v>
      </c>
      <c r="F209" t="inlineStr">
        <is>
          <t>DALARNAS LÄN</t>
        </is>
      </c>
      <c r="G209" t="inlineStr">
        <is>
          <t>VANSBRO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45964</v>
      </c>
      <c r="E210" s="1" t="n">
        <v>46326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46326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46326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46326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46326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44881</v>
      </c>
      <c r="E215" s="1" t="n">
        <v>46326</v>
      </c>
      <c r="F215" t="inlineStr">
        <is>
          <t>DALARNAS LÄN</t>
        </is>
      </c>
      <c r="G215" t="inlineStr">
        <is>
          <t>VANSBRO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46326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45.8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46326</v>
      </c>
      <c r="F217" t="inlineStr">
        <is>
          <t>DALARNAS LÄN</t>
        </is>
      </c>
      <c r="G217" t="inlineStr">
        <is>
          <t>VANSBRO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45533</v>
      </c>
      <c r="E218" s="1" t="n">
        <v>46326</v>
      </c>
      <c r="F218" t="inlineStr">
        <is>
          <t>DALARNAS LÄN</t>
        </is>
      </c>
      <c r="G218" t="inlineStr">
        <is>
          <t>VANSBRO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46326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46326</v>
      </c>
      <c r="F220" t="inlineStr">
        <is>
          <t>DALARNAS LÄN</t>
        </is>
      </c>
      <c r="G220" t="inlineStr">
        <is>
          <t>VANSBRO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46326</v>
      </c>
      <c r="F221" t="inlineStr">
        <is>
          <t>DALARNAS LÄN</t>
        </is>
      </c>
      <c r="G221" t="inlineStr">
        <is>
          <t>VANSBRO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45665</v>
      </c>
      <c r="E222" s="1" t="n">
        <v>46326</v>
      </c>
      <c r="F222" t="inlineStr">
        <is>
          <t>DALARNAS LÄN</t>
        </is>
      </c>
      <c r="G222" t="inlineStr">
        <is>
          <t>VANSBRO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11349-2026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46082</v>
      </c>
      <c r="E223" s="1" t="n">
        <v>46326</v>
      </c>
      <c r="F223" t="inlineStr">
        <is>
          <t>DALARNAS LÄN</t>
        </is>
      </c>
      <c r="G223" t="inlineStr">
        <is>
          <t>VANSBRO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46082</v>
      </c>
      <c r="E224" s="1" t="n">
        <v>46326</v>
      </c>
      <c r="F224" t="inlineStr">
        <is>
          <t>DALARNAS LÄN</t>
        </is>
      </c>
      <c r="G224" t="inlineStr">
        <is>
          <t>VANSBRO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44980</v>
      </c>
      <c r="E225" s="1" t="n">
        <v>46326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46326</v>
      </c>
      <c r="F226" t="inlineStr">
        <is>
          <t>DALARNAS LÄN</t>
        </is>
      </c>
      <c r="G226" t="inlineStr">
        <is>
          <t>VANSBRO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45987</v>
      </c>
      <c r="E227" s="1" t="n">
        <v>46326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46326</v>
      </c>
      <c r="F228" t="inlineStr">
        <is>
          <t>DALARNAS LÄN</t>
        </is>
      </c>
      <c r="G228" t="inlineStr">
        <is>
          <t>VANSBRO</t>
        </is>
      </c>
      <c r="H228" t="inlineStr">
        <is>
          <t>Övriga statliga verk och myndigheter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44970</v>
      </c>
      <c r="E229" s="1" t="n">
        <v>46326</v>
      </c>
      <c r="F229" t="inlineStr">
        <is>
          <t>DALARNAS LÄN</t>
        </is>
      </c>
      <c r="G229" t="inlineStr">
        <is>
          <t>VANSBRO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46326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46326</v>
      </c>
      <c r="F231" t="inlineStr">
        <is>
          <t>DALARNAS LÄN</t>
        </is>
      </c>
      <c r="G231" t="inlineStr">
        <is>
          <t>VANSBRO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46326</v>
      </c>
      <c r="F232" t="inlineStr">
        <is>
          <t>DALARNAS LÄN</t>
        </is>
      </c>
      <c r="G232" t="inlineStr">
        <is>
          <t>VANSBRO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46326</v>
      </c>
      <c r="F233" t="inlineStr">
        <is>
          <t>DALARNAS LÄN</t>
        </is>
      </c>
      <c r="G233" t="inlineStr">
        <is>
          <t>VANSBRO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8694-2023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44972</v>
      </c>
      <c r="E234" s="1" t="n">
        <v>46326</v>
      </c>
      <c r="F234" t="inlineStr">
        <is>
          <t>DALARNAS LÄN</t>
        </is>
      </c>
      <c r="G234" t="inlineStr">
        <is>
          <t>VANSBRO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13392-2026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46326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46326</v>
      </c>
      <c r="F236" t="inlineStr">
        <is>
          <t>DALARNAS LÄN</t>
        </is>
      </c>
      <c r="G236" t="inlineStr">
        <is>
          <t>VANSBRO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46326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46326</v>
      </c>
      <c r="F238" t="inlineStr">
        <is>
          <t>DALARNAS LÄN</t>
        </is>
      </c>
      <c r="G238" t="inlineStr">
        <is>
          <t>VANSBRO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46326</v>
      </c>
      <c r="F239" t="inlineStr">
        <is>
          <t>DALARNAS LÄN</t>
        </is>
      </c>
      <c r="G239" t="inlineStr">
        <is>
          <t>VANSBRO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46326</v>
      </c>
      <c r="F240" t="inlineStr">
        <is>
          <t>DALARNAS LÄN</t>
        </is>
      </c>
      <c r="G240" t="inlineStr">
        <is>
          <t>VANSBRO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45601</v>
      </c>
      <c r="E241" s="1" t="n">
        <v>46326</v>
      </c>
      <c r="F241" t="inlineStr">
        <is>
          <t>DALARNAS LÄN</t>
        </is>
      </c>
      <c r="G241" t="inlineStr">
        <is>
          <t>VANSBRO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46326</v>
      </c>
      <c r="F242" t="inlineStr">
        <is>
          <t>DALARNAS LÄN</t>
        </is>
      </c>
      <c r="G242" t="inlineStr">
        <is>
          <t>VANSBRO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46326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8447-2022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44612</v>
      </c>
      <c r="E244" s="1" t="n">
        <v>46326</v>
      </c>
      <c r="F244" t="inlineStr">
        <is>
          <t>DALARNAS LÄN</t>
        </is>
      </c>
      <c r="G244" t="inlineStr">
        <is>
          <t>VANSBRO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46326</v>
      </c>
      <c r="F245" t="inlineStr">
        <is>
          <t>DALARNAS LÄN</t>
        </is>
      </c>
      <c r="G245" t="inlineStr">
        <is>
          <t>VANSBRO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46326</v>
      </c>
      <c r="F246" t="inlineStr">
        <is>
          <t>DALARNAS LÄN</t>
        </is>
      </c>
      <c r="G246" t="inlineStr">
        <is>
          <t>VANSBRO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46326</v>
      </c>
      <c r="F247" t="inlineStr">
        <is>
          <t>DALARNAS LÄN</t>
        </is>
      </c>
      <c r="G247" t="inlineStr">
        <is>
          <t>VANSBRO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46326</v>
      </c>
      <c r="F248" t="inlineStr">
        <is>
          <t>DALARNAS LÄN</t>
        </is>
      </c>
      <c r="G248" t="inlineStr">
        <is>
          <t>VANSBRO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45309</v>
      </c>
      <c r="E249" s="1" t="n">
        <v>46326</v>
      </c>
      <c r="F249" t="inlineStr">
        <is>
          <t>DALARNAS LÄN</t>
        </is>
      </c>
      <c r="G249" t="inlineStr">
        <is>
          <t>VANSBRO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46326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46326</v>
      </c>
      <c r="F251" t="inlineStr">
        <is>
          <t>DALARNAS LÄN</t>
        </is>
      </c>
      <c r="G251" t="inlineStr">
        <is>
          <t>VANSBRO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46326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46326</v>
      </c>
      <c r="F253" t="inlineStr">
        <is>
          <t>DALARNAS LÄN</t>
        </is>
      </c>
      <c r="G253" t="inlineStr">
        <is>
          <t>VANSBRO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46326</v>
      </c>
      <c r="F254" t="inlineStr">
        <is>
          <t>DALARNAS LÄN</t>
        </is>
      </c>
      <c r="G254" t="inlineStr">
        <is>
          <t>VANSBRO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45471</v>
      </c>
      <c r="E255" s="1" t="n">
        <v>46326</v>
      </c>
      <c r="F255" t="inlineStr">
        <is>
          <t>DALARNAS LÄN</t>
        </is>
      </c>
      <c r="G255" t="inlineStr">
        <is>
          <t>VANSBRO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63816-2021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46326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46326</v>
      </c>
      <c r="F257" t="inlineStr">
        <is>
          <t>DALARNAS LÄN</t>
        </is>
      </c>
      <c r="G257" t="inlineStr">
        <is>
          <t>VANSBRO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46119</v>
      </c>
      <c r="E258" s="1" t="n">
        <v>46326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45712</v>
      </c>
      <c r="E259" s="1" t="n">
        <v>46326</v>
      </c>
      <c r="F259" t="inlineStr">
        <is>
          <t>DALARNAS LÄN</t>
        </is>
      </c>
      <c r="G259" t="inlineStr">
        <is>
          <t>VANSBRO</t>
        </is>
      </c>
      <c r="I259" t="n">
        <v>13.8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46326</v>
      </c>
      <c r="F260" t="inlineStr">
        <is>
          <t>DALARNAS LÄN</t>
        </is>
      </c>
      <c r="G260" t="inlineStr">
        <is>
          <t>VANSBRO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46326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46120</v>
      </c>
      <c r="E262" s="1" t="n">
        <v>46326</v>
      </c>
      <c r="F262" t="inlineStr">
        <is>
          <t>DALARNAS LÄN</t>
        </is>
      </c>
      <c r="G262" t="inlineStr">
        <is>
          <t>VANSBRO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46326</v>
      </c>
      <c r="F263" t="inlineStr">
        <is>
          <t>DALARNAS LÄN</t>
        </is>
      </c>
      <c r="G263" t="inlineStr">
        <is>
          <t>VANSBRO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46326</v>
      </c>
      <c r="F264" t="inlineStr">
        <is>
          <t>DALARNAS LÄN</t>
        </is>
      </c>
      <c r="G264" t="inlineStr">
        <is>
          <t>VANSBRO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44966</v>
      </c>
      <c r="E265" s="1" t="n">
        <v>46326</v>
      </c>
      <c r="F265" t="inlineStr">
        <is>
          <t>DALARNAS LÄN</t>
        </is>
      </c>
      <c r="G265" t="inlineStr">
        <is>
          <t>VANSBRO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46326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46326</v>
      </c>
      <c r="F267" t="inlineStr">
        <is>
          <t>DALARNAS LÄN</t>
        </is>
      </c>
      <c r="G267" t="inlineStr">
        <is>
          <t>VANSBRO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46124</v>
      </c>
      <c r="E268" s="1" t="n">
        <v>46326</v>
      </c>
      <c r="F268" t="inlineStr">
        <is>
          <t>DALARNAS LÄN</t>
        </is>
      </c>
      <c r="G268" t="inlineStr">
        <is>
          <t>VANSBRO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46326</v>
      </c>
      <c r="F269" t="inlineStr">
        <is>
          <t>DALARNAS LÄN</t>
        </is>
      </c>
      <c r="G269" t="inlineStr">
        <is>
          <t>VANSBRO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45481</v>
      </c>
      <c r="E270" s="1" t="n">
        <v>46326</v>
      </c>
      <c r="F270" t="inlineStr">
        <is>
          <t>DALARNAS LÄN</t>
        </is>
      </c>
      <c r="G270" t="inlineStr">
        <is>
          <t>VANSBRO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46326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öst AB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18709-2026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46326</v>
      </c>
      <c r="F272" t="inlineStr">
        <is>
          <t>DALARNAS LÄN</t>
        </is>
      </c>
      <c r="G272" t="inlineStr">
        <is>
          <t>VANSBRO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46326</v>
      </c>
      <c r="F273" t="inlineStr">
        <is>
          <t>DALARNAS LÄN</t>
        </is>
      </c>
      <c r="G273" t="inlineStr">
        <is>
          <t>VANSBRO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46326</v>
      </c>
      <c r="F274" t="inlineStr">
        <is>
          <t>DALARNAS LÄN</t>
        </is>
      </c>
      <c r="G274" t="inlineStr">
        <is>
          <t>VANSBRO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18588-2026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46326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46326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46326</v>
      </c>
      <c r="F277" t="inlineStr">
        <is>
          <t>DALARNAS LÄN</t>
        </is>
      </c>
      <c r="G277" t="inlineStr">
        <is>
          <t>VANSBRO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45457</v>
      </c>
      <c r="E278" s="1" t="n">
        <v>46326</v>
      </c>
      <c r="F278" t="inlineStr">
        <is>
          <t>DALARNAS LÄN</t>
        </is>
      </c>
      <c r="G278" t="inlineStr">
        <is>
          <t>VANSBRO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13062-2023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45002</v>
      </c>
      <c r="E279" s="1" t="n">
        <v>46326</v>
      </c>
      <c r="F279" t="inlineStr">
        <is>
          <t>DALARNAS LÄN</t>
        </is>
      </c>
      <c r="G279" t="inlineStr">
        <is>
          <t>VANSBRO</t>
        </is>
      </c>
      <c r="H279" t="inlineStr">
        <is>
          <t>Övriga statliga verk och myndigheter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46326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46326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46326</v>
      </c>
      <c r="F282" t="inlineStr">
        <is>
          <t>DALARNAS LÄN</t>
        </is>
      </c>
      <c r="G282" t="inlineStr">
        <is>
          <t>VANSBRO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46139</v>
      </c>
      <c r="E283" s="1" t="n">
        <v>46326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46326</v>
      </c>
      <c r="F284" t="inlineStr">
        <is>
          <t>DALARNAS LÄN</t>
        </is>
      </c>
      <c r="G284" t="inlineStr">
        <is>
          <t>VANSBRO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46326</v>
      </c>
      <c r="F285" t="inlineStr">
        <is>
          <t>DALARNAS LÄN</t>
        </is>
      </c>
      <c r="G285" t="inlineStr">
        <is>
          <t>VANSBRO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45106</v>
      </c>
      <c r="E286" s="1" t="n">
        <v>46326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46326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46326</v>
      </c>
      <c r="F288" t="inlineStr">
        <is>
          <t>DALARNAS LÄN</t>
        </is>
      </c>
      <c r="G288" t="inlineStr">
        <is>
          <t>VANSBRO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46326</v>
      </c>
      <c r="F289" t="inlineStr">
        <is>
          <t>DALARNAS LÄN</t>
        </is>
      </c>
      <c r="G289" t="inlineStr">
        <is>
          <t>VANSBRO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62398-2021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46326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46326</v>
      </c>
      <c r="F291" t="inlineStr">
        <is>
          <t>DALARNAS LÄN</t>
        </is>
      </c>
      <c r="G291" t="inlineStr">
        <is>
          <t>VANSBRO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45776</v>
      </c>
      <c r="E292" s="1" t="n">
        <v>46326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48111-2024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45589</v>
      </c>
      <c r="E293" s="1" t="n">
        <v>46326</v>
      </c>
      <c r="F293" t="inlineStr">
        <is>
          <t>DALARNAS LÄN</t>
        </is>
      </c>
      <c r="G293" t="inlineStr">
        <is>
          <t>VANSBRO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45806</v>
      </c>
      <c r="E294" s="1" t="n">
        <v>46326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44960</v>
      </c>
      <c r="E295" s="1" t="n">
        <v>46326</v>
      </c>
      <c r="F295" t="inlineStr">
        <is>
          <t>DALARNAS LÄN</t>
        </is>
      </c>
      <c r="G295" t="inlineStr">
        <is>
          <t>VANSBRO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46326</v>
      </c>
      <c r="F296" t="inlineStr">
        <is>
          <t>DALARNAS LÄN</t>
        </is>
      </c>
      <c r="G296" t="inlineStr">
        <is>
          <t>VANSBRO</t>
        </is>
      </c>
      <c r="I296" t="n">
        <v>13.9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46326</v>
      </c>
      <c r="F297" t="inlineStr">
        <is>
          <t>DALARNAS LÄN</t>
        </is>
      </c>
      <c r="G297" t="inlineStr">
        <is>
          <t>VANSBRO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46326</v>
      </c>
      <c r="F298" t="inlineStr">
        <is>
          <t>DALARNAS LÄN</t>
        </is>
      </c>
      <c r="G298" t="inlineStr">
        <is>
          <t>VANSBRO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45085</v>
      </c>
      <c r="E299" s="1" t="n">
        <v>46326</v>
      </c>
      <c r="F299" t="inlineStr">
        <is>
          <t>DALARNAS LÄN</t>
        </is>
      </c>
      <c r="G299" t="inlineStr">
        <is>
          <t>VANSBRO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46326</v>
      </c>
      <c r="F300" t="inlineStr">
        <is>
          <t>DALARNAS LÄN</t>
        </is>
      </c>
      <c r="G300" t="inlineStr">
        <is>
          <t>VANSBRO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46326</v>
      </c>
      <c r="F301" t="inlineStr">
        <is>
          <t>DALARNAS LÄN</t>
        </is>
      </c>
      <c r="G301" t="inlineStr">
        <is>
          <t>VANSBRO</t>
        </is>
      </c>
      <c r="I301" t="n">
        <v>15.8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46326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46021</v>
      </c>
      <c r="E303" s="1" t="n">
        <v>46326</v>
      </c>
      <c r="F303" t="inlineStr">
        <is>
          <t>DALARNAS LÄN</t>
        </is>
      </c>
      <c r="G303" t="inlineStr">
        <is>
          <t>VANSBRO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46079</v>
      </c>
      <c r="E304" s="1" t="n">
        <v>46326</v>
      </c>
      <c r="F304" t="inlineStr">
        <is>
          <t>DALARNAS LÄN</t>
        </is>
      </c>
      <c r="G304" t="inlineStr">
        <is>
          <t>VANSBRO</t>
        </is>
      </c>
      <c r="H304" t="inlineStr">
        <is>
          <t>Övriga statliga verk och myndigheter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72635-2021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44546</v>
      </c>
      <c r="E305" s="1" t="n">
        <v>46326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46326</v>
      </c>
      <c r="F306" t="inlineStr">
        <is>
          <t>DALARNAS LÄN</t>
        </is>
      </c>
      <c r="G306" t="inlineStr">
        <is>
          <t>VANSBRO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46326</v>
      </c>
      <c r="F307" t="inlineStr">
        <is>
          <t>DALARNAS LÄN</t>
        </is>
      </c>
      <c r="G307" t="inlineStr">
        <is>
          <t>VANSBRO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46326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46326</v>
      </c>
      <c r="F309" t="inlineStr">
        <is>
          <t>DALARNAS LÄN</t>
        </is>
      </c>
      <c r="G309" t="inlineStr">
        <is>
          <t>VANSBRO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45350</v>
      </c>
      <c r="E310" s="1" t="n">
        <v>46326</v>
      </c>
      <c r="F310" t="inlineStr">
        <is>
          <t>DALARNAS LÄN</t>
        </is>
      </c>
      <c r="G310" t="inlineStr">
        <is>
          <t>VANSBRO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46326</v>
      </c>
      <c r="F311" t="inlineStr">
        <is>
          <t>DALARNAS LÄN</t>
        </is>
      </c>
      <c r="G311" t="inlineStr">
        <is>
          <t>VANSBRO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46326</v>
      </c>
      <c r="F312" t="inlineStr">
        <is>
          <t>DALARNAS LÄN</t>
        </is>
      </c>
      <c r="G312" t="inlineStr">
        <is>
          <t>VANSBRO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46326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44739</v>
      </c>
      <c r="E314" s="1" t="n">
        <v>46326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46326</v>
      </c>
      <c r="F315" t="inlineStr">
        <is>
          <t>DALARNAS LÄN</t>
        </is>
      </c>
      <c r="G315" t="inlineStr">
        <is>
          <t>VANSBRO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46326</v>
      </c>
      <c r="F316" t="inlineStr">
        <is>
          <t>DALARNAS LÄN</t>
        </is>
      </c>
      <c r="G316" t="inlineStr">
        <is>
          <t>VANSBRO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46326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51396-2022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44869</v>
      </c>
      <c r="E318" s="1" t="n">
        <v>46326</v>
      </c>
      <c r="F318" t="inlineStr">
        <is>
          <t>DALARNAS LÄN</t>
        </is>
      </c>
      <c r="G318" t="inlineStr">
        <is>
          <t>VANSBRO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46326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45749</v>
      </c>
      <c r="E320" s="1" t="n">
        <v>46326</v>
      </c>
      <c r="F320" t="inlineStr">
        <is>
          <t>DALARNAS LÄN</t>
        </is>
      </c>
      <c r="G320" t="inlineStr">
        <is>
          <t>VANSBRO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36855-2022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46326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45299</v>
      </c>
      <c r="E322" s="1" t="n">
        <v>46326</v>
      </c>
      <c r="F322" t="inlineStr">
        <is>
          <t>DALARNAS LÄN</t>
        </is>
      </c>
      <c r="G322" t="inlineStr">
        <is>
          <t>VANSBRO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46326</v>
      </c>
      <c r="F323" t="inlineStr">
        <is>
          <t>DALARNAS LÄN</t>
        </is>
      </c>
      <c r="G323" t="inlineStr">
        <is>
          <t>VANSBRO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45689</v>
      </c>
      <c r="E324" s="1" t="n">
        <v>46326</v>
      </c>
      <c r="F324" t="inlineStr">
        <is>
          <t>DALARNAS LÄN</t>
        </is>
      </c>
      <c r="G324" t="inlineStr">
        <is>
          <t>VANSBRO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57904-2024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45631</v>
      </c>
      <c r="E325" s="1" t="n">
        <v>46326</v>
      </c>
      <c r="F325" t="inlineStr">
        <is>
          <t>DALARNAS LÄN</t>
        </is>
      </c>
      <c r="G325" t="inlineStr">
        <is>
          <t>VANSBRO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56988-2023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45244</v>
      </c>
      <c r="E326" s="1" t="n">
        <v>46326</v>
      </c>
      <c r="F326" t="inlineStr">
        <is>
          <t>DALARNAS LÄN</t>
        </is>
      </c>
      <c r="G326" t="inlineStr">
        <is>
          <t>VANSBRO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46326</v>
      </c>
      <c r="F327" t="inlineStr">
        <is>
          <t>DALARNAS LÄN</t>
        </is>
      </c>
      <c r="G327" t="inlineStr">
        <is>
          <t>VANSBRO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45331</v>
      </c>
      <c r="E328" s="1" t="n">
        <v>46326</v>
      </c>
      <c r="F328" t="inlineStr">
        <is>
          <t>DALARNAS LÄN</t>
        </is>
      </c>
      <c r="G328" t="inlineStr">
        <is>
          <t>VANSBRO</t>
        </is>
      </c>
      <c r="I328" t="n">
        <v>11.4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46164</v>
      </c>
      <c r="E329" s="1" t="n">
        <v>46326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46164</v>
      </c>
      <c r="E330" s="1" t="n">
        <v>46326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46326</v>
      </c>
      <c r="F331" t="inlineStr">
        <is>
          <t>DALARNAS LÄN</t>
        </is>
      </c>
      <c r="G331" t="inlineStr">
        <is>
          <t>VANSBRO</t>
        </is>
      </c>
      <c r="H331" t="inlineStr">
        <is>
          <t>Övriga statliga verk och myndigheter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45169</v>
      </c>
      <c r="E332" s="1" t="n">
        <v>46326</v>
      </c>
      <c r="F332" t="inlineStr">
        <is>
          <t>DALARNAS LÄN</t>
        </is>
      </c>
      <c r="G332" t="inlineStr">
        <is>
          <t>VANSBRO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20931-2022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44701</v>
      </c>
      <c r="E333" s="1" t="n">
        <v>46326</v>
      </c>
      <c r="F333" t="inlineStr">
        <is>
          <t>DALARNAS LÄN</t>
        </is>
      </c>
      <c r="G333" t="inlineStr">
        <is>
          <t>VANSBRO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45296</v>
      </c>
      <c r="E334" s="1" t="n">
        <v>46326</v>
      </c>
      <c r="F334" t="inlineStr">
        <is>
          <t>DALARNAS LÄN</t>
        </is>
      </c>
      <c r="G334" t="inlineStr">
        <is>
          <t>VANSBRO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46326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45775</v>
      </c>
      <c r="E336" s="1" t="n">
        <v>46326</v>
      </c>
      <c r="F336" t="inlineStr">
        <is>
          <t>DALARNAS LÄN</t>
        </is>
      </c>
      <c r="G336" t="inlineStr">
        <is>
          <t>VANSBRO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14057-2023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45008</v>
      </c>
      <c r="E337" s="1" t="n">
        <v>46326</v>
      </c>
      <c r="F337" t="inlineStr">
        <is>
          <t>DALARNAS LÄN</t>
        </is>
      </c>
      <c r="G337" t="inlineStr">
        <is>
          <t>VANSBRO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46326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45448</v>
      </c>
      <c r="E339" s="1" t="n">
        <v>46326</v>
      </c>
      <c r="F339" t="inlineStr">
        <is>
          <t>DALARNAS LÄN</t>
        </is>
      </c>
      <c r="G339" t="inlineStr">
        <is>
          <t>VANSBRO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46326</v>
      </c>
      <c r="F340" t="inlineStr">
        <is>
          <t>DALARNAS LÄN</t>
        </is>
      </c>
      <c r="G340" t="inlineStr">
        <is>
          <t>VANSBRO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46326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45471</v>
      </c>
      <c r="E342" s="1" t="n">
        <v>46326</v>
      </c>
      <c r="F342" t="inlineStr">
        <is>
          <t>DALARNAS LÄN</t>
        </is>
      </c>
      <c r="G342" t="inlineStr">
        <is>
          <t>VANSBRO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46326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46326</v>
      </c>
      <c r="F344" t="inlineStr">
        <is>
          <t>DALARNAS LÄN</t>
        </is>
      </c>
      <c r="G344" t="inlineStr">
        <is>
          <t>VANSBRO</t>
        </is>
      </c>
      <c r="H344" t="inlineStr">
        <is>
          <t>Övriga statliga verk och myndigheter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46326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46326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11485-2024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45372</v>
      </c>
      <c r="E347" s="1" t="n">
        <v>46326</v>
      </c>
      <c r="F347" t="inlineStr">
        <is>
          <t>DALARNAS LÄN</t>
        </is>
      </c>
      <c r="G347" t="inlineStr">
        <is>
          <t>VANSBRO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27344-2026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46326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46326</v>
      </c>
      <c r="F349" t="inlineStr">
        <is>
          <t>DALARNAS LÄN</t>
        </is>
      </c>
      <c r="G349" t="inlineStr">
        <is>
          <t>VANSBRO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46326</v>
      </c>
      <c r="F350" t="inlineStr">
        <is>
          <t>DALARNAS LÄN</t>
        </is>
      </c>
      <c r="G350" t="inlineStr">
        <is>
          <t>VANSBRO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46326</v>
      </c>
      <c r="F351" t="inlineStr">
        <is>
          <t>DALARNAS LÄN</t>
        </is>
      </c>
      <c r="G351" t="inlineStr">
        <is>
          <t>VANSBRO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46326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50741-2022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44867</v>
      </c>
      <c r="E353" s="1" t="n">
        <v>46326</v>
      </c>
      <c r="F353" t="inlineStr">
        <is>
          <t>DALARNAS LÄN</t>
        </is>
      </c>
      <c r="G353" t="inlineStr">
        <is>
          <t>VANSBRO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46326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46326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44837</v>
      </c>
      <c r="E356" s="1" t="n">
        <v>46326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46326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46326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45754</v>
      </c>
      <c r="E359" s="1" t="n">
        <v>46326</v>
      </c>
      <c r="F359" t="inlineStr">
        <is>
          <t>DALARNAS LÄN</t>
        </is>
      </c>
      <c r="G359" t="inlineStr">
        <is>
          <t>VANSBRO</t>
        </is>
      </c>
      <c r="I359" t="n">
        <v>9.9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44673</v>
      </c>
      <c r="E360" s="1" t="n">
        <v>46326</v>
      </c>
      <c r="F360" t="inlineStr">
        <is>
          <t>DALARNAS LÄN</t>
        </is>
      </c>
      <c r="G360" t="inlineStr">
        <is>
          <t>VANSBRO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46326</v>
      </c>
      <c r="F361" t="inlineStr">
        <is>
          <t>DALARNAS LÄN</t>
        </is>
      </c>
      <c r="G361" t="inlineStr">
        <is>
          <t>VANSBRO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46326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33520-2024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45519</v>
      </c>
      <c r="E363" s="1" t="n">
        <v>46326</v>
      </c>
      <c r="F363" t="inlineStr">
        <is>
          <t>DALARNAS LÄN</t>
        </is>
      </c>
      <c r="G363" t="inlineStr">
        <is>
          <t>VANSBRO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46197</v>
      </c>
      <c r="E364" s="1" t="n">
        <v>46326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46326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46326</v>
      </c>
      <c r="F366" t="inlineStr">
        <is>
          <t>DALARNAS LÄN</t>
        </is>
      </c>
      <c r="G366" t="inlineStr">
        <is>
          <t>VANSBRO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44855</v>
      </c>
      <c r="E367" s="1" t="n">
        <v>46326</v>
      </c>
      <c r="F367" t="inlineStr">
        <is>
          <t>DALARNAS LÄN</t>
        </is>
      </c>
      <c r="G367" t="inlineStr">
        <is>
          <t>VANSBRO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46326</v>
      </c>
      <c r="F368" t="inlineStr">
        <is>
          <t>DALARNAS LÄN</t>
        </is>
      </c>
      <c r="G368" t="inlineStr">
        <is>
          <t>VANSBRO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60031-2022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44909</v>
      </c>
      <c r="E369" s="1" t="n">
        <v>46326</v>
      </c>
      <c r="F369" t="inlineStr">
        <is>
          <t>DALARNAS LÄN</t>
        </is>
      </c>
      <c r="G369" t="inlineStr">
        <is>
          <t>VANSBRO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29174-2026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46202</v>
      </c>
      <c r="E370" s="1" t="n">
        <v>46326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46326</v>
      </c>
      <c r="F371" t="inlineStr">
        <is>
          <t>DALARNAS LÄN</t>
        </is>
      </c>
      <c r="G371" t="inlineStr">
        <is>
          <t>VANSBRO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46326</v>
      </c>
      <c r="F372" t="inlineStr">
        <is>
          <t>DALARNAS LÄN</t>
        </is>
      </c>
      <c r="G372" t="inlineStr">
        <is>
          <t>VANSBRO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5420-2024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45331</v>
      </c>
      <c r="E373" s="1" t="n">
        <v>46326</v>
      </c>
      <c r="F373" t="inlineStr">
        <is>
          <t>DALARNAS LÄN</t>
        </is>
      </c>
      <c r="G373" t="inlineStr">
        <is>
          <t>VANSBRO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46326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46326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46326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46326</v>
      </c>
      <c r="F377" t="inlineStr">
        <is>
          <t>DALARNAS LÄN</t>
        </is>
      </c>
      <c r="G377" t="inlineStr">
        <is>
          <t>VANSBRO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45254</v>
      </c>
      <c r="E378" s="1" t="n">
        <v>46326</v>
      </c>
      <c r="F378" t="inlineStr">
        <is>
          <t>DALARNAS LÄN</t>
        </is>
      </c>
      <c r="G378" t="inlineStr">
        <is>
          <t>VANSBRO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11274-2024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45371</v>
      </c>
      <c r="E379" s="1" t="n">
        <v>46326</v>
      </c>
      <c r="F379" t="inlineStr">
        <is>
          <t>DALARNAS LÄN</t>
        </is>
      </c>
      <c r="G379" t="inlineStr">
        <is>
          <t>VANSBRO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46326</v>
      </c>
      <c r="F380" t="inlineStr">
        <is>
          <t>DALARNAS LÄN</t>
        </is>
      </c>
      <c r="G380" t="inlineStr">
        <is>
          <t>VANSBRO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45244</v>
      </c>
      <c r="E381" s="1" t="n">
        <v>46326</v>
      </c>
      <c r="F381" t="inlineStr">
        <is>
          <t>DALARNAS LÄN</t>
        </is>
      </c>
      <c r="G381" t="inlineStr">
        <is>
          <t>VANSBRO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46326</v>
      </c>
      <c r="F382" t="inlineStr">
        <is>
          <t>DALARNAS LÄN</t>
        </is>
      </c>
      <c r="G382" t="inlineStr">
        <is>
          <t>VANSBRO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46326</v>
      </c>
      <c r="F383" t="inlineStr">
        <is>
          <t>DALARNAS LÄN</t>
        </is>
      </c>
      <c r="G383" t="inlineStr">
        <is>
          <t>VANSBRO</t>
        </is>
      </c>
      <c r="H383" t="inlineStr">
        <is>
          <t>Övriga statliga verk och myndigheter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46326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46326</v>
      </c>
      <c r="F385" t="inlineStr">
        <is>
          <t>DALARNAS LÄN</t>
        </is>
      </c>
      <c r="G385" t="inlineStr">
        <is>
          <t>VANSBRO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46326</v>
      </c>
      <c r="F386" t="inlineStr">
        <is>
          <t>DALARNAS LÄN</t>
        </is>
      </c>
      <c r="G386" t="inlineStr">
        <is>
          <t>VANSBRO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46326</v>
      </c>
      <c r="F387" t="inlineStr">
        <is>
          <t>DALARNAS LÄN</t>
        </is>
      </c>
      <c r="G387" t="inlineStr">
        <is>
          <t>VANSBRO</t>
        </is>
      </c>
      <c r="H387" t="inlineStr">
        <is>
          <t>Kommuner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46326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46326</v>
      </c>
      <c r="F389" t="inlineStr">
        <is>
          <t>DALARNAS LÄN</t>
        </is>
      </c>
      <c r="G389" t="inlineStr">
        <is>
          <t>VANSBRO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45247</v>
      </c>
      <c r="E390" s="1" t="n">
        <v>46326</v>
      </c>
      <c r="F390" t="inlineStr">
        <is>
          <t>DALARNAS LÄN</t>
        </is>
      </c>
      <c r="G390" t="inlineStr">
        <is>
          <t>VANSBRO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44931</v>
      </c>
      <c r="E391" s="1" t="n">
        <v>46326</v>
      </c>
      <c r="F391" t="inlineStr">
        <is>
          <t>DALARNAS LÄN</t>
        </is>
      </c>
      <c r="G391" t="inlineStr">
        <is>
          <t>VANSBRO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46326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46326</v>
      </c>
      <c r="F393" t="inlineStr">
        <is>
          <t>DALARNAS LÄN</t>
        </is>
      </c>
      <c r="G393" t="inlineStr">
        <is>
          <t>VANSBRO</t>
        </is>
      </c>
      <c r="H393" t="inlineStr">
        <is>
          <t>Övriga statliga verk och myndigheter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31867-2026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46231</v>
      </c>
      <c r="E394" s="1" t="n">
        <v>46326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18658-2025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45763</v>
      </c>
      <c r="E395" s="1" t="n">
        <v>46326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46326</v>
      </c>
      <c r="F396" t="inlineStr">
        <is>
          <t>DALARNAS LÄN</t>
        </is>
      </c>
      <c r="G396" t="inlineStr">
        <is>
          <t>VANSBRO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45491</v>
      </c>
      <c r="E397" s="1" t="n">
        <v>46326</v>
      </c>
      <c r="F397" t="inlineStr">
        <is>
          <t>DALARNAS LÄN</t>
        </is>
      </c>
      <c r="G397" t="inlineStr">
        <is>
          <t>VANSBRO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32393-2026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46238</v>
      </c>
      <c r="E398" s="1" t="n">
        <v>46326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29.6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45672</v>
      </c>
      <c r="E399" s="1" t="n">
        <v>46326</v>
      </c>
      <c r="F399" t="inlineStr">
        <is>
          <t>DALARNAS LÄN</t>
        </is>
      </c>
      <c r="G399" t="inlineStr">
        <is>
          <t>VANSBRO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46326</v>
      </c>
      <c r="F400" t="inlineStr">
        <is>
          <t>DALARNAS LÄN</t>
        </is>
      </c>
      <c r="G400" t="inlineStr">
        <is>
          <t>VANSBRO</t>
        </is>
      </c>
      <c r="I400" t="n">
        <v>15.5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45700</v>
      </c>
      <c r="E401" s="1" t="n">
        <v>46326</v>
      </c>
      <c r="F401" t="inlineStr">
        <is>
          <t>DALARNAS LÄN</t>
        </is>
      </c>
      <c r="G401" t="inlineStr">
        <is>
          <t>VANSBRO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46286</v>
      </c>
      <c r="E402" s="1" t="n">
        <v>46326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61515-2022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44916</v>
      </c>
      <c r="E403" s="1" t="n">
        <v>46326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45215</v>
      </c>
      <c r="E404" s="1" t="n">
        <v>46326</v>
      </c>
      <c r="F404" t="inlineStr">
        <is>
          <t>DALARNAS LÄN</t>
        </is>
      </c>
      <c r="G404" t="inlineStr">
        <is>
          <t>VANSBRO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46326</v>
      </c>
      <c r="F405" t="inlineStr">
        <is>
          <t>DALARNAS LÄN</t>
        </is>
      </c>
      <c r="G405" t="inlineStr">
        <is>
          <t>VANSBRO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39352-2026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46288</v>
      </c>
      <c r="E406" s="1" t="n">
        <v>46326</v>
      </c>
      <c r="F406" t="inlineStr">
        <is>
          <t>DALARNAS LÄN</t>
        </is>
      </c>
      <c r="G406" t="inlineStr">
        <is>
          <t>VANSBRO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46289</v>
      </c>
      <c r="E407" s="1" t="n">
        <v>46326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46326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45674</v>
      </c>
      <c r="E409" s="1" t="n">
        <v>46326</v>
      </c>
      <c r="F409" t="inlineStr">
        <is>
          <t>DALARNAS LÄN</t>
        </is>
      </c>
      <c r="G409" t="inlineStr">
        <is>
          <t>VANSBRO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45783</v>
      </c>
      <c r="E410" s="1" t="n">
        <v>46326</v>
      </c>
      <c r="F410" t="inlineStr">
        <is>
          <t>DALARNAS LÄN</t>
        </is>
      </c>
      <c r="G410" t="inlineStr">
        <is>
          <t>VANSBRO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46326</v>
      </c>
      <c r="F411" t="inlineStr">
        <is>
          <t>DALARNAS LÄN</t>
        </is>
      </c>
      <c r="G411" t="inlineStr">
        <is>
          <t>VANSBRO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45492</v>
      </c>
      <c r="E412" s="1" t="n">
        <v>46326</v>
      </c>
      <c r="F412" t="inlineStr">
        <is>
          <t>DALARNAS LÄN</t>
        </is>
      </c>
      <c r="G412" t="inlineStr">
        <is>
          <t>VANSBRO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44719</v>
      </c>
      <c r="E413" s="1" t="n">
        <v>46326</v>
      </c>
      <c r="F413" t="inlineStr">
        <is>
          <t>DALARNAS LÄN</t>
        </is>
      </c>
      <c r="G413" t="inlineStr">
        <is>
          <t>VANSBRO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39871-2026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46290</v>
      </c>
      <c r="E414" s="1" t="n">
        <v>46326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46293</v>
      </c>
      <c r="E415" s="1" t="n">
        <v>46326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33953-2026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46252</v>
      </c>
      <c r="E416" s="1" t="n">
        <v>46326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46252</v>
      </c>
      <c r="E417" s="1" t="n">
        <v>46326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46326</v>
      </c>
      <c r="F418" t="inlineStr">
        <is>
          <t>DALARNAS LÄN</t>
        </is>
      </c>
      <c r="G418" t="inlineStr">
        <is>
          <t>VANSBRO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46294</v>
      </c>
      <c r="E419" s="1" t="n">
        <v>46326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46326</v>
      </c>
      <c r="F420" t="inlineStr">
        <is>
          <t>DALARNAS LÄN</t>
        </is>
      </c>
      <c r="G420" t="inlineStr">
        <is>
          <t>VANSBRO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29411-2024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45483</v>
      </c>
      <c r="E421" s="1" t="n">
        <v>46326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46294</v>
      </c>
      <c r="E422" s="1" t="n">
        <v>46326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46293</v>
      </c>
      <c r="E423" s="1" t="n">
        <v>46326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33949-2026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46326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46294</v>
      </c>
      <c r="E425" s="1" t="n">
        <v>46326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46294</v>
      </c>
      <c r="E426" s="1" t="n">
        <v>46326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35516-2024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46326</v>
      </c>
      <c r="F427" t="inlineStr">
        <is>
          <t>DALARNAS LÄN</t>
        </is>
      </c>
      <c r="G427" t="inlineStr">
        <is>
          <t>VANSBRO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40391-2026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46294</v>
      </c>
      <c r="E428" s="1" t="n">
        <v>46326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46326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46297</v>
      </c>
      <c r="E430" s="1" t="n">
        <v>46326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46326</v>
      </c>
      <c r="F431" t="inlineStr">
        <is>
          <t>DALARNAS LÄN</t>
        </is>
      </c>
      <c r="G431" t="inlineStr">
        <is>
          <t>VANSBRO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46326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34207-2026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46326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12.1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34210-2026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46253</v>
      </c>
      <c r="E434" s="1" t="n">
        <v>46326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46326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46297</v>
      </c>
      <c r="E436" s="1" t="n">
        <v>46326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46326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46326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46326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41183-2026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46300</v>
      </c>
      <c r="E440" s="1" t="n">
        <v>46326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46300</v>
      </c>
      <c r="E441" s="1" t="n">
        <v>46326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46326</v>
      </c>
      <c r="F442" t="inlineStr">
        <is>
          <t>DALARNAS LÄN</t>
        </is>
      </c>
      <c r="G442" t="inlineStr">
        <is>
          <t>VANSBRO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46300</v>
      </c>
      <c r="E443" s="1" t="n">
        <v>46326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19.7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46326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41279-2026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46300</v>
      </c>
      <c r="E445" s="1" t="n">
        <v>46326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41858-2026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46303</v>
      </c>
      <c r="E446" s="1" t="n">
        <v>46326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46259</v>
      </c>
      <c r="E447" s="1" t="n">
        <v>46326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41606-2026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46302</v>
      </c>
      <c r="E448" s="1" t="n">
        <v>46326</v>
      </c>
      <c r="F448" t="inlineStr">
        <is>
          <t>DALARNAS LÄN</t>
        </is>
      </c>
      <c r="G448" t="inlineStr">
        <is>
          <t>VANSBRO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46303</v>
      </c>
      <c r="E449" s="1" t="n">
        <v>46326</v>
      </c>
      <c r="F449" t="inlineStr">
        <is>
          <t>DALARNAS LÄN</t>
        </is>
      </c>
      <c r="G449" t="inlineStr">
        <is>
          <t>VANSBRO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46302</v>
      </c>
      <c r="E450" s="1" t="n">
        <v>46326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46326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46307</v>
      </c>
      <c r="E452" s="1" t="n">
        <v>46326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35579-2026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46262</v>
      </c>
      <c r="E453" s="1" t="n">
        <v>46326</v>
      </c>
      <c r="F453" t="inlineStr">
        <is>
          <t>DALARNAS LÄN</t>
        </is>
      </c>
      <c r="G453" t="inlineStr">
        <is>
          <t>VANSBRO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45890</v>
      </c>
      <c r="E454" s="1" t="n">
        <v>46326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46304</v>
      </c>
      <c r="E455" s="1" t="n">
        <v>46326</v>
      </c>
      <c r="F455" t="inlineStr">
        <is>
          <t>DALARNAS LÄN</t>
        </is>
      </c>
      <c r="G455" t="inlineStr">
        <is>
          <t>VANSBRO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27932-2026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46326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46326</v>
      </c>
      <c r="F457" t="inlineStr">
        <is>
          <t>DALARNAS LÄN</t>
        </is>
      </c>
      <c r="G457" t="inlineStr">
        <is>
          <t>VANSBRO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42482-2026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46308</v>
      </c>
      <c r="E458" s="1" t="n">
        <v>46326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46266</v>
      </c>
      <c r="E459" s="1" t="n">
        <v>46326</v>
      </c>
      <c r="F459" t="inlineStr">
        <is>
          <t>DALARNAS LÄN</t>
        </is>
      </c>
      <c r="G459" t="inlineStr">
        <is>
          <t>VANSBRO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42651-2026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46309</v>
      </c>
      <c r="E460" s="1" t="n">
        <v>46326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46309</v>
      </c>
      <c r="E461" s="1" t="n">
        <v>46326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46326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46308</v>
      </c>
      <c r="E463" s="1" t="n">
        <v>46326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46326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46268</v>
      </c>
      <c r="E465" s="1" t="n">
        <v>46326</v>
      </c>
      <c r="F465" t="inlineStr">
        <is>
          <t>DALARNAS LÄN</t>
        </is>
      </c>
      <c r="G465" t="inlineStr">
        <is>
          <t>VANSBRO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36379-2026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46268</v>
      </c>
      <c r="E466" s="1" t="n">
        <v>46326</v>
      </c>
      <c r="F466" t="inlineStr">
        <is>
          <t>DALARNAS LÄN</t>
        </is>
      </c>
      <c r="G466" t="inlineStr">
        <is>
          <t>VANSBRO</t>
        </is>
      </c>
      <c r="H466" t="inlineStr">
        <is>
          <t>Kyrkan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46326</v>
      </c>
      <c r="F467" t="inlineStr">
        <is>
          <t>DALARNAS LÄN</t>
        </is>
      </c>
      <c r="G467" t="inlineStr">
        <is>
          <t>VANSBRO</t>
        </is>
      </c>
      <c r="H467" t="inlineStr">
        <is>
          <t>Kyrkan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46326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46326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46326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46326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46274</v>
      </c>
      <c r="E472" s="1" t="n">
        <v>46326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46318</v>
      </c>
      <c r="E473" s="1" t="n">
        <v>46326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46275</v>
      </c>
      <c r="E474" s="1" t="n">
        <v>46326</v>
      </c>
      <c r="F474" t="inlineStr">
        <is>
          <t>DALARNAS LÄN</t>
        </is>
      </c>
      <c r="G474" t="inlineStr">
        <is>
          <t>VANSBRO</t>
        </is>
      </c>
      <c r="H474" t="inlineStr">
        <is>
          <t>Kyrkan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46326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46326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44196-2026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46318</v>
      </c>
      <c r="E477" s="1" t="n">
        <v>46326</v>
      </c>
      <c r="F477" t="inlineStr">
        <is>
          <t>DALARNAS LÄN</t>
        </is>
      </c>
      <c r="G477" t="inlineStr">
        <is>
          <t>VANSBRO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44198-2026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46318</v>
      </c>
      <c r="E478" s="1" t="n">
        <v>46326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37467-2026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46275</v>
      </c>
      <c r="E479" s="1" t="n">
        <v>46326</v>
      </c>
      <c r="F479" t="inlineStr">
        <is>
          <t>DALARNAS LÄN</t>
        </is>
      </c>
      <c r="G479" t="inlineStr">
        <is>
          <t>VANSBRO</t>
        </is>
      </c>
      <c r="H479" t="inlineStr">
        <is>
          <t>Kommuner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46276</v>
      </c>
      <c r="E480" s="1" t="n">
        <v>46326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46326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4680-2023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44957</v>
      </c>
      <c r="E482" s="1" t="n">
        <v>46326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46326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46280</v>
      </c>
      <c r="E484" s="1" t="n">
        <v>46326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46321</v>
      </c>
      <c r="E485" s="1" t="n">
        <v>46326</v>
      </c>
      <c r="F485" t="inlineStr">
        <is>
          <t>DALARNAS LÄN</t>
        </is>
      </c>
      <c r="G485" t="inlineStr">
        <is>
          <t>VANSBRO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46280</v>
      </c>
      <c r="E486" s="1" t="n">
        <v>46326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37960-2026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46326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öst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46326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45061-2026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46324</v>
      </c>
      <c r="E489" s="1" t="n">
        <v>46326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öst AB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46324</v>
      </c>
      <c r="E490" s="1" t="n">
        <v>46326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8.300000000000001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45036-2026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46324</v>
      </c>
      <c r="E491" s="1" t="n">
        <v>46326</v>
      </c>
      <c r="F491" t="inlineStr">
        <is>
          <t>DALARNAS LÄN</t>
        </is>
      </c>
      <c r="G491" t="inlineStr">
        <is>
          <t>VANSBRO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46326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öst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46326</v>
      </c>
      <c r="F493" t="inlineStr">
        <is>
          <t>DALARNAS LÄN</t>
        </is>
      </c>
      <c r="G493" t="inlineStr">
        <is>
          <t>VANSBRO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38248-2026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46281</v>
      </c>
      <c r="E494" s="1" t="n">
        <v>46326</v>
      </c>
      <c r="F494" t="inlineStr">
        <is>
          <t>DALARNAS LÄN</t>
        </is>
      </c>
      <c r="G494" t="inlineStr">
        <is>
          <t>VANSBRO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46324</v>
      </c>
      <c r="E495" s="1" t="n">
        <v>46326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46283</v>
      </c>
      <c r="E496" s="1" t="n">
        <v>46326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38644-2026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46283</v>
      </c>
      <c r="E497" s="1" t="n">
        <v>46326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38253-2026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46281</v>
      </c>
      <c r="E498" s="1" t="n">
        <v>46326</v>
      </c>
      <c r="F498" t="inlineStr">
        <is>
          <t>DALARNAS LÄN</t>
        </is>
      </c>
      <c r="G498" t="inlineStr">
        <is>
          <t>VANSBRO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1286-2024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45401</v>
      </c>
      <c r="E499" s="1" t="n">
        <v>46326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220.8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4782-2022</t>
        </is>
      </c>
      <c r="B500" t="inlineStr">
        <is>
          <t>samrådsanmälan</t>
        </is>
      </c>
      <c r="C500" t="inlineStr">
        <is>
          <t>Skogsbilväg</t>
        </is>
      </c>
      <c r="D500" s="1" t="n">
        <v>44802</v>
      </c>
      <c r="E500" s="1" t="n">
        <v>46326</v>
      </c>
      <c r="F500" t="inlineStr">
        <is>
          <t>DALARNAS LÄN</t>
        </is>
      </c>
      <c r="G500" t="inlineStr">
        <is>
          <t>VANSBRO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3514-2023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45208</v>
      </c>
      <c r="E501" s="1" t="n">
        <v>46326</v>
      </c>
      <c r="F501" t="inlineStr">
        <is>
          <t>DALARNAS LÄN</t>
        </is>
      </c>
      <c r="G501" t="inlineStr">
        <is>
          <t>VANSBRO</t>
        </is>
      </c>
      <c r="H501" t="inlineStr">
        <is>
          <t>Bergvik skog väst AB</t>
        </is>
      </c>
      <c r="I501" t="n">
        <v>37.8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409-2025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45699</v>
      </c>
      <c r="E502" s="1" t="n">
        <v>46326</v>
      </c>
      <c r="F502" t="inlineStr">
        <is>
          <t>DALARNAS LÄN</t>
        </is>
      </c>
      <c r="G502" t="inlineStr">
        <is>
          <t>VANSBRO</t>
        </is>
      </c>
      <c r="H502" t="inlineStr">
        <is>
          <t>Bergvik skog öst AB</t>
        </is>
      </c>
      <c r="I502" t="n">
        <v>277.1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91-2026</t>
        </is>
      </c>
      <c r="B503" t="inlineStr">
        <is>
          <t>samrådsanmälan</t>
        </is>
      </c>
      <c r="C503" t="inlineStr">
        <is>
          <t>Skogsgödsling</t>
        </is>
      </c>
      <c r="D503" s="1" t="n">
        <v>46035</v>
      </c>
      <c r="E503" s="1" t="n">
        <v>46326</v>
      </c>
      <c r="F503" t="inlineStr">
        <is>
          <t>DALARNAS LÄN</t>
        </is>
      </c>
      <c r="G503" t="inlineStr">
        <is>
          <t>VANSBRO</t>
        </is>
      </c>
      <c r="H503" t="inlineStr">
        <is>
          <t>Bergvik skog väst AB</t>
        </is>
      </c>
      <c r="I503" t="n">
        <v>153.5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>
      <c r="A504" t="inlineStr">
        <is>
          <t>S 747-2026</t>
        </is>
      </c>
      <c r="B504" t="inlineStr">
        <is>
          <t>samrådsanmälan</t>
        </is>
      </c>
      <c r="C504" t="inlineStr">
        <is>
          <t>Skogsgödsling</t>
        </is>
      </c>
      <c r="D504" s="1" t="n">
        <v>46089</v>
      </c>
      <c r="E504" s="1" t="n">
        <v>46326</v>
      </c>
      <c r="F504" t="inlineStr">
        <is>
          <t>DALARNAS LÄN</t>
        </is>
      </c>
      <c r="G504" t="inlineStr">
        <is>
          <t>VANSBRO</t>
        </is>
      </c>
      <c r="H504" t="inlineStr">
        <is>
          <t>Bergvik skog öst AB</t>
        </is>
      </c>
      <c r="I504" t="n">
        <v>82.40000000000001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2026-10-31T03:23:45Z</dcterms:created>
  <dcterms:modified xmlns:dcterms="http://purl.org/dc/terms/" xmlns:xsi="http://www.w3.org/2001/XMLSchema-instance" xsi:type="dcterms:W3CDTF">2026-10-31T03:23:45Z</dcterms:modified>
</cp:coreProperties>
</file>