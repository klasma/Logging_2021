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46248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46248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46248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46248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t="n">
        <v>0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46248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t="n">
        <v>76</v>
      </c>
      <c r="V6" s="2" t="inlineStr">
        <is>
          <t>Garnlav
Dropptaggsvamp
Kolflarnlav
Lunglav
Mörk kolflarnlav
Tallticka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46248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62461-2025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46248</v>
      </c>
      <c r="F8" t="inlineStr">
        <is>
          <t>DALARNAS LÄN</t>
        </is>
      </c>
      <c r="G8" t="inlineStr">
        <is>
          <t>VANSBRO</t>
        </is>
      </c>
      <c r="I8" t="n">
        <v>11.9</v>
      </c>
      <c r="J8" t="n">
        <v>4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26</v>
      </c>
      <c r="U8" t="n">
        <v>0</v>
      </c>
      <c r="V8" s="2" t="inlineStr">
        <is>
          <t>Garnlav
Knärot
Dropptaggsvamp
Kolflarnlav
Mörk kolflarnlav
Tretåig hackspett
Vaddporing
Bollvitmossa
Spillkråka
Tjäder</t>
        </is>
      </c>
      <c r="W8">
        <f>HYPERLINK("https://klasma.github.io/Logging_2021/artfynd/A 62461-2025 artfynd.xlsx", "A 62461-2025")</f>
        <v/>
      </c>
      <c r="X8">
        <f>HYPERLINK("https://klasma.github.io/Logging_2021/kartor/A 62461-2025 karta.png", "A 62461-2025")</f>
        <v/>
      </c>
      <c r="Y8">
        <f>HYPERLINK("https://klasma.github.io/Logging_2021/kartor_geotiff/A 62461-2025 georefererad karta.tif", "A 62461-2025")</f>
        <v/>
      </c>
      <c r="Z8">
        <f>HYPERLINK("https://klasma.github.io/Logging_2021/knärot/A 62461-2025 karta knärot.png", "A 62461-2025")</f>
        <v/>
      </c>
      <c r="AA8">
        <f>HYPERLINK("https://klasma.github.io/Logging_2021/klagomål/A 62461-2025 FSC-klagomål.docx", "A 62461-2025")</f>
        <v/>
      </c>
      <c r="AB8">
        <f>HYPERLINK("https://klasma.github.io/Logging_2021/klagomålsmail/A 62461-2025 FSC-klagomål mail.docx", "A 62461-2025")</f>
        <v/>
      </c>
      <c r="AC8">
        <f>HYPERLINK("https://klasma.github.io/Logging_2021/tillsyn/A 62461-2025 tillsynsbegäran.docx", "A 62461-2025")</f>
        <v/>
      </c>
      <c r="AD8">
        <f>HYPERLINK("https://klasma.github.io/Logging_2021/tillsynsmail/A 62461-2025 tillsynsbegäran mail.docx", "A 62461-2025")</f>
        <v/>
      </c>
      <c r="AE8">
        <f>HYPERLINK("https://klasma.github.io/Logging_2021/fåglar/A 62461-2025 prioriterade fågelarter.docx", "A 62461-2025")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46248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46248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64</v>
      </c>
      <c r="U10" t="n">
        <v>64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46248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46248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t="n">
        <v>0</v>
      </c>
      <c r="V12" s="2" t="inlineStr">
        <is>
          <t>Garnlav
Dvärgbägarlav
Mörk kolflarnlav
Tallticka
Vedskivlav
Mindre märgborre
Nästlav
Tjäder</t>
        </is>
      </c>
      <c r="W12">
        <f>HYPERLINK("https://klasma.github.io/Logging_2021/artfynd/A 6640-2026 artfynd.xlsx", "A 6640-2026")</f>
        <v/>
      </c>
      <c r="X12">
        <f>HYPERLINK("https://klasma.github.io/Logging_2021/kartor/A 6640-2026 karta.png", "A 6640-2026")</f>
        <v/>
      </c>
      <c r="Y12">
        <f>HYPERLINK("https://klasma.github.io/Logging_2021/kartor_geotiff/A 6640-2026 georefererad karta.tif", "A 6640-2026")</f>
        <v/>
      </c>
      <c r="AA12">
        <f>HYPERLINK("https://klasma.github.io/Logging_2021/klagomål/A 6640-2026 FSC-klagomål.docx", "A 6640-2026")</f>
        <v/>
      </c>
      <c r="AB12">
        <f>HYPERLINK("https://klasma.github.io/Logging_2021/klagomålsmail/A 6640-2026 FSC-klagomål mail.docx", "A 6640-2026")</f>
        <v/>
      </c>
      <c r="AC12">
        <f>HYPERLINK("https://klasma.github.io/Logging_2021/tillsyn/A 6640-2026 tillsynsbegäran.docx", "A 6640-2026")</f>
        <v/>
      </c>
      <c r="AD12">
        <f>HYPERLINK("https://klasma.github.io/Logging_2021/tillsynsmail/A 6640-2026 tillsynsbegäran mail.docx", "A 6640-2026")</f>
        <v/>
      </c>
      <c r="AE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46248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t="n">
        <v>13</v>
      </c>
      <c r="V13" s="2" t="inlineStr">
        <is>
          <t>Garnlav
Knärot
Kattfotslav
Tretåig hackspett
Ullticka
Vedskivlav
Vedticka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46248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t="n">
        <v>0</v>
      </c>
      <c r="V14" s="2" t="inlineStr">
        <is>
          <t>Garnlav
Mjölig dropplav
Kattfotslav
Rosenticka
Rynkskinn
Violettgrå tagellav</t>
        </is>
      </c>
      <c r="W14">
        <f>HYPERLINK("https://klasma.github.io/Logging_2021/artfynd/A 46316-2021 artfynd.xlsx", "A 46316-2021")</f>
        <v/>
      </c>
      <c r="X14">
        <f>HYPERLINK("https://klasma.github.io/Logging_2021/kartor/A 46316-2021 karta.png", "A 46316-2021")</f>
        <v/>
      </c>
      <c r="Y14">
        <f>HYPERLINK("https://klasma.github.io/Logging_2021/kartor_geotiff/A 46316-2021 georefererad karta.tif", "A 46316-2021")</f>
        <v/>
      </c>
      <c r="AA14">
        <f>HYPERLINK("https://klasma.github.io/Logging_2021/klagomål/A 46316-2021 FSC-klagomål.docx", "A 46316-2021")</f>
        <v/>
      </c>
      <c r="AB14">
        <f>HYPERLINK("https://klasma.github.io/Logging_2021/klagomålsmail/A 46316-2021 FSC-klagomål mail.docx", "A 46316-2021")</f>
        <v/>
      </c>
      <c r="AC14">
        <f>HYPERLINK("https://klasma.github.io/Logging_2021/tillsyn/A 46316-2021 tillsynsbegäran.docx", "A 46316-2021")</f>
        <v/>
      </c>
      <c r="AD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46248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44504</v>
      </c>
      <c r="E16" s="1" t="n">
        <v>46248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5.6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Doftskinn
Ullticka
Violettgrå tagellav
Stuplav</t>
        </is>
      </c>
      <c r="W16">
        <f>HYPERLINK("https://klasma.github.io/Logging_2021/artfynd/A 62734-2021 artfynd.xlsx", "A 62734-2021")</f>
        <v/>
      </c>
      <c r="X16">
        <f>HYPERLINK("https://klasma.github.io/Logging_2021/kartor/A 62734-2021 karta.png", "A 62734-2021")</f>
        <v/>
      </c>
      <c r="Y16">
        <f>HYPERLINK("https://klasma.github.io/Logging_2021/kartor_geotiff/A 62734-2021 georefererad karta.tif", "A 62734-2021")</f>
        <v/>
      </c>
      <c r="AA16">
        <f>HYPERLINK("https://klasma.github.io/Logging_2021/klagomål/A 62734-2021 FSC-klagomål.docx", "A 62734-2021")</f>
        <v/>
      </c>
      <c r="AB16">
        <f>HYPERLINK("https://klasma.github.io/Logging_2021/klagomålsmail/A 62734-2021 FSC-klagomål mail.docx", "A 62734-2021")</f>
        <v/>
      </c>
      <c r="AC16">
        <f>HYPERLINK("https://klasma.github.io/Logging_2021/tillsyn/A 62734-2021 tillsynsbegäran.docx", "A 62734-2021")</f>
        <v/>
      </c>
      <c r="AD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45576</v>
      </c>
      <c r="E17" s="1" t="n">
        <v>46248</v>
      </c>
      <c r="F17" t="inlineStr">
        <is>
          <t>DALARNAS LÄN</t>
        </is>
      </c>
      <c r="G17" t="inlineStr">
        <is>
          <t>VANSBRO</t>
        </is>
      </c>
      <c r="I17" t="n">
        <v>13.4</v>
      </c>
      <c r="J17" t="n">
        <v>0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Dropptaggsvamp
Kolflarnlav
Mindre märgborre</t>
        </is>
      </c>
      <c r="W17">
        <f>HYPERLINK("https://klasma.github.io/Logging_2021/artfynd/A 45350-2024 artfynd.xlsx", "A 45350-2024")</f>
        <v/>
      </c>
      <c r="X17">
        <f>HYPERLINK("https://klasma.github.io/Logging_2021/kartor/A 45350-2024 karta.png", "A 45350-2024")</f>
        <v/>
      </c>
      <c r="Y17">
        <f>HYPERLINK("https://klasma.github.io/Logging_2021/kartor_geotiff/A 45350-2024 georefererad karta.tif", "A 45350-2024")</f>
        <v/>
      </c>
      <c r="AA17">
        <f>HYPERLINK("https://klasma.github.io/Logging_2021/klagomål/A 45350-2024 FSC-klagomål.docx", "A 45350-2024")</f>
        <v/>
      </c>
      <c r="AB17">
        <f>HYPERLINK("https://klasma.github.io/Logging_2021/klagomålsmail/A 45350-2024 FSC-klagomål mail.docx", "A 45350-2024")</f>
        <v/>
      </c>
      <c r="AC17">
        <f>HYPERLINK("https://klasma.github.io/Logging_2021/tillsyn/A 45350-2024 tillsynsbegäran.docx", "A 45350-2024")</f>
        <v/>
      </c>
      <c r="AD17">
        <f>HYPERLINK("https://klasma.github.io/Logging_2021/tillsynsmail/A 45350-2024 tillsynsbegäran mail.docx", "A 45350-2024")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46248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1</v>
      </c>
      <c r="K18" t="n">
        <v>1</v>
      </c>
      <c r="L18" t="n">
        <v>1</v>
      </c>
      <c r="M18" t="n">
        <v>2</v>
      </c>
      <c r="N18" t="n">
        <v>0</v>
      </c>
      <c r="O18" t="n">
        <v>0</v>
      </c>
      <c r="P18" t="n">
        <v>0</v>
      </c>
      <c r="Q18" t="n">
        <v>3</v>
      </c>
      <c r="R18" t="n">
        <v>2</v>
      </c>
      <c r="S18" t="n">
        <v>4</v>
      </c>
      <c r="T18" t="n">
        <v>12</v>
      </c>
      <c r="U18" t="n">
        <v>12</v>
      </c>
      <c r="V18" s="2" t="inlineStr">
        <is>
          <t>Garnlav
Knärot
Lunglav
Vedticka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</row>
    <row r="19" ht="15" customHeight="1">
      <c r="A19" t="inlineStr">
        <is>
          <t>A 13339-2025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45735</v>
      </c>
      <c r="E19" s="1" t="n">
        <v>46248</v>
      </c>
      <c r="F19" t="inlineStr">
        <is>
          <t>DALARNAS LÄN</t>
        </is>
      </c>
      <c r="G19" t="inlineStr">
        <is>
          <t>VANSBRO</t>
        </is>
      </c>
      <c r="I19" t="n">
        <v>0.4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t="n">
        <v>5</v>
      </c>
      <c r="V19" s="2" t="inlineStr">
        <is>
          <t>Garnlav
Knärot
Dropptaggsvamp
Mörk kolflarnlav</t>
        </is>
      </c>
      <c r="W19">
        <f>HYPERLINK("https://klasma.github.io/Logging_2021/artfynd/A 13339-2025 artfynd.xlsx", "A 13339-2025")</f>
        <v/>
      </c>
      <c r="X19">
        <f>HYPERLINK("https://klasma.github.io/Logging_2021/kartor/A 13339-2025 karta.png", "A 13339-2025")</f>
        <v/>
      </c>
      <c r="Y19">
        <f>HYPERLINK("https://klasma.github.io/Logging_2021/kartor_geotiff/A 13339-2025 georefererad karta.tif", "A 13339-2025")</f>
        <v/>
      </c>
      <c r="Z19">
        <f>HYPERLINK("https://klasma.github.io/Logging_2021/knärot/A 13339-2025 karta knärot.png", "A 13339-2025")</f>
        <v/>
      </c>
      <c r="AA19">
        <f>HYPERLINK("https://klasma.github.io/Logging_2021/klagomål/A 13339-2025 FSC-klagomål.docx", "A 13339-2025")</f>
        <v/>
      </c>
      <c r="AB19">
        <f>HYPERLINK("https://klasma.github.io/Logging_2021/klagomålsmail/A 13339-2025 FSC-klagomål mail.docx", "A 13339-2025")</f>
        <v/>
      </c>
      <c r="AC19">
        <f>HYPERLINK("https://klasma.github.io/Logging_2021/tillsyn/A 13339-2025 tillsynsbegäran.docx", "A 13339-2025")</f>
        <v/>
      </c>
      <c r="AD19">
        <f>HYPERLINK("https://klasma.github.io/Logging_2021/tillsynsmail/A 13339-2025 tillsynsbegäran mail.docx", "A 13339-2025")</f>
        <v/>
      </c>
    </row>
    <row r="20" ht="15" customHeight="1">
      <c r="A20" t="inlineStr">
        <is>
          <t>A 13344-2025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45735</v>
      </c>
      <c r="E20" s="1" t="n">
        <v>46248</v>
      </c>
      <c r="F20" t="inlineStr">
        <is>
          <t>DALARNAS LÄN</t>
        </is>
      </c>
      <c r="G20" t="inlineStr">
        <is>
          <t>VANSBRO</t>
        </is>
      </c>
      <c r="I20" t="n">
        <v>0.5</v>
      </c>
      <c r="J20" t="n">
        <v>2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6</v>
      </c>
      <c r="U20" t="n">
        <v>6</v>
      </c>
      <c r="V20" s="2" t="inlineStr">
        <is>
          <t>Knärot
Mörk kolflarnlav
Ullticka
Tjäder</t>
        </is>
      </c>
      <c r="W20">
        <f>HYPERLINK("https://klasma.github.io/Logging_2021/artfynd/A 13344-2025 artfynd.xlsx", "A 13344-2025")</f>
        <v/>
      </c>
      <c r="X20">
        <f>HYPERLINK("https://klasma.github.io/Logging_2021/kartor/A 13344-2025 karta.png", "A 13344-2025")</f>
        <v/>
      </c>
      <c r="Y20">
        <f>HYPERLINK("https://klasma.github.io/Logging_2021/kartor_geotiff/A 13344-2025 georefererad karta.tif", "A 13344-2025")</f>
        <v/>
      </c>
      <c r="Z20">
        <f>HYPERLINK("https://klasma.github.io/Logging_2021/knärot/A 13344-2025 karta knärot.png", "A 13344-2025")</f>
        <v/>
      </c>
      <c r="AA20">
        <f>HYPERLINK("https://klasma.github.io/Logging_2021/klagomål/A 13344-2025 FSC-klagomål.docx", "A 13344-2025")</f>
        <v/>
      </c>
      <c r="AB20">
        <f>HYPERLINK("https://klasma.github.io/Logging_2021/klagomålsmail/A 13344-2025 FSC-klagomål mail.docx", "A 13344-2025")</f>
        <v/>
      </c>
      <c r="AC20">
        <f>HYPERLINK("https://klasma.github.io/Logging_2021/tillsyn/A 13344-2025 tillsynsbegäran.docx", "A 13344-2025")</f>
        <v/>
      </c>
      <c r="AD20">
        <f>HYPERLINK("https://klasma.github.io/Logging_2021/tillsynsmail/A 13344-2025 tillsynsbegäran mail.docx", "A 13344-2025")</f>
        <v/>
      </c>
      <c r="AE20">
        <f>HYPERLINK("https://klasma.github.io/Logging_2021/fåglar/A 13344-2025 prioriterade fågelarter.docx", "A 13344-2025")</f>
        <v/>
      </c>
    </row>
    <row r="21" ht="15" customHeight="1">
      <c r="A21" t="inlineStr">
        <is>
          <t>A 11477-2026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46083</v>
      </c>
      <c r="E21" s="1" t="n">
        <v>46248</v>
      </c>
      <c r="F21" t="inlineStr">
        <is>
          <t>DALARNAS LÄN</t>
        </is>
      </c>
      <c r="G21" t="inlineStr">
        <is>
          <t>VANSBRO</t>
        </is>
      </c>
      <c r="I21" t="n">
        <v>14.5</v>
      </c>
      <c r="J21" t="n">
        <v>0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4</v>
      </c>
      <c r="T21" t="n">
        <v>5</v>
      </c>
      <c r="U21" t="n">
        <v>0</v>
      </c>
      <c r="V21" s="2" t="inlineStr">
        <is>
          <t>Garnlav
Dvärgbägarlav
Nordtagging
Vedskivlav</t>
        </is>
      </c>
      <c r="W21">
        <f>HYPERLINK("https://klasma.github.io/Logging_2021/artfynd/A 11477-2026 artfynd.xlsx", "A 11477-2026")</f>
        <v/>
      </c>
      <c r="X21">
        <f>HYPERLINK("https://klasma.github.io/Logging_2021/kartor/A 11477-2026 karta.png", "A 11477-2026")</f>
        <v/>
      </c>
      <c r="Y21">
        <f>HYPERLINK("https://klasma.github.io/Logging_2021/kartor_geotiff/A 11477-2026 georefererad karta.tif", "A 11477-2026")</f>
        <v/>
      </c>
      <c r="AA21">
        <f>HYPERLINK("https://klasma.github.io/Logging_2021/klagomål/A 11477-2026 FSC-klagomål.docx", "A 11477-2026")</f>
        <v/>
      </c>
      <c r="AB21">
        <f>HYPERLINK("https://klasma.github.io/Logging_2021/klagomålsmail/A 11477-2026 FSC-klagomål mail.docx", "A 11477-2026")</f>
        <v/>
      </c>
      <c r="AC21">
        <f>HYPERLINK("https://klasma.github.io/Logging_2021/tillsyn/A 11477-2026 tillsynsbegäran.docx", "A 11477-2026")</f>
        <v/>
      </c>
      <c r="AD21">
        <f>HYPERLINK("https://klasma.github.io/Logging_2021/tillsynsmail/A 11477-2026 tillsynsbegäran mail.docx", "A 11477-2026")</f>
        <v/>
      </c>
    </row>
    <row r="22" ht="15" customHeight="1">
      <c r="A22" t="inlineStr">
        <is>
          <t>A 16725-2024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45409</v>
      </c>
      <c r="E22" s="1" t="n">
        <v>46248</v>
      </c>
      <c r="F22" t="inlineStr">
        <is>
          <t>DALARNAS LÄN</t>
        </is>
      </c>
      <c r="G22" t="inlineStr">
        <is>
          <t>VANSBRO</t>
        </is>
      </c>
      <c r="I22" t="n">
        <v>3.1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Dropptaggsvamp
Skuggblåslav
Bollvitmossa</t>
        </is>
      </c>
      <c r="W22">
        <f>HYPERLINK("https://klasma.github.io/Logging_2021/artfynd/A 16725-2024 artfynd.xlsx", "A 16725-2024")</f>
        <v/>
      </c>
      <c r="X22">
        <f>HYPERLINK("https://klasma.github.io/Logging_2021/kartor/A 16725-2024 karta.png", "A 16725-2024")</f>
        <v/>
      </c>
      <c r="Y22">
        <f>HYPERLINK("https://klasma.github.io/Logging_2021/kartor_geotiff/A 16725-2024 georefererad karta.tif", "A 16725-2024")</f>
        <v/>
      </c>
      <c r="AA22">
        <f>HYPERLINK("https://klasma.github.io/Logging_2021/klagomål/A 16725-2024 FSC-klagomål.docx", "A 16725-2024")</f>
        <v/>
      </c>
      <c r="AB22">
        <f>HYPERLINK("https://klasma.github.io/Logging_2021/klagomålsmail/A 16725-2024 FSC-klagomål mail.docx", "A 16725-2024")</f>
        <v/>
      </c>
      <c r="AC22">
        <f>HYPERLINK("https://klasma.github.io/Logging_2021/tillsyn/A 16725-2024 tillsynsbegäran.docx", "A 16725-2024")</f>
        <v/>
      </c>
      <c r="AD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45726</v>
      </c>
      <c r="E23" s="1" t="n">
        <v>46248</v>
      </c>
      <c r="F23" t="inlineStr">
        <is>
          <t>DALARNAS LÄN</t>
        </is>
      </c>
      <c r="G23" t="inlineStr">
        <is>
          <t>VANSBRO</t>
        </is>
      </c>
      <c r="I23" t="n">
        <v>7.5</v>
      </c>
      <c r="J23" t="n">
        <v>1</v>
      </c>
      <c r="K23" t="n">
        <v>1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24</v>
      </c>
      <c r="U23" t="n">
        <v>24</v>
      </c>
      <c r="V23" s="2" t="inlineStr">
        <is>
          <t>Garnlav
Knärot
Bollvitmossa</t>
        </is>
      </c>
      <c r="W23">
        <f>HYPERLINK("https://klasma.github.io/Logging_2021/artfynd/A 11433-2025 artfynd.xlsx", "A 11433-2025")</f>
        <v/>
      </c>
      <c r="X23">
        <f>HYPERLINK("https://klasma.github.io/Logging_2021/kartor/A 11433-2025 karta.png", "A 11433-2025")</f>
        <v/>
      </c>
      <c r="Y23">
        <f>HYPERLINK("https://klasma.github.io/Logging_2021/kartor_geotiff/A 11433-2025 georefererad karta.tif", "A 11433-2025")</f>
        <v/>
      </c>
      <c r="Z23">
        <f>HYPERLINK("https://klasma.github.io/Logging_2021/knärot/A 11433-2025 karta knärot.png", "A 11433-2025")</f>
        <v/>
      </c>
      <c r="AA23">
        <f>HYPERLINK("https://klasma.github.io/Logging_2021/klagomål/A 11433-2025 FSC-klagomål.docx", "A 11433-2025")</f>
        <v/>
      </c>
      <c r="AB23">
        <f>HYPERLINK("https://klasma.github.io/Logging_2021/klagomålsmail/A 11433-2025 FSC-klagomål mail.docx", "A 11433-2025")</f>
        <v/>
      </c>
      <c r="AC23">
        <f>HYPERLINK("https://klasma.github.io/Logging_2021/tillsyn/A 11433-2025 tillsynsbegäran.docx", "A 11433-2025")</f>
        <v/>
      </c>
      <c r="AD23">
        <f>HYPERLINK("https://klasma.github.io/Logging_2021/tillsynsmail/A 11433-2025 tillsynsbegäran mail.docx", "A 11433-2025")</f>
        <v/>
      </c>
    </row>
    <row r="24" ht="15" customHeight="1">
      <c r="A24" t="inlineStr">
        <is>
          <t>A 33005-2025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46248</v>
      </c>
      <c r="F24" t="inlineStr">
        <is>
          <t>DALARNAS LÄN</t>
        </is>
      </c>
      <c r="G24" t="inlineStr">
        <is>
          <t>VANSBRO</t>
        </is>
      </c>
      <c r="I24" t="n">
        <v>5.5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5</v>
      </c>
      <c r="U24" t="n">
        <v>5</v>
      </c>
      <c r="V24" s="2" t="inlineStr">
        <is>
          <t>Knärot
Kolflarnlav
Tretåig hackspett</t>
        </is>
      </c>
      <c r="W24">
        <f>HYPERLINK("https://klasma.github.io/Logging_2021/artfynd/A 33005-2025 artfynd.xlsx", "A 33005-2025")</f>
        <v/>
      </c>
      <c r="X24">
        <f>HYPERLINK("https://klasma.github.io/Logging_2021/kartor/A 33005-2025 karta.png", "A 33005-2025")</f>
        <v/>
      </c>
      <c r="Y24">
        <f>HYPERLINK("https://klasma.github.io/Logging_2021/kartor_geotiff/A 33005-2025 georefererad karta.tif", "A 33005-2025")</f>
        <v/>
      </c>
      <c r="Z24">
        <f>HYPERLINK("https://klasma.github.io/Logging_2021/knärot/A 33005-2025 karta knärot.png", "A 33005-2025")</f>
        <v/>
      </c>
      <c r="AA24">
        <f>HYPERLINK("https://klasma.github.io/Logging_2021/klagomål/A 33005-2025 FSC-klagomål.docx", "A 33005-2025")</f>
        <v/>
      </c>
      <c r="AB24">
        <f>HYPERLINK("https://klasma.github.io/Logging_2021/klagomålsmail/A 33005-2025 FSC-klagomål mail.docx", "A 33005-2025")</f>
        <v/>
      </c>
      <c r="AC24">
        <f>HYPERLINK("https://klasma.github.io/Logging_2021/tillsyn/A 33005-2025 tillsynsbegäran.docx", "A 33005-2025")</f>
        <v/>
      </c>
      <c r="AD24">
        <f>HYPERLINK("https://klasma.github.io/Logging_2021/tillsynsmail/A 33005-2025 tillsynsbegäran mail.docx", "A 33005-2025")</f>
        <v/>
      </c>
      <c r="AE24">
        <f>HYPERLINK("https://klasma.github.io/Logging_2021/fåglar/A 33005-2025 prioriterade fågelarter.docx", "A 33005-2025")</f>
        <v/>
      </c>
    </row>
    <row r="25" ht="15" customHeight="1">
      <c r="A25" t="inlineStr">
        <is>
          <t>A 27504-2025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46248</v>
      </c>
      <c r="F25" t="inlineStr">
        <is>
          <t>DALARNAS LÄN</t>
        </is>
      </c>
      <c r="G25" t="inlineStr">
        <is>
          <t>VANSBRO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Garnlav
Kortskaftad ärgspik
Vedticka</t>
        </is>
      </c>
      <c r="W25">
        <f>HYPERLINK("https://klasma.github.io/Logging_2021/artfynd/A 27504-2025 artfynd.xlsx", "A 27504-2025")</f>
        <v/>
      </c>
      <c r="X25">
        <f>HYPERLINK("https://klasma.github.io/Logging_2021/kartor/A 27504-2025 karta.png", "A 27504-2025")</f>
        <v/>
      </c>
      <c r="Y25">
        <f>HYPERLINK("https://klasma.github.io/Logging_2021/kartor_geotiff/A 27504-2025 georefererad karta.tif", "A 27504-2025")</f>
        <v/>
      </c>
      <c r="AA25">
        <f>HYPERLINK("https://klasma.github.io/Logging_2021/klagomål/A 27504-2025 FSC-klagomål.docx", "A 27504-2025")</f>
        <v/>
      </c>
      <c r="AB25">
        <f>HYPERLINK("https://klasma.github.io/Logging_2021/klagomålsmail/A 27504-2025 FSC-klagomål mail.docx", "A 27504-2025")</f>
        <v/>
      </c>
      <c r="AC25">
        <f>HYPERLINK("https://klasma.github.io/Logging_2021/tillsyn/A 27504-2025 tillsynsbegäran.docx", "A 27504-2025")</f>
        <v/>
      </c>
      <c r="AD25">
        <f>HYPERLINK("https://klasma.github.io/Logging_2021/tillsynsmail/A 27504-2025 tillsynsbegäran mail.docx", "A 27504-2025")</f>
        <v/>
      </c>
    </row>
    <row r="26" ht="15" customHeight="1">
      <c r="A26" t="inlineStr">
        <is>
          <t>A 33898-2022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46248</v>
      </c>
      <c r="F26" t="inlineStr">
        <is>
          <t>DALARNAS LÄN</t>
        </is>
      </c>
      <c r="G26" t="inlineStr">
        <is>
          <t>VANSBRO</t>
        </is>
      </c>
      <c r="I26" t="n">
        <v>2.8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Kungsfågel</t>
        </is>
      </c>
      <c r="W26">
        <f>HYPERLINK("https://klasma.github.io/Logging_2021/artfynd/A 33898-2022 artfynd.xlsx", "A 33898-2022")</f>
        <v/>
      </c>
      <c r="X26">
        <f>HYPERLINK("https://klasma.github.io/Logging_2021/kartor/A 33898-2022 karta.png", "A 33898-2022")</f>
        <v/>
      </c>
      <c r="Y26">
        <f>HYPERLINK("https://klasma.github.io/Logging_2021/kartor_geotiff/A 33898-2022 georefererad karta.tif", "A 33898-2022")</f>
        <v/>
      </c>
      <c r="Z26">
        <f>HYPERLINK("https://klasma.github.io/Logging_2021/knärot/A 33898-2022 karta knärot.png", "A 33898-2022")</f>
        <v/>
      </c>
      <c r="AA26">
        <f>HYPERLINK("https://klasma.github.io/Logging_2021/klagomål/A 33898-2022 FSC-klagomål.docx", "A 33898-2022")</f>
        <v/>
      </c>
      <c r="AB26">
        <f>HYPERLINK("https://klasma.github.io/Logging_2021/klagomålsmail/A 33898-2022 FSC-klagomål mail.docx", "A 33898-2022")</f>
        <v/>
      </c>
      <c r="AC26">
        <f>HYPERLINK("https://klasma.github.io/Logging_2021/tillsyn/A 33898-2022 tillsynsbegäran.docx", "A 33898-2022")</f>
        <v/>
      </c>
      <c r="AD26">
        <f>HYPERLINK("https://klasma.github.io/Logging_2021/tillsynsmail/A 33898-2022 tillsynsbegäran mail.docx", "A 33898-2022")</f>
        <v/>
      </c>
    </row>
    <row r="27" ht="15" customHeight="1">
      <c r="A27" t="inlineStr">
        <is>
          <t>A 58009-2023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45247</v>
      </c>
      <c r="E27" s="1" t="n">
        <v>46248</v>
      </c>
      <c r="F27" t="inlineStr">
        <is>
          <t>DALARNAS LÄN</t>
        </is>
      </c>
      <c r="G27" t="inlineStr">
        <is>
          <t>VANSBRO</t>
        </is>
      </c>
      <c r="I27" t="n">
        <v>0.5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Sädesärla
Orre</t>
        </is>
      </c>
      <c r="W27">
        <f>HYPERLINK("https://klasma.github.io/Logging_2021/artfynd/A 58009-2023 artfynd.xlsx", "A 58009-2023")</f>
        <v/>
      </c>
      <c r="X27">
        <f>HYPERLINK("https://klasma.github.io/Logging_2021/kartor/A 58009-2023 karta.png", "A 58009-2023")</f>
        <v/>
      </c>
      <c r="Y27">
        <f>HYPERLINK("https://klasma.github.io/Logging_2021/kartor_geotiff/A 58009-2023 georefererad karta.tif", "A 58009-2023")</f>
        <v/>
      </c>
      <c r="AA27">
        <f>HYPERLINK("https://klasma.github.io/Logging_2021/klagomål/A 58009-2023 FSC-klagomål.docx", "A 58009-2023")</f>
        <v/>
      </c>
      <c r="AB27">
        <f>HYPERLINK("https://klasma.github.io/Logging_2021/klagomålsmail/A 58009-2023 FSC-klagomål mail.docx", "A 58009-2023")</f>
        <v/>
      </c>
      <c r="AC27">
        <f>HYPERLINK("https://klasma.github.io/Logging_2021/tillsyn/A 58009-2023 tillsynsbegäran.docx", "A 58009-2023")</f>
        <v/>
      </c>
      <c r="AD27">
        <f>HYPERLINK("https://klasma.github.io/Logging_2021/tillsynsmail/A 58009-2023 tillsynsbegäran mail.docx", "A 58009-2023")</f>
        <v/>
      </c>
      <c r="AE27">
        <f>HYPERLINK("https://klasma.github.io/Logging_2021/fåglar/A 58009-2023 prioriterade fågelarter.docx", "A 58009-2023")</f>
        <v/>
      </c>
    </row>
    <row r="28" ht="15" customHeight="1">
      <c r="A28" t="inlineStr">
        <is>
          <t>A 14475-2024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45394</v>
      </c>
      <c r="E28" s="1" t="n">
        <v>46248</v>
      </c>
      <c r="F28" t="inlineStr">
        <is>
          <t>DALARNAS LÄN</t>
        </is>
      </c>
      <c r="G28" t="inlineStr">
        <is>
          <t>VANSBRO</t>
        </is>
      </c>
      <c r="I28" t="n">
        <v>20.4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3</v>
      </c>
      <c r="V28" s="2" t="inlineStr">
        <is>
          <t>Garnlav
Dropptaggsvamp</t>
        </is>
      </c>
      <c r="W28">
        <f>HYPERLINK("https://klasma.github.io/Logging_2021/artfynd/A 14475-2024 artfynd.xlsx", "A 14475-2024")</f>
        <v/>
      </c>
      <c r="X28">
        <f>HYPERLINK("https://klasma.github.io/Logging_2021/kartor/A 14475-2024 karta.png", "A 14475-2024")</f>
        <v/>
      </c>
      <c r="Y28">
        <f>HYPERLINK("https://klasma.github.io/Logging_2021/kartor_geotiff/A 14475-2024 georefererad karta.tif", "A 14475-2024")</f>
        <v/>
      </c>
      <c r="AA28">
        <f>HYPERLINK("https://klasma.github.io/Logging_2021/klagomål/A 14475-2024 FSC-klagomål.docx", "A 14475-2024")</f>
        <v/>
      </c>
      <c r="AB28">
        <f>HYPERLINK("https://klasma.github.io/Logging_2021/klagomålsmail/A 14475-2024 FSC-klagomål mail.docx", "A 14475-2024")</f>
        <v/>
      </c>
      <c r="AC28">
        <f>HYPERLINK("https://klasma.github.io/Logging_2021/tillsyn/A 14475-2024 tillsynsbegäran.docx", "A 14475-2024")</f>
        <v/>
      </c>
      <c r="AD28">
        <f>HYPERLINK("https://klasma.github.io/Logging_2021/tillsynsmail/A 14475-2024 tillsynsbegäran mail.docx", "A 14475-2024")</f>
        <v/>
      </c>
    </row>
    <row r="29" ht="15" customHeight="1">
      <c r="A29" t="inlineStr">
        <is>
          <t>A 13323-2025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45735</v>
      </c>
      <c r="E29" s="1" t="n">
        <v>46248</v>
      </c>
      <c r="F29" t="inlineStr">
        <is>
          <t>DALARNAS LÄN</t>
        </is>
      </c>
      <c r="G29" t="inlineStr">
        <is>
          <t>VANSBRO</t>
        </is>
      </c>
      <c r="I29" t="n">
        <v>2.1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4</v>
      </c>
      <c r="V29" s="2" t="inlineStr">
        <is>
          <t>Knärot
Ullticka</t>
        </is>
      </c>
      <c r="W29">
        <f>HYPERLINK("https://klasma.github.io/Logging_2021/artfynd/A 13323-2025 artfynd.xlsx", "A 13323-2025")</f>
        <v/>
      </c>
      <c r="X29">
        <f>HYPERLINK("https://klasma.github.io/Logging_2021/kartor/A 13323-2025 karta.png", "A 13323-2025")</f>
        <v/>
      </c>
      <c r="Y29">
        <f>HYPERLINK("https://klasma.github.io/Logging_2021/kartor_geotiff/A 13323-2025 georefererad karta.tif", "A 13323-2025")</f>
        <v/>
      </c>
      <c r="Z29">
        <f>HYPERLINK("https://klasma.github.io/Logging_2021/knärot/A 13323-2025 karta knärot.png", "A 13323-2025")</f>
        <v/>
      </c>
      <c r="AA29">
        <f>HYPERLINK("https://klasma.github.io/Logging_2021/klagomål/A 13323-2025 FSC-klagomål.docx", "A 13323-2025")</f>
        <v/>
      </c>
      <c r="AB29">
        <f>HYPERLINK("https://klasma.github.io/Logging_2021/klagomålsmail/A 13323-2025 FSC-klagomål mail.docx", "A 13323-2025")</f>
        <v/>
      </c>
      <c r="AC29">
        <f>HYPERLINK("https://klasma.github.io/Logging_2021/tillsyn/A 13323-2025 tillsynsbegäran.docx", "A 13323-2025")</f>
        <v/>
      </c>
      <c r="AD29">
        <f>HYPERLINK("https://klasma.github.io/Logging_2021/tillsynsmail/A 13323-2025 tillsynsbegäran mail.docx", "A 13323-2025")</f>
        <v/>
      </c>
    </row>
    <row r="30" ht="15" customHeight="1">
      <c r="A30" t="inlineStr">
        <is>
          <t>A 1691-2026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46248</v>
      </c>
      <c r="F30" t="inlineStr">
        <is>
          <t>DALARNAS LÄN</t>
        </is>
      </c>
      <c r="G30" t="inlineStr">
        <is>
          <t>VANSBRO</t>
        </is>
      </c>
      <c r="I30" t="n">
        <v>6.3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Dropptaggsvamp
Motaggsvamp</t>
        </is>
      </c>
      <c r="W30">
        <f>HYPERLINK("https://klasma.github.io/Logging_2021/artfynd/A 1691-2026 artfynd.xlsx", "A 1691-2026")</f>
        <v/>
      </c>
      <c r="X30">
        <f>HYPERLINK("https://klasma.github.io/Logging_2021/kartor/A 1691-2026 karta.png", "A 1691-2026")</f>
        <v/>
      </c>
      <c r="Y30">
        <f>HYPERLINK("https://klasma.github.io/Logging_2021/kartor_geotiff/A 1691-2026 georefererad karta.tif", "A 1691-2026")</f>
        <v/>
      </c>
      <c r="AA30">
        <f>HYPERLINK("https://klasma.github.io/Logging_2021/klagomål/A 1691-2026 FSC-klagomål.docx", "A 1691-2026")</f>
        <v/>
      </c>
      <c r="AB30">
        <f>HYPERLINK("https://klasma.github.io/Logging_2021/klagomålsmail/A 1691-2026 FSC-klagomål mail.docx", "A 1691-2026")</f>
        <v/>
      </c>
      <c r="AC30">
        <f>HYPERLINK("https://klasma.github.io/Logging_2021/tillsyn/A 1691-2026 tillsynsbegäran.docx", "A 1691-2026")</f>
        <v/>
      </c>
      <c r="AD30">
        <f>HYPERLINK("https://klasma.github.io/Logging_2021/tillsynsmail/A 1691-2026 tillsynsbegäran mail.docx", "A 1691-2026")</f>
        <v/>
      </c>
    </row>
    <row r="31" ht="15" customHeight="1">
      <c r="A31" t="inlineStr">
        <is>
          <t>A 19656-2026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46134</v>
      </c>
      <c r="E31" s="1" t="n">
        <v>46248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18.2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Ängsblåvinge
Berggräsfjäril</t>
        </is>
      </c>
      <c r="W31">
        <f>HYPERLINK("https://klasma.github.io/Logging_2021/artfynd/A 19656-2026 artfynd.xlsx", "A 19656-2026")</f>
        <v/>
      </c>
      <c r="X31">
        <f>HYPERLINK("https://klasma.github.io/Logging_2021/kartor/A 19656-2026 karta.png", "A 19656-2026")</f>
        <v/>
      </c>
      <c r="Y31">
        <f>HYPERLINK("https://klasma.github.io/Logging_2021/kartor_geotiff/A 19656-2026 georefererad karta.tif", "A 19656-2026")</f>
        <v/>
      </c>
      <c r="AA31">
        <f>HYPERLINK("https://klasma.github.io/Logging_2021/klagomål/A 19656-2026 FSC-klagomål.docx", "A 19656-2026")</f>
        <v/>
      </c>
      <c r="AB31">
        <f>HYPERLINK("https://klasma.github.io/Logging_2021/klagomålsmail/A 19656-2026 FSC-klagomål mail.docx", "A 19656-2026")</f>
        <v/>
      </c>
      <c r="AC31">
        <f>HYPERLINK("https://klasma.github.io/Logging_2021/tillsyn/A 19656-2026 tillsynsbegäran.docx", "A 19656-2026")</f>
        <v/>
      </c>
      <c r="AD31">
        <f>HYPERLINK("https://klasma.github.io/Logging_2021/tillsynsmail/A 19656-2026 tillsynsbegäran mail.docx", "A 19656-2026")</f>
        <v/>
      </c>
    </row>
    <row r="32" ht="15" customHeight="1">
      <c r="A32" t="inlineStr">
        <is>
          <t>A 45205-2021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44439</v>
      </c>
      <c r="E32" s="1" t="n">
        <v>46248</v>
      </c>
      <c r="F32" t="inlineStr">
        <is>
          <t>DALARNAS LÄN</t>
        </is>
      </c>
      <c r="G32" t="inlineStr">
        <is>
          <t>VANSBRO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HYPERLINK("https://klasma.github.io/Logging_2021/artfynd/A 45205-2021 artfynd.xlsx", "A 45205-2021")</f>
        <v/>
      </c>
      <c r="X32">
        <f>HYPERLINK("https://klasma.github.io/Logging_2021/kartor/A 45205-2021 karta.png", "A 45205-2021")</f>
        <v/>
      </c>
      <c r="Y32">
        <f>HYPERLINK("https://klasma.github.io/Logging_2021/kartor_geotiff/A 45205-2021 georefererad karta.tif", "A 45205-2021")</f>
        <v/>
      </c>
      <c r="AA32">
        <f>HYPERLINK("https://klasma.github.io/Logging_2021/klagomål/A 45205-2021 FSC-klagomål.docx", "A 45205-2021")</f>
        <v/>
      </c>
      <c r="AB32">
        <f>HYPERLINK("https://klasma.github.io/Logging_2021/klagomålsmail/A 45205-2021 FSC-klagomål mail.docx", "A 45205-2021")</f>
        <v/>
      </c>
      <c r="AC32">
        <f>HYPERLINK("https://klasma.github.io/Logging_2021/tillsyn/A 45205-2021 tillsynsbegäran.docx", "A 45205-2021")</f>
        <v/>
      </c>
      <c r="AD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46248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öst AB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Rynkskinn</t>
        </is>
      </c>
      <c r="W33">
        <f>HYPERLINK("https://klasma.github.io/Logging_2021/artfynd/A 50688-2021 artfynd.xlsx", "A 50688-2021")</f>
        <v/>
      </c>
      <c r="X33">
        <f>HYPERLINK("https://klasma.github.io/Logging_2021/kartor/A 50688-2021 karta.png", "A 50688-2021")</f>
        <v/>
      </c>
      <c r="Y33">
        <f>HYPERLINK("https://klasma.github.io/Logging_2021/kartor_geotiff/A 50688-2021 georefererad karta.tif", "A 50688-2021")</f>
        <v/>
      </c>
      <c r="AA33">
        <f>HYPERLINK("https://klasma.github.io/Logging_2021/klagomål/A 50688-2021 FSC-klagomål.docx", "A 50688-2021")</f>
        <v/>
      </c>
      <c r="AB33">
        <f>HYPERLINK("https://klasma.github.io/Logging_2021/klagomålsmail/A 50688-2021 FSC-klagomål mail.docx", "A 50688-2021")</f>
        <v/>
      </c>
      <c r="AC33">
        <f>HYPERLINK("https://klasma.github.io/Logging_2021/tillsyn/A 50688-2021 tillsynsbegäran.docx", "A 50688-2021")</f>
        <v/>
      </c>
      <c r="AD33">
        <f>HYPERLINK("https://klasma.github.io/Logging_2021/tillsynsmail/A 50688-2021 tillsynsbegäran mail.docx", "A 50688-2021")</f>
        <v/>
      </c>
    </row>
    <row r="34" ht="15" customHeight="1">
      <c r="A34" t="inlineStr">
        <is>
          <t>A 3854-2024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46248</v>
      </c>
      <c r="F34" t="inlineStr">
        <is>
          <t>DALARNAS LÄN</t>
        </is>
      </c>
      <c r="G34" t="inlineStr">
        <is>
          <t>VANSBRO</t>
        </is>
      </c>
      <c r="H34" t="inlineStr">
        <is>
          <t>Kyrkan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HYPERLINK("https://klasma.github.io/Logging_2021/artfynd/A 3854-2024 artfynd.xlsx", "A 3854-2024")</f>
        <v/>
      </c>
      <c r="X34">
        <f>HYPERLINK("https://klasma.github.io/Logging_2021/kartor/A 3854-2024 karta.png", "A 3854-2024")</f>
        <v/>
      </c>
      <c r="Y34">
        <f>HYPERLINK("https://klasma.github.io/Logging_2021/kartor_geotiff/A 3854-2024 georefererad karta.tif", "A 3854-2024")</f>
        <v/>
      </c>
      <c r="AA34">
        <f>HYPERLINK("https://klasma.github.io/Logging_2021/klagomål/A 3854-2024 FSC-klagomål.docx", "A 3854-2024")</f>
        <v/>
      </c>
      <c r="AB34">
        <f>HYPERLINK("https://klasma.github.io/Logging_2021/klagomålsmail/A 3854-2024 FSC-klagomål mail.docx", "A 3854-2024")</f>
        <v/>
      </c>
      <c r="AC34">
        <f>HYPERLINK("https://klasma.github.io/Logging_2021/tillsyn/A 3854-2024 tillsynsbegäran.docx", "A 3854-2024")</f>
        <v/>
      </c>
      <c r="AD34">
        <f>HYPERLINK("https://klasma.github.io/Logging_2021/tillsynsmail/A 3854-2024 tillsynsbegäran mail.docx", "A 3854-2024")</f>
        <v/>
      </c>
    </row>
    <row r="35" ht="15" customHeight="1">
      <c r="A35" t="inlineStr">
        <is>
          <t>A 37219-2024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45539</v>
      </c>
      <c r="E35" s="1" t="n">
        <v>46248</v>
      </c>
      <c r="F35" t="inlineStr">
        <is>
          <t>DALARNAS LÄN</t>
        </is>
      </c>
      <c r="G35" t="inlineStr">
        <is>
          <t>VANSBRO</t>
        </is>
      </c>
      <c r="I35" t="n">
        <v>5.3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4</v>
      </c>
      <c r="V35" s="2" t="inlineStr">
        <is>
          <t>Tjäder</t>
        </is>
      </c>
      <c r="W35">
        <f>HYPERLINK("https://klasma.github.io/Logging_2021/artfynd/A 37219-2024 artfynd.xlsx", "A 37219-2024")</f>
        <v/>
      </c>
      <c r="X35">
        <f>HYPERLINK("https://klasma.github.io/Logging_2021/kartor/A 37219-2024 karta.png", "A 37219-2024")</f>
        <v/>
      </c>
      <c r="Y35">
        <f>HYPERLINK("https://klasma.github.io/Logging_2021/kartor_geotiff/A 37219-2024 georefererad karta.tif", "A 37219-2024")</f>
        <v/>
      </c>
      <c r="AA35">
        <f>HYPERLINK("https://klasma.github.io/Logging_2021/klagomål/A 37219-2024 FSC-klagomål.docx", "A 37219-2024")</f>
        <v/>
      </c>
      <c r="AB35">
        <f>HYPERLINK("https://klasma.github.io/Logging_2021/klagomålsmail/A 37219-2024 FSC-klagomål mail.docx", "A 37219-2024")</f>
        <v/>
      </c>
      <c r="AC35">
        <f>HYPERLINK("https://klasma.github.io/Logging_2021/tillsyn/A 37219-2024 tillsynsbegäran.docx", "A 37219-2024")</f>
        <v/>
      </c>
      <c r="AD35">
        <f>HYPERLINK("https://klasma.github.io/Logging_2021/tillsynsmail/A 37219-2024 tillsynsbegäran mail.docx", "A 37219-2024")</f>
        <v/>
      </c>
      <c r="AE35">
        <f>HYPERLINK("https://klasma.github.io/Logging_2021/fåglar/A 37219-2024 prioriterade fågelarter.docx", "A 37219-2024")</f>
        <v/>
      </c>
    </row>
    <row r="36" ht="15" customHeight="1">
      <c r="A36" t="inlineStr">
        <is>
          <t>A 54453-2024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45617</v>
      </c>
      <c r="E36" s="1" t="n">
        <v>46248</v>
      </c>
      <c r="F36" t="inlineStr">
        <is>
          <t>DALARNAS LÄN</t>
        </is>
      </c>
      <c r="G36" t="inlineStr">
        <is>
          <t>VANSBRO</t>
        </is>
      </c>
      <c r="I36" t="n">
        <v>0.4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Skarp dropptaggsvamp</t>
        </is>
      </c>
      <c r="W36">
        <f>HYPERLINK("https://klasma.github.io/Logging_2021/artfynd/A 54453-2024 artfynd.xlsx", "A 54453-2024")</f>
        <v/>
      </c>
      <c r="X36">
        <f>HYPERLINK("https://klasma.github.io/Logging_2021/kartor/A 54453-2024 karta.png", "A 54453-2024")</f>
        <v/>
      </c>
      <c r="Y36">
        <f>HYPERLINK("https://klasma.github.io/Logging_2021/kartor_geotiff/A 54453-2024 georefererad karta.tif", "A 54453-2024")</f>
        <v/>
      </c>
      <c r="AA36">
        <f>HYPERLINK("https://klasma.github.io/Logging_2021/klagomål/A 54453-2024 FSC-klagomål.docx", "A 54453-2024")</f>
        <v/>
      </c>
      <c r="AB36">
        <f>HYPERLINK("https://klasma.github.io/Logging_2021/klagomålsmail/A 54453-2024 FSC-klagomål mail.docx", "A 54453-2024")</f>
        <v/>
      </c>
      <c r="AC36">
        <f>HYPERLINK("https://klasma.github.io/Logging_2021/tillsyn/A 54453-2024 tillsynsbegäran.docx", "A 54453-2024")</f>
        <v/>
      </c>
      <c r="AD36">
        <f>HYPERLINK("https://klasma.github.io/Logging_2021/tillsynsmail/A 54453-2024 tillsynsbegäran mail.docx", "A 54453-2024")</f>
        <v/>
      </c>
    </row>
    <row r="37" ht="15" customHeight="1">
      <c r="A37" t="inlineStr">
        <is>
          <t>A 57810-2023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46248</v>
      </c>
      <c r="F37" t="inlineStr">
        <is>
          <t>DALARNAS LÄN</t>
        </is>
      </c>
      <c r="G37" t="inlineStr">
        <is>
          <t>VANSBRO</t>
        </is>
      </c>
      <c r="I37" t="n">
        <v>0.6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Järnsparv</t>
        </is>
      </c>
      <c r="W37">
        <f>HYPERLINK("https://klasma.github.io/Logging_2021/artfynd/A 57810-2023 artfynd.xlsx", "A 57810-2023")</f>
        <v/>
      </c>
      <c r="X37">
        <f>HYPERLINK("https://klasma.github.io/Logging_2021/kartor/A 57810-2023 karta.png", "A 57810-2023")</f>
        <v/>
      </c>
      <c r="Y37">
        <f>HYPERLINK("https://klasma.github.io/Logging_2021/kartor_geotiff/A 57810-2023 georefererad karta.tif", "A 57810-2023")</f>
        <v/>
      </c>
      <c r="AA37">
        <f>HYPERLINK("https://klasma.github.io/Logging_2021/klagomål/A 57810-2023 FSC-klagomål.docx", "A 57810-2023")</f>
        <v/>
      </c>
      <c r="AB37">
        <f>HYPERLINK("https://klasma.github.io/Logging_2021/klagomålsmail/A 57810-2023 FSC-klagomål mail.docx", "A 57810-2023")</f>
        <v/>
      </c>
      <c r="AC37">
        <f>HYPERLINK("https://klasma.github.io/Logging_2021/tillsyn/A 57810-2023 tillsynsbegäran.docx", "A 57810-2023")</f>
        <v/>
      </c>
      <c r="AD37">
        <f>HYPERLINK("https://klasma.github.io/Logging_2021/tillsynsmail/A 57810-2023 tillsynsbegäran mail.docx", "A 57810-2023")</f>
        <v/>
      </c>
      <c r="AE37">
        <f>HYPERLINK("https://klasma.github.io/Logging_2021/fåglar/A 57810-2023 prioriterade fågelarter.docx", "A 57810-2023")</f>
        <v/>
      </c>
    </row>
    <row r="38" ht="15" customHeight="1">
      <c r="A38" t="inlineStr">
        <is>
          <t>A 51579-2021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44462</v>
      </c>
      <c r="E38" s="1" t="n">
        <v>46248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14.3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Kolflarnlav</t>
        </is>
      </c>
      <c r="W38">
        <f>HYPERLINK("https://klasma.github.io/Logging_2021/artfynd/A 51579-2021 artfynd.xlsx", "A 51579-2021")</f>
        <v/>
      </c>
      <c r="X38">
        <f>HYPERLINK("https://klasma.github.io/Logging_2021/kartor/A 51579-2021 karta.png", "A 51579-2021")</f>
        <v/>
      </c>
      <c r="Y38">
        <f>HYPERLINK("https://klasma.github.io/Logging_2021/kartor_geotiff/A 51579-2021 georefererad karta.tif", "A 51579-2021")</f>
        <v/>
      </c>
      <c r="AA38">
        <f>HYPERLINK("https://klasma.github.io/Logging_2021/klagomål/A 51579-2021 FSC-klagomål.docx", "A 51579-2021")</f>
        <v/>
      </c>
      <c r="AB38">
        <f>HYPERLINK("https://klasma.github.io/Logging_2021/klagomålsmail/A 51579-2021 FSC-klagomål mail.docx", "A 51579-2021")</f>
        <v/>
      </c>
      <c r="AC38">
        <f>HYPERLINK("https://klasma.github.io/Logging_2021/tillsyn/A 51579-2021 tillsynsbegäran.docx", "A 51579-2021")</f>
        <v/>
      </c>
      <c r="AD38">
        <f>HYPERLINK("https://klasma.github.io/Logging_2021/tillsynsmail/A 51579-2021 tillsynsbegäran mail.docx", "A 51579-2021")</f>
        <v/>
      </c>
    </row>
    <row r="39" ht="15" customHeight="1">
      <c r="A39" t="inlineStr">
        <is>
          <t>A 27052-2025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45811</v>
      </c>
      <c r="E39" s="1" t="n">
        <v>46248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väst AB</t>
        </is>
      </c>
      <c r="I39" t="n">
        <v>1.9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HYPERLINK("https://klasma.github.io/Logging_2021/artfynd/A 27052-2025 artfynd.xlsx", "A 27052-2025")</f>
        <v/>
      </c>
      <c r="X39">
        <f>HYPERLINK("https://klasma.github.io/Logging_2021/kartor/A 27052-2025 karta.png", "A 27052-2025")</f>
        <v/>
      </c>
      <c r="Y39">
        <f>HYPERLINK("https://klasma.github.io/Logging_2021/kartor_geotiff/A 27052-2025 georefererad karta.tif", "A 27052-2025")</f>
        <v/>
      </c>
      <c r="AA39">
        <f>HYPERLINK("https://klasma.github.io/Logging_2021/klagomål/A 27052-2025 FSC-klagomål.docx", "A 27052-2025")</f>
        <v/>
      </c>
      <c r="AB39">
        <f>HYPERLINK("https://klasma.github.io/Logging_2021/klagomålsmail/A 27052-2025 FSC-klagomål mail.docx", "A 27052-2025")</f>
        <v/>
      </c>
      <c r="AC39">
        <f>HYPERLINK("https://klasma.github.io/Logging_2021/tillsyn/A 27052-2025 tillsynsbegäran.docx", "A 27052-2025")</f>
        <v/>
      </c>
      <c r="AD39">
        <f>HYPERLINK("https://klasma.github.io/Logging_2021/tillsynsmail/A 27052-2025 tillsynsbegäran mail.docx", "A 27052-2025")</f>
        <v/>
      </c>
      <c r="AE39">
        <f>HYPERLINK("https://klasma.github.io/Logging_2021/fåglar/A 27052-2025 prioriterade fågelarter.docx", "A 27052-2025")</f>
        <v/>
      </c>
    </row>
    <row r="40" ht="15" customHeight="1">
      <c r="A40" t="inlineStr">
        <is>
          <t>A 20076-2026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46136</v>
      </c>
      <c r="E40" s="1" t="n">
        <v>46248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13.2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Kransrams</t>
        </is>
      </c>
      <c r="W40">
        <f>HYPERLINK("https://klasma.github.io/Logging_2021/artfynd/A 20076-2026 artfynd.xlsx", "A 20076-2026")</f>
        <v/>
      </c>
      <c r="X40">
        <f>HYPERLINK("https://klasma.github.io/Logging_2021/kartor/A 20076-2026 karta.png", "A 20076-2026")</f>
        <v/>
      </c>
      <c r="Y40">
        <f>HYPERLINK("https://klasma.github.io/Logging_2021/kartor_geotiff/A 20076-2026 georefererad karta.tif", "A 20076-2026")</f>
        <v/>
      </c>
      <c r="AA40">
        <f>HYPERLINK("https://klasma.github.io/Logging_2021/klagomål/A 20076-2026 FSC-klagomål.docx", "A 20076-2026")</f>
        <v/>
      </c>
      <c r="AB40">
        <f>HYPERLINK("https://klasma.github.io/Logging_2021/klagomålsmail/A 20076-2026 FSC-klagomål mail.docx", "A 20076-2026")</f>
        <v/>
      </c>
      <c r="AC40">
        <f>HYPERLINK("https://klasma.github.io/Logging_2021/tillsyn/A 20076-2026 tillsynsbegäran.docx", "A 20076-2026")</f>
        <v/>
      </c>
      <c r="AD40">
        <f>HYPERLINK("https://klasma.github.io/Logging_2021/tillsynsmail/A 20076-2026 tillsynsbegäran mail.docx", "A 20076-2026")</f>
        <v/>
      </c>
    </row>
    <row r="41" ht="15" customHeight="1">
      <c r="A41" t="inlineStr">
        <is>
          <t>A 32917-2025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46248</v>
      </c>
      <c r="F41" t="inlineStr">
        <is>
          <t>DALARNAS LÄN</t>
        </is>
      </c>
      <c r="G41" t="inlineStr">
        <is>
          <t>VANSBRO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Garnlav</t>
        </is>
      </c>
      <c r="W41">
        <f>HYPERLINK("https://klasma.github.io/Logging_2021/artfynd/A 32917-2025 artfynd.xlsx", "A 32917-2025")</f>
        <v/>
      </c>
      <c r="X41">
        <f>HYPERLINK("https://klasma.github.io/Logging_2021/kartor/A 32917-2025 karta.png", "A 32917-2025")</f>
        <v/>
      </c>
      <c r="Y41">
        <f>HYPERLINK("https://klasma.github.io/Logging_2021/kartor_geotiff/A 32917-2025 georefererad karta.tif", "A 32917-2025")</f>
        <v/>
      </c>
      <c r="AA41">
        <f>HYPERLINK("https://klasma.github.io/Logging_2021/klagomål/A 32917-2025 FSC-klagomål.docx", "A 32917-2025")</f>
        <v/>
      </c>
      <c r="AB41">
        <f>HYPERLINK("https://klasma.github.io/Logging_2021/klagomålsmail/A 32917-2025 FSC-klagomål mail.docx", "A 32917-2025")</f>
        <v/>
      </c>
      <c r="AC41">
        <f>HYPERLINK("https://klasma.github.io/Logging_2021/tillsyn/A 32917-2025 tillsynsbegäran.docx", "A 32917-2025")</f>
        <v/>
      </c>
      <c r="AD41">
        <f>HYPERLINK("https://klasma.github.io/Logging_2021/tillsynsmail/A 32917-2025 tillsynsbegäran mail.docx", "A 32917-2025")</f>
        <v/>
      </c>
    </row>
    <row r="42" ht="15" customHeight="1">
      <c r="A42" t="inlineStr">
        <is>
          <t>A 33003-2025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46248</v>
      </c>
      <c r="F42" t="inlineStr">
        <is>
          <t>DALARNAS LÄN</t>
        </is>
      </c>
      <c r="G42" t="inlineStr">
        <is>
          <t>VANSBRO</t>
        </is>
      </c>
      <c r="I42" t="n">
        <v>2.3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3</v>
      </c>
      <c r="V42" s="2" t="inlineStr">
        <is>
          <t>Knärot</t>
        </is>
      </c>
      <c r="W42">
        <f>HYPERLINK("https://klasma.github.io/Logging_2021/artfynd/A 33003-2025 artfynd.xlsx", "A 33003-2025")</f>
        <v/>
      </c>
      <c r="X42">
        <f>HYPERLINK("https://klasma.github.io/Logging_2021/kartor/A 33003-2025 karta.png", "A 33003-2025")</f>
        <v/>
      </c>
      <c r="Y42">
        <f>HYPERLINK("https://klasma.github.io/Logging_2021/kartor_geotiff/A 33003-2025 georefererad karta.tif", "A 33003-2025")</f>
        <v/>
      </c>
      <c r="Z42">
        <f>HYPERLINK("https://klasma.github.io/Logging_2021/knärot/A 33003-2025 karta knärot.png", "A 33003-2025")</f>
        <v/>
      </c>
      <c r="AA42">
        <f>HYPERLINK("https://klasma.github.io/Logging_2021/klagomål/A 33003-2025 FSC-klagomål.docx", "A 33003-2025")</f>
        <v/>
      </c>
      <c r="AB42">
        <f>HYPERLINK("https://klasma.github.io/Logging_2021/klagomålsmail/A 33003-2025 FSC-klagomål mail.docx", "A 33003-2025")</f>
        <v/>
      </c>
      <c r="AC42">
        <f>HYPERLINK("https://klasma.github.io/Logging_2021/tillsyn/A 33003-2025 tillsynsbegäran.docx", "A 33003-2025")</f>
        <v/>
      </c>
      <c r="AD42">
        <f>HYPERLINK("https://klasma.github.io/Logging_2021/tillsynsmail/A 33003-2025 tillsynsbegäran mail.docx", "A 33003-2025")</f>
        <v/>
      </c>
    </row>
    <row r="43" ht="15" customHeight="1">
      <c r="A43" t="inlineStr">
        <is>
          <t>A 33250-2024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46248</v>
      </c>
      <c r="F43" t="inlineStr">
        <is>
          <t>DALARNAS LÄN</t>
        </is>
      </c>
      <c r="G43" t="inlineStr">
        <is>
          <t>VANSBRO</t>
        </is>
      </c>
      <c r="I43" t="n">
        <v>6.8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Reliktbock</t>
        </is>
      </c>
      <c r="W43">
        <f>HYPERLINK("https://klasma.github.io/Logging_2021/artfynd/A 33250-2024 artfynd.xlsx", "A 33250-2024")</f>
        <v/>
      </c>
      <c r="X43">
        <f>HYPERLINK("https://klasma.github.io/Logging_2021/kartor/A 33250-2024 karta.png", "A 33250-2024")</f>
        <v/>
      </c>
      <c r="Y43">
        <f>HYPERLINK("https://klasma.github.io/Logging_2021/kartor_geotiff/A 33250-2024 georefererad karta.tif", "A 33250-2024")</f>
        <v/>
      </c>
      <c r="AA43">
        <f>HYPERLINK("https://klasma.github.io/Logging_2021/klagomål/A 33250-2024 FSC-klagomål.docx", "A 33250-2024")</f>
        <v/>
      </c>
      <c r="AB43">
        <f>HYPERLINK("https://klasma.github.io/Logging_2021/klagomålsmail/A 33250-2024 FSC-klagomål mail.docx", "A 33250-2024")</f>
        <v/>
      </c>
      <c r="AC43">
        <f>HYPERLINK("https://klasma.github.io/Logging_2021/tillsyn/A 33250-2024 tillsynsbegäran.docx", "A 33250-2024")</f>
        <v/>
      </c>
      <c r="AD43">
        <f>HYPERLINK("https://klasma.github.io/Logging_2021/tillsynsmail/A 33250-2024 tillsynsbegäran mail.docx", "A 33250-2024")</f>
        <v/>
      </c>
    </row>
    <row r="44" ht="15" customHeight="1">
      <c r="A44" t="inlineStr">
        <is>
          <t>A 48109-2025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46248</v>
      </c>
      <c r="F44" t="inlineStr">
        <is>
          <t>DALARNAS LÄN</t>
        </is>
      </c>
      <c r="G44" t="inlineStr">
        <is>
          <t>VANSBRO</t>
        </is>
      </c>
      <c r="I44" t="n">
        <v>0.8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Gränsticka</t>
        </is>
      </c>
      <c r="W44">
        <f>HYPERLINK("https://klasma.github.io/Logging_2021/artfynd/A 48109-2025 artfynd.xlsx", "A 48109-2025")</f>
        <v/>
      </c>
      <c r="X44">
        <f>HYPERLINK("https://klasma.github.io/Logging_2021/kartor/A 48109-2025 karta.png", "A 48109-2025")</f>
        <v/>
      </c>
      <c r="Y44">
        <f>HYPERLINK("https://klasma.github.io/Logging_2021/kartor_geotiff/A 48109-2025 georefererad karta.tif", "A 48109-2025")</f>
        <v/>
      </c>
      <c r="AA44">
        <f>HYPERLINK("https://klasma.github.io/Logging_2021/klagomål/A 48109-2025 FSC-klagomål.docx", "A 48109-2025")</f>
        <v/>
      </c>
      <c r="AB44">
        <f>HYPERLINK("https://klasma.github.io/Logging_2021/klagomålsmail/A 48109-2025 FSC-klagomål mail.docx", "A 48109-2025")</f>
        <v/>
      </c>
      <c r="AC44">
        <f>HYPERLINK("https://klasma.github.io/Logging_2021/tillsyn/A 48109-2025 tillsynsbegäran.docx", "A 48109-2025")</f>
        <v/>
      </c>
      <c r="AD44">
        <f>HYPERLINK("https://klasma.github.io/Logging_2021/tillsynsmail/A 48109-2025 tillsynsbegäran mail.docx", "A 48109-2025")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46248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HYPERLINK("https://klasma.github.io/Logging_2021/artfynd/A 26756-2026 artfynd.xlsx", "A 26756-2026")</f>
        <v/>
      </c>
      <c r="X45">
        <f>HYPERLINK("https://klasma.github.io/Logging_2021/kartor/A 26756-2026 karta.png", "A 26756-2026")</f>
        <v/>
      </c>
      <c r="Y45">
        <f>HYPERLINK("https://klasma.github.io/Logging_2021/kartor_geotiff/A 26756-2026 georefererad karta.tif", "A 26756-2026")</f>
        <v/>
      </c>
      <c r="AA45">
        <f>HYPERLINK("https://klasma.github.io/Logging_2021/klagomål/A 26756-2026 FSC-klagomål.docx", "A 26756-2026")</f>
        <v/>
      </c>
      <c r="AB45">
        <f>HYPERLINK("https://klasma.github.io/Logging_2021/klagomålsmail/A 26756-2026 FSC-klagomål mail.docx", "A 26756-2026")</f>
        <v/>
      </c>
      <c r="AC45">
        <f>HYPERLINK("https://klasma.github.io/Logging_2021/tillsyn/A 26756-2026 tillsynsbegäran.docx", "A 26756-2026")</f>
        <v/>
      </c>
      <c r="AD45">
        <f>HYPERLINK("https://klasma.github.io/Logging_2021/tillsynsmail/A 26756-2026 tillsynsbegäran mail.docx", "A 26756-2026")</f>
        <v/>
      </c>
      <c r="AE45">
        <f>HYPERLINK("https://klasma.github.io/Logging_2021/fåglar/A 26756-2026 prioriterade fågelarter.docx", "A 26756-2026")</f>
        <v/>
      </c>
    </row>
    <row r="46" ht="15" customHeight="1">
      <c r="A46" t="inlineStr">
        <is>
          <t>A 3918-2026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46248</v>
      </c>
      <c r="F46" t="inlineStr">
        <is>
          <t>DALARNAS LÄN</t>
        </is>
      </c>
      <c r="G46" t="inlineStr">
        <is>
          <t>VANSBRO</t>
        </is>
      </c>
      <c r="I46" t="n">
        <v>6.2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Duvhök</t>
        </is>
      </c>
      <c r="W46">
        <f>HYPERLINK("https://klasma.github.io/Logging_2021/artfynd/A 3918-2026 artfynd.xlsx", "A 3918-2026")</f>
        <v/>
      </c>
      <c r="X46">
        <f>HYPERLINK("https://klasma.github.io/Logging_2021/kartor/A 3918-2026 karta.png", "A 3918-2026")</f>
        <v/>
      </c>
      <c r="Y46">
        <f>HYPERLINK("https://klasma.github.io/Logging_2021/kartor_geotiff/A 3918-2026 georefererad karta.tif", "A 3918-2026")</f>
        <v/>
      </c>
      <c r="AA46">
        <f>HYPERLINK("https://klasma.github.io/Logging_2021/klagomål/A 3918-2026 FSC-klagomål.docx", "A 3918-2026")</f>
        <v/>
      </c>
      <c r="AB46">
        <f>HYPERLINK("https://klasma.github.io/Logging_2021/klagomålsmail/A 3918-2026 FSC-klagomål mail.docx", "A 3918-2026")</f>
        <v/>
      </c>
      <c r="AC46">
        <f>HYPERLINK("https://klasma.github.io/Logging_2021/tillsyn/A 3918-2026 tillsynsbegäran.docx", "A 3918-2026")</f>
        <v/>
      </c>
      <c r="AD46">
        <f>HYPERLINK("https://klasma.github.io/Logging_2021/tillsynsmail/A 3918-2026 tillsynsbegäran mail.docx", "A 3918-2026")</f>
        <v/>
      </c>
      <c r="AE46">
        <f>HYPERLINK("https://klasma.github.io/Logging_2021/fåglar/A 3918-2026 prioriterade fågelarter.docx", "A 3918-2026")</f>
        <v/>
      </c>
    </row>
    <row r="47" ht="15" customHeight="1">
      <c r="A47" t="inlineStr">
        <is>
          <t>A 5659-2026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46051</v>
      </c>
      <c r="E47" s="1" t="n">
        <v>46248</v>
      </c>
      <c r="F47" t="inlineStr">
        <is>
          <t>DALARNAS LÄN</t>
        </is>
      </c>
      <c r="G47" t="inlineStr">
        <is>
          <t>VANSBRO</t>
        </is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rörsvepemossa</t>
        </is>
      </c>
      <c r="W47">
        <f>HYPERLINK("https://klasma.github.io/Logging_2021/artfynd/A 5659-2026 artfynd.xlsx", "A 5659-2026")</f>
        <v/>
      </c>
      <c r="X47">
        <f>HYPERLINK("https://klasma.github.io/Logging_2021/kartor/A 5659-2026 karta.png", "A 5659-2026")</f>
        <v/>
      </c>
      <c r="Y47">
        <f>HYPERLINK("https://klasma.github.io/Logging_2021/kartor_geotiff/A 5659-2026 georefererad karta.tif", "A 5659-2026")</f>
        <v/>
      </c>
      <c r="AA47">
        <f>HYPERLINK("https://klasma.github.io/Logging_2021/klagomål/A 5659-2026 FSC-klagomål.docx", "A 5659-2026")</f>
        <v/>
      </c>
      <c r="AB47">
        <f>HYPERLINK("https://klasma.github.io/Logging_2021/klagomålsmail/A 5659-2026 FSC-klagomål mail.docx", "A 5659-2026")</f>
        <v/>
      </c>
      <c r="AC47">
        <f>HYPERLINK("https://klasma.github.io/Logging_2021/tillsyn/A 5659-2026 tillsynsbegäran.docx", "A 5659-2026")</f>
        <v/>
      </c>
      <c r="AD47">
        <f>HYPERLINK("https://klasma.github.io/Logging_2021/tillsynsmail/A 5659-2026 tillsynsbegäran mail.docx", "A 5659-2026")</f>
        <v/>
      </c>
    </row>
    <row r="48" ht="15" customHeight="1">
      <c r="A48" t="inlineStr">
        <is>
          <t>A 52675-2025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45956</v>
      </c>
      <c r="E48" s="1" t="n">
        <v>46248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4.5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Motaggsvamp</t>
        </is>
      </c>
      <c r="W48">
        <f>HYPERLINK("https://klasma.github.io/Logging_2021/artfynd/A 52675-2025 artfynd.xlsx", "A 52675-2025")</f>
        <v/>
      </c>
      <c r="X48">
        <f>HYPERLINK("https://klasma.github.io/Logging_2021/kartor/A 52675-2025 karta.png", "A 52675-2025")</f>
        <v/>
      </c>
      <c r="Y48">
        <f>HYPERLINK("https://klasma.github.io/Logging_2021/kartor_geotiff/A 52675-2025 georefererad karta.tif", "A 52675-2025")</f>
        <v/>
      </c>
      <c r="AA48">
        <f>HYPERLINK("https://klasma.github.io/Logging_2021/klagomål/A 52675-2025 FSC-klagomål.docx", "A 52675-2025")</f>
        <v/>
      </c>
      <c r="AB48">
        <f>HYPERLINK("https://klasma.github.io/Logging_2021/klagomålsmail/A 52675-2025 FSC-klagomål mail.docx", "A 52675-2025")</f>
        <v/>
      </c>
      <c r="AC48">
        <f>HYPERLINK("https://klasma.github.io/Logging_2021/tillsyn/A 52675-2025 tillsynsbegäran.docx", "A 52675-2025")</f>
        <v/>
      </c>
      <c r="AD48">
        <f>HYPERLINK("https://klasma.github.io/Logging_2021/tillsynsmail/A 52675-2025 tillsynsbegäran mail.docx", "A 52675-2025")</f>
        <v/>
      </c>
    </row>
    <row r="49" ht="15" customHeight="1">
      <c r="A49" t="inlineStr">
        <is>
          <t>S 146-2023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44942</v>
      </c>
      <c r="E49" s="1" t="n">
        <v>46248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öst AB</t>
        </is>
      </c>
      <c r="I49" t="n">
        <v>8.9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HYPERLINK("https://klasma.github.io/Logging_2021/artfynd/S 146-2023 artfynd.xlsx", "S 146-2023")</f>
        <v/>
      </c>
      <c r="X49">
        <f>HYPERLINK("https://klasma.github.io/Logging_2021/kartor/S 146-2023 karta.png", "S 146-2023")</f>
        <v/>
      </c>
      <c r="Y49">
        <f>HYPERLINK("https://klasma.github.io/Logging_2021/kartor_geotiff/S 146-2023 georefererad karta.tif", "S 146-2023")</f>
        <v/>
      </c>
      <c r="AA49">
        <f>HYPERLINK("https://klasma.github.io/Logging_2021/klagomål/S 146-2023 FSC-klagomål.docx", "S 146-2023")</f>
        <v/>
      </c>
      <c r="AB49">
        <f>HYPERLINK("https://klasma.github.io/Logging_2021/klagomålsmail/S 146-2023 FSC-klagomål mail.docx", "S 146-2023")</f>
        <v/>
      </c>
      <c r="AC49">
        <f>HYPERLINK("https://klasma.github.io/Logging_2021/tillsyn/S 146-2023 tillsynsbegäran.docx", "S 146-2023")</f>
        <v/>
      </c>
      <c r="AD49">
        <f>HYPERLINK("https://klasma.github.io/Logging_2021/tillsynsmail/S 146-2023 tillsynsbegäran mail.docx", "S 146-2023")</f>
        <v/>
      </c>
    </row>
    <row r="50" ht="15" customHeight="1">
      <c r="A50" t="inlineStr">
        <is>
          <t>S 940-2024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45377</v>
      </c>
      <c r="E50" s="1" t="n">
        <v>46248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158.9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HYPERLINK("https://klasma.github.io/Logging_2021/artfynd/S 940-2024 artfynd.xlsx", "S 940-2024")</f>
        <v/>
      </c>
      <c r="X50">
        <f>HYPERLINK("https://klasma.github.io/Logging_2021/kartor/S 940-2024 karta.png", "S 940-2024")</f>
        <v/>
      </c>
      <c r="Y50">
        <f>HYPERLINK("https://klasma.github.io/Logging_2021/kartor_geotiff/S 940-2024 georefererad karta.tif", "S 940-2024")</f>
        <v/>
      </c>
      <c r="AA50">
        <f>HYPERLINK("https://klasma.github.io/Logging_2021/klagomål/S 940-2024 FSC-klagomål.docx", "S 940-2024")</f>
        <v/>
      </c>
      <c r="AB50">
        <f>HYPERLINK("https://klasma.github.io/Logging_2021/klagomålsmail/S 940-2024 FSC-klagomål mail.docx", "S 940-2024")</f>
        <v/>
      </c>
      <c r="AC50">
        <f>HYPERLINK("https://klasma.github.io/Logging_2021/tillsyn/S 940-2024 tillsynsbegäran.docx", "S 940-2024")</f>
        <v/>
      </c>
      <c r="AD50">
        <f>HYPERLINK("https://klasma.github.io/Logging_2021/tillsynsmail/S 940-2024 tillsynsbegäran mail.docx", "S 940-2024")</f>
        <v/>
      </c>
    </row>
    <row r="51" ht="15" customHeight="1">
      <c r="A51" t="inlineStr">
        <is>
          <t>A 54023-2022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44881</v>
      </c>
      <c r="E51" s="1" t="n">
        <v>46248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48977-2021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46248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29497-2022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46248</v>
      </c>
      <c r="F53" t="inlineStr">
        <is>
          <t>DALARNAS LÄN</t>
        </is>
      </c>
      <c r="G53" t="inlineStr">
        <is>
          <t>VANSBRO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46248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46248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46248</v>
      </c>
      <c r="F56" t="inlineStr">
        <is>
          <t>DALARNAS LÄN</t>
        </is>
      </c>
      <c r="G56" t="inlineStr">
        <is>
          <t>VANSBRO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44708</v>
      </c>
      <c r="E57" s="1" t="n">
        <v>46248</v>
      </c>
      <c r="F57" t="inlineStr">
        <is>
          <t>DALARNAS LÄN</t>
        </is>
      </c>
      <c r="G57" t="inlineStr">
        <is>
          <t>VANSBRO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17804-2022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44673</v>
      </c>
      <c r="E58" s="1" t="n">
        <v>46248</v>
      </c>
      <c r="F58" t="inlineStr">
        <is>
          <t>DALARNAS LÄN</t>
        </is>
      </c>
      <c r="G58" t="inlineStr">
        <is>
          <t>VANSBRO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26690-2022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44739</v>
      </c>
      <c r="E59" s="1" t="n">
        <v>46248</v>
      </c>
      <c r="F59" t="inlineStr">
        <is>
          <t>DALARNAS LÄN</t>
        </is>
      </c>
      <c r="G59" t="inlineStr">
        <is>
          <t>VANSBRO</t>
        </is>
      </c>
      <c r="H59" t="inlineStr">
        <is>
          <t>Kyrkan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44742</v>
      </c>
      <c r="E60" s="1" t="n">
        <v>46248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öst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46248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46248</v>
      </c>
      <c r="F62" t="inlineStr">
        <is>
          <t>DALARNAS LÄN</t>
        </is>
      </c>
      <c r="G62" t="inlineStr">
        <is>
          <t>VANSBRO</t>
        </is>
      </c>
      <c r="H62" t="inlineStr">
        <is>
          <t>Kommuner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31383-2022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44774</v>
      </c>
      <c r="E63" s="1" t="n">
        <v>46248</v>
      </c>
      <c r="F63" t="inlineStr">
        <is>
          <t>DALARNAS LÄN</t>
        </is>
      </c>
      <c r="G63" t="inlineStr">
        <is>
          <t>VANSBRO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46248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46248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46248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8890-2022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44614</v>
      </c>
      <c r="E67" s="1" t="n">
        <v>46248</v>
      </c>
      <c r="F67" t="inlineStr">
        <is>
          <t>DALARNAS LÄN</t>
        </is>
      </c>
      <c r="G67" t="inlineStr">
        <is>
          <t>VANSBRO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46248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46248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46248</v>
      </c>
      <c r="F70" t="inlineStr">
        <is>
          <t>DALARNAS LÄN</t>
        </is>
      </c>
      <c r="G70" t="inlineStr">
        <is>
          <t>VANSBRO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46248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46248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46248</v>
      </c>
      <c r="F73" t="inlineStr">
        <is>
          <t>DALARNAS LÄN</t>
        </is>
      </c>
      <c r="G73" t="inlineStr">
        <is>
          <t>VANSBRO</t>
        </is>
      </c>
      <c r="H73" t="inlineStr">
        <is>
          <t>Övriga statliga verk och myndigheter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46248</v>
      </c>
      <c r="F74" t="inlineStr">
        <is>
          <t>DALARNAS LÄN</t>
        </is>
      </c>
      <c r="G74" t="inlineStr">
        <is>
          <t>VANSBRO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46248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46801-2021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44446</v>
      </c>
      <c r="E76" s="1" t="n">
        <v>46248</v>
      </c>
      <c r="F76" t="inlineStr">
        <is>
          <t>DALARNAS LÄN</t>
        </is>
      </c>
      <c r="G76" t="inlineStr">
        <is>
          <t>VANSBRO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56098-2021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44477</v>
      </c>
      <c r="E77" s="1" t="n">
        <v>46248</v>
      </c>
      <c r="F77" t="inlineStr">
        <is>
          <t>DALARNAS LÄN</t>
        </is>
      </c>
      <c r="G77" t="inlineStr">
        <is>
          <t>VANSBRO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45078</v>
      </c>
      <c r="E78" s="1" t="n">
        <v>46248</v>
      </c>
      <c r="F78" t="inlineStr">
        <is>
          <t>DALARNAS LÄN</t>
        </is>
      </c>
      <c r="G78" t="inlineStr">
        <is>
          <t>VANSBRO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46248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11408-2025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45726</v>
      </c>
      <c r="E80" s="1" t="n">
        <v>46248</v>
      </c>
      <c r="F80" t="inlineStr">
        <is>
          <t>DALARNAS LÄN</t>
        </is>
      </c>
      <c r="G80" t="inlineStr">
        <is>
          <t>VANSBRO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45608-2023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45194</v>
      </c>
      <c r="E81" s="1" t="n">
        <v>46248</v>
      </c>
      <c r="F81" t="inlineStr">
        <is>
          <t>DALARNAS LÄN</t>
        </is>
      </c>
      <c r="G81" t="inlineStr">
        <is>
          <t>VANSBRO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59435-2023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45254</v>
      </c>
      <c r="E82" s="1" t="n">
        <v>46248</v>
      </c>
      <c r="F82" t="inlineStr">
        <is>
          <t>DALARNAS LÄN</t>
        </is>
      </c>
      <c r="G82" t="inlineStr">
        <is>
          <t>VANSBRO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44643</v>
      </c>
      <c r="E83" s="1" t="n">
        <v>46248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21418-2023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45063</v>
      </c>
      <c r="E84" s="1" t="n">
        <v>46248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45691</v>
      </c>
      <c r="E85" s="1" t="n">
        <v>46248</v>
      </c>
      <c r="F85" t="inlineStr">
        <is>
          <t>DALARNAS LÄN</t>
        </is>
      </c>
      <c r="G85" t="inlineStr">
        <is>
          <t>VANSBRO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44880</v>
      </c>
      <c r="E86" s="1" t="n">
        <v>46248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45204</v>
      </c>
      <c r="E87" s="1" t="n">
        <v>46248</v>
      </c>
      <c r="F87" t="inlineStr">
        <is>
          <t>DALARNAS LÄN</t>
        </is>
      </c>
      <c r="G87" t="inlineStr">
        <is>
          <t>VANSBRO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24982-2023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45085</v>
      </c>
      <c r="E88" s="1" t="n">
        <v>46248</v>
      </c>
      <c r="F88" t="inlineStr">
        <is>
          <t>DALARNAS LÄN</t>
        </is>
      </c>
      <c r="G88" t="inlineStr">
        <is>
          <t>VANSBRO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46248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42824-2023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45182</v>
      </c>
      <c r="E90" s="1" t="n">
        <v>46248</v>
      </c>
      <c r="F90" t="inlineStr">
        <is>
          <t>DALARNAS LÄN</t>
        </is>
      </c>
      <c r="G90" t="inlineStr">
        <is>
          <t>VANSBRO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46248</v>
      </c>
      <c r="F91" t="inlineStr">
        <is>
          <t>DALARNAS LÄN</t>
        </is>
      </c>
      <c r="G91" t="inlineStr">
        <is>
          <t>VANSBRO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41371-2022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44826</v>
      </c>
      <c r="E92" s="1" t="n">
        <v>46248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45443</v>
      </c>
      <c r="E93" s="1" t="n">
        <v>46248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45689</v>
      </c>
      <c r="E94" s="1" t="n">
        <v>46248</v>
      </c>
      <c r="F94" t="inlineStr">
        <is>
          <t>DALARNAS LÄN</t>
        </is>
      </c>
      <c r="G94" t="inlineStr">
        <is>
          <t>VANSBRO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45544</v>
      </c>
      <c r="E95" s="1" t="n">
        <v>46248</v>
      </c>
      <c r="F95" t="inlineStr">
        <is>
          <t>DALARNAS LÄN</t>
        </is>
      </c>
      <c r="G95" t="inlineStr">
        <is>
          <t>VANSBRO</t>
        </is>
      </c>
      <c r="H95" t="inlineStr">
        <is>
          <t>Övriga statliga verk och myndigheter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45516</v>
      </c>
      <c r="E96" s="1" t="n">
        <v>46248</v>
      </c>
      <c r="F96" t="inlineStr">
        <is>
          <t>DALARNAS LÄN</t>
        </is>
      </c>
      <c r="G96" t="inlineStr">
        <is>
          <t>VANSBRO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35365-2022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44798</v>
      </c>
      <c r="E97" s="1" t="n">
        <v>46248</v>
      </c>
      <c r="F97" t="inlineStr">
        <is>
          <t>DALARNAS LÄN</t>
        </is>
      </c>
      <c r="G97" t="inlineStr">
        <is>
          <t>VANSBRO</t>
        </is>
      </c>
      <c r="H97" t="inlineStr">
        <is>
          <t>Kommuner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34882-2022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44796</v>
      </c>
      <c r="E98" s="1" t="n">
        <v>46248</v>
      </c>
      <c r="F98" t="inlineStr">
        <is>
          <t>DALARNAS LÄN</t>
        </is>
      </c>
      <c r="G98" t="inlineStr">
        <is>
          <t>VANSBRO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45214</v>
      </c>
      <c r="E99" s="1" t="n">
        <v>46248</v>
      </c>
      <c r="F99" t="inlineStr">
        <is>
          <t>DALARNAS LÄN</t>
        </is>
      </c>
      <c r="G99" t="inlineStr">
        <is>
          <t>VANSBRO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46248</v>
      </c>
      <c r="F100" t="inlineStr">
        <is>
          <t>DALARNAS LÄN</t>
        </is>
      </c>
      <c r="G100" t="inlineStr">
        <is>
          <t>VANSBRO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38253-2022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46248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46248</v>
      </c>
      <c r="F102" t="inlineStr">
        <is>
          <t>DALARNAS LÄN</t>
        </is>
      </c>
      <c r="G102" t="inlineStr">
        <is>
          <t>VANSBRO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50258-2024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45600</v>
      </c>
      <c r="E103" s="1" t="n">
        <v>46248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öst AB</t>
        </is>
      </c>
      <c r="I103" t="n">
        <v>45.8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29574-2022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46248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öst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29575-2022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46248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öst AB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44816</v>
      </c>
      <c r="E106" s="1" t="n">
        <v>46248</v>
      </c>
      <c r="F106" t="inlineStr">
        <is>
          <t>DALARNAS LÄN</t>
        </is>
      </c>
      <c r="G106" t="inlineStr">
        <is>
          <t>VANSBRO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45520</v>
      </c>
      <c r="E107" s="1" t="n">
        <v>46248</v>
      </c>
      <c r="F107" t="inlineStr">
        <is>
          <t>DALARNAS LÄN</t>
        </is>
      </c>
      <c r="G107" t="inlineStr">
        <is>
          <t>VANSBRO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35943-2024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45533</v>
      </c>
      <c r="E108" s="1" t="n">
        <v>46248</v>
      </c>
      <c r="F108" t="inlineStr">
        <is>
          <t>DALARNAS LÄN</t>
        </is>
      </c>
      <c r="G108" t="inlineStr">
        <is>
          <t>VANSBRO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72635-2021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46248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45147</v>
      </c>
      <c r="E110" s="1" t="n">
        <v>46248</v>
      </c>
      <c r="F110" t="inlineStr">
        <is>
          <t>DALARNAS LÄN</t>
        </is>
      </c>
      <c r="G110" t="inlineStr">
        <is>
          <t>VANSBRO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45689</v>
      </c>
      <c r="E111" s="1" t="n">
        <v>46248</v>
      </c>
      <c r="F111" t="inlineStr">
        <is>
          <t>DALARNAS LÄN</t>
        </is>
      </c>
      <c r="G111" t="inlineStr">
        <is>
          <t>VANSBRO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43658-2023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45187</v>
      </c>
      <c r="E112" s="1" t="n">
        <v>46248</v>
      </c>
      <c r="F112" t="inlineStr">
        <is>
          <t>DALARNAS LÄN</t>
        </is>
      </c>
      <c r="G112" t="inlineStr">
        <is>
          <t>VANSBRO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45637</v>
      </c>
      <c r="E113" s="1" t="n">
        <v>46248</v>
      </c>
      <c r="F113" t="inlineStr">
        <is>
          <t>DALARNAS LÄN</t>
        </is>
      </c>
      <c r="G113" t="inlineStr">
        <is>
          <t>VANSBRO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13639-2022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44648</v>
      </c>
      <c r="E114" s="1" t="n">
        <v>46248</v>
      </c>
      <c r="F114" t="inlineStr">
        <is>
          <t>DALARNAS LÄN</t>
        </is>
      </c>
      <c r="G114" t="inlineStr">
        <is>
          <t>VANSBRO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921-2025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45665</v>
      </c>
      <c r="E115" s="1" t="n">
        <v>46248</v>
      </c>
      <c r="F115" t="inlineStr">
        <is>
          <t>DALARNAS LÄN</t>
        </is>
      </c>
      <c r="G115" t="inlineStr">
        <is>
          <t>VANSBRO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44980</v>
      </c>
      <c r="E116" s="1" t="n">
        <v>46248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45453</v>
      </c>
      <c r="E117" s="1" t="n">
        <v>46248</v>
      </c>
      <c r="F117" t="inlineStr">
        <is>
          <t>DALARNAS LÄN</t>
        </is>
      </c>
      <c r="G117" t="inlineStr">
        <is>
          <t>VANSBRO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39336-2023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45166</v>
      </c>
      <c r="E118" s="1" t="n">
        <v>46248</v>
      </c>
      <c r="F118" t="inlineStr">
        <is>
          <t>DALARNAS LÄN</t>
        </is>
      </c>
      <c r="G118" t="inlineStr">
        <is>
          <t>VANSBRO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45644</v>
      </c>
      <c r="E119" s="1" t="n">
        <v>46248</v>
      </c>
      <c r="F119" t="inlineStr">
        <is>
          <t>DALARNAS LÄN</t>
        </is>
      </c>
      <c r="G119" t="inlineStr">
        <is>
          <t>VANSBRO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44679-2023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45189</v>
      </c>
      <c r="E120" s="1" t="n">
        <v>46248</v>
      </c>
      <c r="F120" t="inlineStr">
        <is>
          <t>DALARNAS LÄN</t>
        </is>
      </c>
      <c r="G120" t="inlineStr">
        <is>
          <t>VANSBRO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32383-2024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45512</v>
      </c>
      <c r="E121" s="1" t="n">
        <v>46248</v>
      </c>
      <c r="F121" t="inlineStr">
        <is>
          <t>DALARNAS LÄN</t>
        </is>
      </c>
      <c r="G121" t="inlineStr">
        <is>
          <t>VANSBRO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45174</v>
      </c>
      <c r="E122" s="1" t="n">
        <v>46248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55570-2023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45238</v>
      </c>
      <c r="E123" s="1" t="n">
        <v>46248</v>
      </c>
      <c r="F123" t="inlineStr">
        <is>
          <t>DALARNAS LÄN</t>
        </is>
      </c>
      <c r="G123" t="inlineStr">
        <is>
          <t>VANSBRO</t>
        </is>
      </c>
      <c r="H123" t="inlineStr">
        <is>
          <t>Övriga statliga verk och myndigheter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26658-2022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44739</v>
      </c>
      <c r="E124" s="1" t="n">
        <v>46248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44970</v>
      </c>
      <c r="E125" s="1" t="n">
        <v>46248</v>
      </c>
      <c r="F125" t="inlineStr">
        <is>
          <t>DALARNAS LÄN</t>
        </is>
      </c>
      <c r="G125" t="inlineStr">
        <is>
          <t>VANSBRO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46248</v>
      </c>
      <c r="F126" t="inlineStr">
        <is>
          <t>DALARNAS LÄN</t>
        </is>
      </c>
      <c r="G126" t="inlineStr">
        <is>
          <t>VANSBRO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45772</v>
      </c>
      <c r="E127" s="1" t="n">
        <v>46248</v>
      </c>
      <c r="F127" t="inlineStr">
        <is>
          <t>DALARNAS LÄN</t>
        </is>
      </c>
      <c r="G127" t="inlineStr">
        <is>
          <t>VANSBRO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16827-2025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46248</v>
      </c>
      <c r="F128" t="inlineStr">
        <is>
          <t>DALARNAS LÄN</t>
        </is>
      </c>
      <c r="G128" t="inlineStr">
        <is>
          <t>VANSBRO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51396-2022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44869</v>
      </c>
      <c r="E129" s="1" t="n">
        <v>46248</v>
      </c>
      <c r="F129" t="inlineStr">
        <is>
          <t>DALARNAS LÄN</t>
        </is>
      </c>
      <c r="G129" t="inlineStr">
        <is>
          <t>VANSBRO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46248</v>
      </c>
      <c r="F130" t="inlineStr">
        <is>
          <t>DALARNAS LÄN</t>
        </is>
      </c>
      <c r="G130" t="inlineStr">
        <is>
          <t>VANSBRO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45646</v>
      </c>
      <c r="E131" s="1" t="n">
        <v>46248</v>
      </c>
      <c r="F131" t="inlineStr">
        <is>
          <t>DALARNAS LÄN</t>
        </is>
      </c>
      <c r="G131" t="inlineStr">
        <is>
          <t>VANSBRO</t>
        </is>
      </c>
      <c r="I131" t="n">
        <v>8.800000000000001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15972-2025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45749</v>
      </c>
      <c r="E132" s="1" t="n">
        <v>46248</v>
      </c>
      <c r="F132" t="inlineStr">
        <is>
          <t>DALARNAS LÄN</t>
        </is>
      </c>
      <c r="G132" t="inlineStr">
        <is>
          <t>VANSBRO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8694-2023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44972</v>
      </c>
      <c r="E133" s="1" t="n">
        <v>46248</v>
      </c>
      <c r="F133" t="inlineStr">
        <is>
          <t>DALARNAS LÄN</t>
        </is>
      </c>
      <c r="G133" t="inlineStr">
        <is>
          <t>VANSBRO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44805</v>
      </c>
      <c r="E134" s="1" t="n">
        <v>46248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45689</v>
      </c>
      <c r="E135" s="1" t="n">
        <v>46248</v>
      </c>
      <c r="F135" t="inlineStr">
        <is>
          <t>DALARNAS LÄN</t>
        </is>
      </c>
      <c r="G135" t="inlineStr">
        <is>
          <t>VANSBRO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45299</v>
      </c>
      <c r="E136" s="1" t="n">
        <v>46248</v>
      </c>
      <c r="F136" t="inlineStr">
        <is>
          <t>DALARNAS LÄN</t>
        </is>
      </c>
      <c r="G136" t="inlineStr">
        <is>
          <t>VANSBRO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45689</v>
      </c>
      <c r="E137" s="1" t="n">
        <v>46248</v>
      </c>
      <c r="F137" t="inlineStr">
        <is>
          <t>DALARNAS LÄN</t>
        </is>
      </c>
      <c r="G137" t="inlineStr">
        <is>
          <t>VANSBRO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45689</v>
      </c>
      <c r="E138" s="1" t="n">
        <v>46248</v>
      </c>
      <c r="F138" t="inlineStr">
        <is>
          <t>DALARNAS LÄN</t>
        </is>
      </c>
      <c r="G138" t="inlineStr">
        <is>
          <t>VANSBRO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45631</v>
      </c>
      <c r="E139" s="1" t="n">
        <v>46248</v>
      </c>
      <c r="F139" t="inlineStr">
        <is>
          <t>DALARNAS LÄN</t>
        </is>
      </c>
      <c r="G139" t="inlineStr">
        <is>
          <t>VANSBRO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46248</v>
      </c>
      <c r="F140" t="inlineStr">
        <is>
          <t>DALARNAS LÄN</t>
        </is>
      </c>
      <c r="G140" t="inlineStr">
        <is>
          <t>VANSBRO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45772</v>
      </c>
      <c r="E141" s="1" t="n">
        <v>46248</v>
      </c>
      <c r="F141" t="inlineStr">
        <is>
          <t>DALARNAS LÄN</t>
        </is>
      </c>
      <c r="G141" t="inlineStr">
        <is>
          <t>VANSBRO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35299-2024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45530</v>
      </c>
      <c r="E142" s="1" t="n">
        <v>46248</v>
      </c>
      <c r="F142" t="inlineStr">
        <is>
          <t>DALARNAS LÄN</t>
        </is>
      </c>
      <c r="G142" t="inlineStr">
        <is>
          <t>VANSBRO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45520</v>
      </c>
      <c r="E143" s="1" t="n">
        <v>46248</v>
      </c>
      <c r="F143" t="inlineStr">
        <is>
          <t>DALARNAS LÄN</t>
        </is>
      </c>
      <c r="G143" t="inlineStr">
        <is>
          <t>VANSBRO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59736-2022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44908</v>
      </c>
      <c r="E144" s="1" t="n">
        <v>46248</v>
      </c>
      <c r="F144" t="inlineStr">
        <is>
          <t>DALARNAS LÄN</t>
        </is>
      </c>
      <c r="G144" t="inlineStr">
        <is>
          <t>VANSBRO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44925</v>
      </c>
      <c r="E145" s="1" t="n">
        <v>46248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väst AB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45601</v>
      </c>
      <c r="E146" s="1" t="n">
        <v>46248</v>
      </c>
      <c r="F146" t="inlineStr">
        <is>
          <t>DALARNAS LÄN</t>
        </is>
      </c>
      <c r="G146" t="inlineStr">
        <is>
          <t>VANSBRO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45443</v>
      </c>
      <c r="E147" s="1" t="n">
        <v>46248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52572-2023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45225</v>
      </c>
      <c r="E148" s="1" t="n">
        <v>46248</v>
      </c>
      <c r="F148" t="inlineStr">
        <is>
          <t>DALARNAS LÄN</t>
        </is>
      </c>
      <c r="G148" t="inlineStr">
        <is>
          <t>VANSBRO</t>
        </is>
      </c>
      <c r="H148" t="inlineStr">
        <is>
          <t>Övriga statliga verk och myndigheter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51414-2021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46248</v>
      </c>
      <c r="F149" t="inlineStr">
        <is>
          <t>DALARNAS LÄN</t>
        </is>
      </c>
      <c r="G149" t="inlineStr">
        <is>
          <t>VANSBRO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44980</v>
      </c>
      <c r="E150" s="1" t="n">
        <v>46248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49565-2022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44862</v>
      </c>
      <c r="E151" s="1" t="n">
        <v>46248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45169</v>
      </c>
      <c r="E152" s="1" t="n">
        <v>46248</v>
      </c>
      <c r="F152" t="inlineStr">
        <is>
          <t>DALARNAS LÄN</t>
        </is>
      </c>
      <c r="G152" t="inlineStr">
        <is>
          <t>VANSBRO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8447-2022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44612</v>
      </c>
      <c r="E153" s="1" t="n">
        <v>46248</v>
      </c>
      <c r="F153" t="inlineStr">
        <is>
          <t>DALARNAS LÄN</t>
        </is>
      </c>
      <c r="G153" t="inlineStr">
        <is>
          <t>VANSBRO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45111</v>
      </c>
      <c r="E154" s="1" t="n">
        <v>46248</v>
      </c>
      <c r="F154" t="inlineStr">
        <is>
          <t>DALARNAS LÄN</t>
        </is>
      </c>
      <c r="G154" t="inlineStr">
        <is>
          <t>VANSBRO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45691</v>
      </c>
      <c r="E155" s="1" t="n">
        <v>46248</v>
      </c>
      <c r="F155" t="inlineStr">
        <is>
          <t>DALARNAS LÄN</t>
        </is>
      </c>
      <c r="G155" t="inlineStr">
        <is>
          <t>VANSBRO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55078-2022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44886</v>
      </c>
      <c r="E156" s="1" t="n">
        <v>46248</v>
      </c>
      <c r="F156" t="inlineStr">
        <is>
          <t>DALARNAS LÄN</t>
        </is>
      </c>
      <c r="G156" t="inlineStr">
        <is>
          <t>VANSBRO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20931-2022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44701</v>
      </c>
      <c r="E157" s="1" t="n">
        <v>46248</v>
      </c>
      <c r="F157" t="inlineStr">
        <is>
          <t>DALARNAS LÄN</t>
        </is>
      </c>
      <c r="G157" t="inlineStr">
        <is>
          <t>VANSBRO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45296</v>
      </c>
      <c r="E158" s="1" t="n">
        <v>46248</v>
      </c>
      <c r="F158" t="inlineStr">
        <is>
          <t>DALARNAS LÄN</t>
        </is>
      </c>
      <c r="G158" t="inlineStr">
        <is>
          <t>VANSBRO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45576</v>
      </c>
      <c r="E159" s="1" t="n">
        <v>46248</v>
      </c>
      <c r="F159" t="inlineStr">
        <is>
          <t>DALARNAS LÄN</t>
        </is>
      </c>
      <c r="G159" t="inlineStr">
        <is>
          <t>VANSBRO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45322</v>
      </c>
      <c r="E160" s="1" t="n">
        <v>46248</v>
      </c>
      <c r="F160" t="inlineStr">
        <is>
          <t>DALARNAS LÄN</t>
        </is>
      </c>
      <c r="G160" t="inlineStr">
        <is>
          <t>VANSBRO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49509-2024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45596</v>
      </c>
      <c r="E161" s="1" t="n">
        <v>46248</v>
      </c>
      <c r="F161" t="inlineStr">
        <is>
          <t>DALARNAS LÄN</t>
        </is>
      </c>
      <c r="G161" t="inlineStr">
        <is>
          <t>VANSBRO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46248</v>
      </c>
      <c r="F162" t="inlineStr">
        <is>
          <t>DALARNAS LÄN</t>
        </is>
      </c>
      <c r="G162" t="inlineStr">
        <is>
          <t>VANSBRO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14057-2023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45008</v>
      </c>
      <c r="E163" s="1" t="n">
        <v>46248</v>
      </c>
      <c r="F163" t="inlineStr">
        <is>
          <t>DALARNAS LÄN</t>
        </is>
      </c>
      <c r="G163" t="inlineStr">
        <is>
          <t>VANSBRO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2086-2024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45309</v>
      </c>
      <c r="E164" s="1" t="n">
        <v>46248</v>
      </c>
      <c r="F164" t="inlineStr">
        <is>
          <t>DALARNAS LÄN</t>
        </is>
      </c>
      <c r="G164" t="inlineStr">
        <is>
          <t>VANSBRO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45448</v>
      </c>
      <c r="E165" s="1" t="n">
        <v>46248</v>
      </c>
      <c r="F165" t="inlineStr">
        <is>
          <t>DALARNAS LÄN</t>
        </is>
      </c>
      <c r="G165" t="inlineStr">
        <is>
          <t>VANSBRO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53828-2021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44469</v>
      </c>
      <c r="E166" s="1" t="n">
        <v>46248</v>
      </c>
      <c r="F166" t="inlineStr">
        <is>
          <t>DALARNAS LÄN</t>
        </is>
      </c>
      <c r="G166" t="inlineStr">
        <is>
          <t>VANSBRO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45530</v>
      </c>
      <c r="E167" s="1" t="n">
        <v>46248</v>
      </c>
      <c r="F167" t="inlineStr">
        <is>
          <t>DALARNAS LÄN</t>
        </is>
      </c>
      <c r="G167" t="inlineStr">
        <is>
          <t>VANSBRO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45222</v>
      </c>
      <c r="E168" s="1" t="n">
        <v>46248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44728</v>
      </c>
      <c r="E169" s="1" t="n">
        <v>46248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46248</v>
      </c>
      <c r="F170" t="inlineStr">
        <is>
          <t>DALARNAS LÄN</t>
        </is>
      </c>
      <c r="G170" t="inlineStr">
        <is>
          <t>VANSBRO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44728</v>
      </c>
      <c r="E171" s="1" t="n">
        <v>46248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öst AB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45471</v>
      </c>
      <c r="E172" s="1" t="n">
        <v>46248</v>
      </c>
      <c r="F172" t="inlineStr">
        <is>
          <t>DALARNAS LÄN</t>
        </is>
      </c>
      <c r="G172" t="inlineStr">
        <is>
          <t>VANSBRO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63816-2021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44509</v>
      </c>
      <c r="E173" s="1" t="n">
        <v>46248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17.6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45712</v>
      </c>
      <c r="E174" s="1" t="n">
        <v>46248</v>
      </c>
      <c r="F174" t="inlineStr">
        <is>
          <t>DALARNAS LÄN</t>
        </is>
      </c>
      <c r="G174" t="inlineStr">
        <is>
          <t>VANSBRO</t>
        </is>
      </c>
      <c r="I174" t="n">
        <v>13.8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45604</v>
      </c>
      <c r="E175" s="1" t="n">
        <v>46248</v>
      </c>
      <c r="F175" t="inlineStr">
        <is>
          <t>DALARNAS LÄN</t>
        </is>
      </c>
      <c r="G175" t="inlineStr">
        <is>
          <t>VANSBRO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4680-2023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44957</v>
      </c>
      <c r="E176" s="1" t="n">
        <v>46248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öst AB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45744</v>
      </c>
      <c r="E177" s="1" t="n">
        <v>46248</v>
      </c>
      <c r="F177" t="inlineStr">
        <is>
          <t>DALARNAS LÄN</t>
        </is>
      </c>
      <c r="G177" t="inlineStr">
        <is>
          <t>VANSBRO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60036-2023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45258</v>
      </c>
      <c r="E178" s="1" t="n">
        <v>46248</v>
      </c>
      <c r="F178" t="inlineStr">
        <is>
          <t>DALARNAS LÄN</t>
        </is>
      </c>
      <c r="G178" t="inlineStr">
        <is>
          <t>VANSBRO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46248</v>
      </c>
      <c r="F179" t="inlineStr">
        <is>
          <t>DALARNAS LÄN</t>
        </is>
      </c>
      <c r="G179" t="inlineStr">
        <is>
          <t>VANSBRO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44930</v>
      </c>
      <c r="E180" s="1" t="n">
        <v>46248</v>
      </c>
      <c r="F180" t="inlineStr">
        <is>
          <t>DALARNAS LÄN</t>
        </is>
      </c>
      <c r="G180" t="inlineStr">
        <is>
          <t>VANSBRO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45265</v>
      </c>
      <c r="E181" s="1" t="n">
        <v>46248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45498</v>
      </c>
      <c r="E182" s="1" t="n">
        <v>46248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öst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28924-2024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45481</v>
      </c>
      <c r="E183" s="1" t="n">
        <v>46248</v>
      </c>
      <c r="F183" t="inlineStr">
        <is>
          <t>DALARNAS LÄN</t>
        </is>
      </c>
      <c r="G183" t="inlineStr">
        <is>
          <t>VANSBRO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43258-2023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45183</v>
      </c>
      <c r="E184" s="1" t="n">
        <v>46248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45471</v>
      </c>
      <c r="E185" s="1" t="n">
        <v>46248</v>
      </c>
      <c r="F185" t="inlineStr">
        <is>
          <t>DALARNAS LÄN</t>
        </is>
      </c>
      <c r="G185" t="inlineStr">
        <is>
          <t>VANSBRO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46165-2021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44442</v>
      </c>
      <c r="E186" s="1" t="n">
        <v>46248</v>
      </c>
      <c r="F186" t="inlineStr">
        <is>
          <t>DALARNAS LÄN</t>
        </is>
      </c>
      <c r="G186" t="inlineStr">
        <is>
          <t>VANSBRO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46248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18882-2025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45764</v>
      </c>
      <c r="E188" s="1" t="n">
        <v>46248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45665</v>
      </c>
      <c r="E189" s="1" t="n">
        <v>46248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45457</v>
      </c>
      <c r="E190" s="1" t="n">
        <v>46248</v>
      </c>
      <c r="F190" t="inlineStr">
        <is>
          <t>DALARNAS LÄN</t>
        </is>
      </c>
      <c r="G190" t="inlineStr">
        <is>
          <t>VANSBRO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44820</v>
      </c>
      <c r="E191" s="1" t="n">
        <v>46248</v>
      </c>
      <c r="F191" t="inlineStr">
        <is>
          <t>DALARNAS LÄN</t>
        </is>
      </c>
      <c r="G191" t="inlineStr">
        <is>
          <t>VANSBRO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13062-2023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45002</v>
      </c>
      <c r="E192" s="1" t="n">
        <v>46248</v>
      </c>
      <c r="F192" t="inlineStr">
        <is>
          <t>DALARNAS LÄN</t>
        </is>
      </c>
      <c r="G192" t="inlineStr">
        <is>
          <t>VANSBRO</t>
        </is>
      </c>
      <c r="H192" t="inlineStr">
        <is>
          <t>Övriga statliga verk och myndigheter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35537-2024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46248</v>
      </c>
      <c r="F193" t="inlineStr">
        <is>
          <t>DALARNAS LÄN</t>
        </is>
      </c>
      <c r="G193" t="inlineStr">
        <is>
          <t>VANSBRO</t>
        </is>
      </c>
      <c r="H193" t="inlineStr">
        <is>
          <t>Övriga statliga verk och myndigheter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61653-2024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46248</v>
      </c>
      <c r="F194" t="inlineStr">
        <is>
          <t>DALARNAS LÄN</t>
        </is>
      </c>
      <c r="G194" t="inlineStr">
        <is>
          <t>VANSBRO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11485-2024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45372</v>
      </c>
      <c r="E195" s="1" t="n">
        <v>46248</v>
      </c>
      <c r="F195" t="inlineStr">
        <is>
          <t>DALARNAS LÄN</t>
        </is>
      </c>
      <c r="G195" t="inlineStr">
        <is>
          <t>VANSBRO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45614</v>
      </c>
      <c r="E196" s="1" t="n">
        <v>46248</v>
      </c>
      <c r="F196" t="inlineStr">
        <is>
          <t>DALARNAS LÄN</t>
        </is>
      </c>
      <c r="G196" t="inlineStr">
        <is>
          <t>VANSBRO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46248</v>
      </c>
      <c r="F197" t="inlineStr">
        <is>
          <t>DALARNAS LÄN</t>
        </is>
      </c>
      <c r="G197" t="inlineStr">
        <is>
          <t>VANSBRO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45184</v>
      </c>
      <c r="E198" s="1" t="n">
        <v>46248</v>
      </c>
      <c r="F198" t="inlineStr">
        <is>
          <t>DALARNAS LÄN</t>
        </is>
      </c>
      <c r="G198" t="inlineStr">
        <is>
          <t>VANSBRO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45082</v>
      </c>
      <c r="E199" s="1" t="n">
        <v>46248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45666</v>
      </c>
      <c r="E200" s="1" t="n">
        <v>46248</v>
      </c>
      <c r="F200" t="inlineStr">
        <is>
          <t>DALARNAS LÄN</t>
        </is>
      </c>
      <c r="G200" t="inlineStr">
        <is>
          <t>VANSBRO</t>
        </is>
      </c>
      <c r="H200" t="inlineStr">
        <is>
          <t>Övriga statliga verk och myndigheter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44867</v>
      </c>
      <c r="E201" s="1" t="n">
        <v>46248</v>
      </c>
      <c r="F201" t="inlineStr">
        <is>
          <t>DALARNAS LÄN</t>
        </is>
      </c>
      <c r="G201" t="inlineStr">
        <is>
          <t>VANSBRO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43589-2022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46248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45183</v>
      </c>
      <c r="E203" s="1" t="n">
        <v>46248</v>
      </c>
      <c r="F203" t="inlineStr">
        <is>
          <t>DALARNAS LÄN</t>
        </is>
      </c>
      <c r="G203" t="inlineStr">
        <is>
          <t>VANSBRO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29492-2023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45106</v>
      </c>
      <c r="E204" s="1" t="n">
        <v>46248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45754</v>
      </c>
      <c r="E205" s="1" t="n">
        <v>46248</v>
      </c>
      <c r="F205" t="inlineStr">
        <is>
          <t>DALARNAS LÄN</t>
        </is>
      </c>
      <c r="G205" t="inlineStr">
        <is>
          <t>VANSBRO</t>
        </is>
      </c>
      <c r="I205" t="n">
        <v>9.9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62398-2021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46248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22.1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17807-2022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44673</v>
      </c>
      <c r="E207" s="1" t="n">
        <v>46248</v>
      </c>
      <c r="F207" t="inlineStr">
        <is>
          <t>DALARNAS LÄN</t>
        </is>
      </c>
      <c r="G207" t="inlineStr">
        <is>
          <t>VANSBRO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45315</v>
      </c>
      <c r="E208" s="1" t="n">
        <v>46248</v>
      </c>
      <c r="F208" t="inlineStr">
        <is>
          <t>DALARNAS LÄN</t>
        </is>
      </c>
      <c r="G208" t="inlineStr">
        <is>
          <t>VANSBRO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56129-2023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45240</v>
      </c>
      <c r="E209" s="1" t="n">
        <v>46248</v>
      </c>
      <c r="F209" t="inlineStr">
        <is>
          <t>DALARNAS LÄN</t>
        </is>
      </c>
      <c r="G209" t="inlineStr">
        <is>
          <t>VANSBRO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48111-2024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45589</v>
      </c>
      <c r="E210" s="1" t="n">
        <v>46248</v>
      </c>
      <c r="F210" t="inlineStr">
        <is>
          <t>DALARNAS LÄN</t>
        </is>
      </c>
      <c r="G210" t="inlineStr">
        <is>
          <t>VANSBRO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45519</v>
      </c>
      <c r="E211" s="1" t="n">
        <v>46248</v>
      </c>
      <c r="F211" t="inlineStr">
        <is>
          <t>DALARNAS LÄN</t>
        </is>
      </c>
      <c r="G211" t="inlineStr">
        <is>
          <t>VANSBRO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45240</v>
      </c>
      <c r="E212" s="1" t="n">
        <v>46248</v>
      </c>
      <c r="F212" t="inlineStr">
        <is>
          <t>DALARNAS LÄN</t>
        </is>
      </c>
      <c r="G212" t="inlineStr">
        <is>
          <t>VANSBRO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37970-2022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44811</v>
      </c>
      <c r="E213" s="1" t="n">
        <v>46248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44960</v>
      </c>
      <c r="E214" s="1" t="n">
        <v>46248</v>
      </c>
      <c r="F214" t="inlineStr">
        <is>
          <t>DALARNAS LÄN</t>
        </is>
      </c>
      <c r="G214" t="inlineStr">
        <is>
          <t>VANSBRO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46248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48005-2022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44855</v>
      </c>
      <c r="E216" s="1" t="n">
        <v>46248</v>
      </c>
      <c r="F216" t="inlineStr">
        <is>
          <t>DALARNAS LÄN</t>
        </is>
      </c>
      <c r="G216" t="inlineStr">
        <is>
          <t>VANSBRO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45331</v>
      </c>
      <c r="E217" s="1" t="n">
        <v>46248</v>
      </c>
      <c r="F217" t="inlineStr">
        <is>
          <t>DALARNAS LÄN</t>
        </is>
      </c>
      <c r="G217" t="inlineStr">
        <is>
          <t>VANSBRO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46248</v>
      </c>
      <c r="F218" t="inlineStr">
        <is>
          <t>DALARNAS LÄN</t>
        </is>
      </c>
      <c r="G218" t="inlineStr">
        <is>
          <t>VANSBRO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11274-2024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45371</v>
      </c>
      <c r="E219" s="1" t="n">
        <v>46248</v>
      </c>
      <c r="F219" t="inlineStr">
        <is>
          <t>DALARNAS LÄN</t>
        </is>
      </c>
      <c r="G219" t="inlineStr">
        <is>
          <t>VANSBRO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44930</v>
      </c>
      <c r="E220" s="1" t="n">
        <v>46248</v>
      </c>
      <c r="F220" t="inlineStr">
        <is>
          <t>DALARNAS LÄN</t>
        </is>
      </c>
      <c r="G220" t="inlineStr">
        <is>
          <t>VANSBRO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56773-2023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45244</v>
      </c>
      <c r="E221" s="1" t="n">
        <v>46248</v>
      </c>
      <c r="F221" t="inlineStr">
        <is>
          <t>DALARNAS LÄN</t>
        </is>
      </c>
      <c r="G221" t="inlineStr">
        <is>
          <t>VANSBRO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60031-2022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44909</v>
      </c>
      <c r="E222" s="1" t="n">
        <v>46248</v>
      </c>
      <c r="F222" t="inlineStr">
        <is>
          <t>DALARNAS LÄN</t>
        </is>
      </c>
      <c r="G222" t="inlineStr">
        <is>
          <t>VANSBRO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45807</v>
      </c>
      <c r="E223" s="1" t="n">
        <v>46248</v>
      </c>
      <c r="F223" t="inlineStr">
        <is>
          <t>DALARNAS LÄN</t>
        </is>
      </c>
      <c r="G223" t="inlineStr">
        <is>
          <t>VANSBRO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46248</v>
      </c>
      <c r="F224" t="inlineStr">
        <is>
          <t>DALARNAS LÄN</t>
        </is>
      </c>
      <c r="G224" t="inlineStr">
        <is>
          <t>VANSBRO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56986-2023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45244</v>
      </c>
      <c r="E225" s="1" t="n">
        <v>46248</v>
      </c>
      <c r="F225" t="inlineStr">
        <is>
          <t>DALARNAS LÄN</t>
        </is>
      </c>
      <c r="G225" t="inlineStr">
        <is>
          <t>VANSBRO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34738-2023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45141</v>
      </c>
      <c r="E226" s="1" t="n">
        <v>46248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46248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45631</v>
      </c>
      <c r="E228" s="1" t="n">
        <v>46248</v>
      </c>
      <c r="F228" t="inlineStr">
        <is>
          <t>DALARNAS LÄN</t>
        </is>
      </c>
      <c r="G228" t="inlineStr">
        <is>
          <t>VANSBRO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45811</v>
      </c>
      <c r="E229" s="1" t="n">
        <v>46248</v>
      </c>
      <c r="F229" t="inlineStr">
        <is>
          <t>DALARNAS LÄN</t>
        </is>
      </c>
      <c r="G229" t="inlineStr">
        <is>
          <t>VANSBRO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45811</v>
      </c>
      <c r="E230" s="1" t="n">
        <v>46248</v>
      </c>
      <c r="F230" t="inlineStr">
        <is>
          <t>DALARNAS LÄN</t>
        </is>
      </c>
      <c r="G230" t="inlineStr">
        <is>
          <t>VANSBRO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45695</v>
      </c>
      <c r="E231" s="1" t="n">
        <v>46248</v>
      </c>
      <c r="F231" t="inlineStr">
        <is>
          <t>DALARNAS LÄN</t>
        </is>
      </c>
      <c r="G231" t="inlineStr">
        <is>
          <t>VANSBRO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46248</v>
      </c>
      <c r="F232" t="inlineStr">
        <is>
          <t>DALARNAS LÄN</t>
        </is>
      </c>
      <c r="G232" t="inlineStr">
        <is>
          <t>VANSBRO</t>
        </is>
      </c>
      <c r="H232" t="inlineStr">
        <is>
          <t>Kommuner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44960</v>
      </c>
      <c r="E233" s="1" t="n">
        <v>46248</v>
      </c>
      <c r="F233" t="inlineStr">
        <is>
          <t>DALARNAS LÄN</t>
        </is>
      </c>
      <c r="G233" t="inlineStr">
        <is>
          <t>VANSBRO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28469-2025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45819</v>
      </c>
      <c r="E234" s="1" t="n">
        <v>46248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öst AB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38670-2025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45884</v>
      </c>
      <c r="E235" s="1" t="n">
        <v>46248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45247</v>
      </c>
      <c r="E236" s="1" t="n">
        <v>46248</v>
      </c>
      <c r="F236" t="inlineStr">
        <is>
          <t>DALARNAS LÄN</t>
        </is>
      </c>
      <c r="G236" t="inlineStr">
        <is>
          <t>VANSBRO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29281-2025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45824</v>
      </c>
      <c r="E237" s="1" t="n">
        <v>46248</v>
      </c>
      <c r="F237" t="inlineStr">
        <is>
          <t>DALARNAS LÄN</t>
        </is>
      </c>
      <c r="G237" t="inlineStr">
        <is>
          <t>VANSBRO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44931</v>
      </c>
      <c r="E238" s="1" t="n">
        <v>46248</v>
      </c>
      <c r="F238" t="inlineStr">
        <is>
          <t>DALARNAS LÄN</t>
        </is>
      </c>
      <c r="G238" t="inlineStr">
        <is>
          <t>VANSBRO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46248</v>
      </c>
      <c r="F239" t="inlineStr">
        <is>
          <t>DALARNAS LÄN</t>
        </is>
      </c>
      <c r="G239" t="inlineStr">
        <is>
          <t>VANSBRO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39177-2025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46248</v>
      </c>
      <c r="F240" t="inlineStr">
        <is>
          <t>DALARNAS LÄN</t>
        </is>
      </c>
      <c r="G240" t="inlineStr">
        <is>
          <t>VANSBRO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46248</v>
      </c>
      <c r="F241" t="inlineStr">
        <is>
          <t>DALARNAS LÄN</t>
        </is>
      </c>
      <c r="G241" t="inlineStr">
        <is>
          <t>VANSBRO</t>
        </is>
      </c>
      <c r="I241" t="n">
        <v>13.9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9145-2025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46248</v>
      </c>
      <c r="F242" t="inlineStr">
        <is>
          <t>DALARNAS LÄN</t>
        </is>
      </c>
      <c r="G242" t="inlineStr">
        <is>
          <t>VANSBRO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39179-2025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45888</v>
      </c>
      <c r="E243" s="1" t="n">
        <v>46248</v>
      </c>
      <c r="F243" t="inlineStr">
        <is>
          <t>DALARNAS LÄN</t>
        </is>
      </c>
      <c r="G243" t="inlineStr">
        <is>
          <t>VANSBRO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46248</v>
      </c>
      <c r="F244" t="inlineStr">
        <is>
          <t>DALARNAS LÄN</t>
        </is>
      </c>
      <c r="G244" t="inlineStr">
        <is>
          <t>VANSBRO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45588</v>
      </c>
      <c r="E245" s="1" t="n">
        <v>46248</v>
      </c>
      <c r="F245" t="inlineStr">
        <is>
          <t>DALARNAS LÄN</t>
        </is>
      </c>
      <c r="G245" t="inlineStr">
        <is>
          <t>VANSBRO</t>
        </is>
      </c>
      <c r="H245" t="inlineStr">
        <is>
          <t>Övriga statliga verk och myndigheter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45833</v>
      </c>
      <c r="E246" s="1" t="n">
        <v>46248</v>
      </c>
      <c r="F246" t="inlineStr">
        <is>
          <t>DALARNAS LÄN</t>
        </is>
      </c>
      <c r="G246" t="inlineStr">
        <is>
          <t>VANSBRO</t>
        </is>
      </c>
      <c r="I246" t="n">
        <v>27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45833</v>
      </c>
      <c r="E247" s="1" t="n">
        <v>46248</v>
      </c>
      <c r="F247" t="inlineStr">
        <is>
          <t>DALARNAS LÄN</t>
        </is>
      </c>
      <c r="G247" t="inlineStr">
        <is>
          <t>VANSBRO</t>
        </is>
      </c>
      <c r="I247" t="n">
        <v>9.1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39502-2025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45890</v>
      </c>
      <c r="E248" s="1" t="n">
        <v>46248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väst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45763</v>
      </c>
      <c r="E249" s="1" t="n">
        <v>46248</v>
      </c>
      <c r="F249" t="inlineStr">
        <is>
          <t>DALARNAS LÄN</t>
        </is>
      </c>
      <c r="G249" t="inlineStr">
        <is>
          <t>VANSBRO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45890</v>
      </c>
      <c r="E250" s="1" t="n">
        <v>46248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45169</v>
      </c>
      <c r="E251" s="1" t="n">
        <v>46248</v>
      </c>
      <c r="F251" t="inlineStr">
        <is>
          <t>DALARNAS LÄN</t>
        </is>
      </c>
      <c r="G251" t="inlineStr">
        <is>
          <t>VANSBRO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32040-2025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45835</v>
      </c>
      <c r="E252" s="1" t="n">
        <v>46248</v>
      </c>
      <c r="F252" t="inlineStr">
        <is>
          <t>DALARNAS LÄN</t>
        </is>
      </c>
      <c r="G252" t="inlineStr">
        <is>
          <t>VANSBRO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45491</v>
      </c>
      <c r="E253" s="1" t="n">
        <v>46248</v>
      </c>
      <c r="F253" t="inlineStr">
        <is>
          <t>DALARNAS LÄN</t>
        </is>
      </c>
      <c r="G253" t="inlineStr">
        <is>
          <t>VANSBRO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40884-2025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45897</v>
      </c>
      <c r="E254" s="1" t="n">
        <v>46248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öst AB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45840</v>
      </c>
      <c r="E255" s="1" t="n">
        <v>46248</v>
      </c>
      <c r="F255" t="inlineStr">
        <is>
          <t>DALARNAS LÄN</t>
        </is>
      </c>
      <c r="G255" t="inlineStr">
        <is>
          <t>VANSBRO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46248</v>
      </c>
      <c r="F256" t="inlineStr">
        <is>
          <t>DALARNAS LÄN</t>
        </is>
      </c>
      <c r="G256" t="inlineStr">
        <is>
          <t>VANSBRO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46248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45840</v>
      </c>
      <c r="E258" s="1" t="n">
        <v>46248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öst AB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45672</v>
      </c>
      <c r="E259" s="1" t="n">
        <v>46248</v>
      </c>
      <c r="F259" t="inlineStr">
        <is>
          <t>DALARNAS LÄN</t>
        </is>
      </c>
      <c r="G259" t="inlineStr">
        <is>
          <t>VANSBRO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46248</v>
      </c>
      <c r="F260" t="inlineStr">
        <is>
          <t>DALARNAS LÄN</t>
        </is>
      </c>
      <c r="G260" t="inlineStr">
        <is>
          <t>VANSBRO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18306-2025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45762</v>
      </c>
      <c r="E261" s="1" t="n">
        <v>46248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10886-2025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45722</v>
      </c>
      <c r="E262" s="1" t="n">
        <v>46248</v>
      </c>
      <c r="F262" t="inlineStr">
        <is>
          <t>DALARNAS LÄN</t>
        </is>
      </c>
      <c r="G262" t="inlineStr">
        <is>
          <t>VANSBRO</t>
        </is>
      </c>
      <c r="I262" t="n">
        <v>15.5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45700</v>
      </c>
      <c r="E263" s="1" t="n">
        <v>46248</v>
      </c>
      <c r="F263" t="inlineStr">
        <is>
          <t>DALARNAS LÄN</t>
        </is>
      </c>
      <c r="G263" t="inlineStr">
        <is>
          <t>VANSBRO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45363</v>
      </c>
      <c r="E264" s="1" t="n">
        <v>46248</v>
      </c>
      <c r="F264" t="inlineStr">
        <is>
          <t>DALARNAS LÄN</t>
        </is>
      </c>
      <c r="G264" t="inlineStr">
        <is>
          <t>VANSBRO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46248</v>
      </c>
      <c r="F265" t="inlineStr">
        <is>
          <t>DALARNAS LÄN</t>
        </is>
      </c>
      <c r="G265" t="inlineStr">
        <is>
          <t>VANSBRO</t>
        </is>
      </c>
      <c r="I265" t="n">
        <v>15.8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46141</v>
      </c>
      <c r="E266" s="1" t="n">
        <v>46248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öst AB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35284-2025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45854</v>
      </c>
      <c r="E267" s="1" t="n">
        <v>46248</v>
      </c>
      <c r="F267" t="inlineStr">
        <is>
          <t>DALARNAS LÄN</t>
        </is>
      </c>
      <c r="G267" t="inlineStr">
        <is>
          <t>VANSBRO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17366-2025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45756</v>
      </c>
      <c r="E268" s="1" t="n">
        <v>46248</v>
      </c>
      <c r="F268" t="inlineStr">
        <is>
          <t>DALARNAS LÄN</t>
        </is>
      </c>
      <c r="G268" t="inlineStr">
        <is>
          <t>VANSBRO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35782-2025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45860</v>
      </c>
      <c r="E269" s="1" t="n">
        <v>46248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öst AB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64071-2025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46021</v>
      </c>
      <c r="E270" s="1" t="n">
        <v>46248</v>
      </c>
      <c r="F270" t="inlineStr">
        <is>
          <t>DALARNAS LÄN</t>
        </is>
      </c>
      <c r="G270" t="inlineStr">
        <is>
          <t>VANSBRO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45754</v>
      </c>
      <c r="E271" s="1" t="n">
        <v>46248</v>
      </c>
      <c r="F271" t="inlineStr">
        <is>
          <t>DALARNAS LÄN</t>
        </is>
      </c>
      <c r="G271" t="inlineStr">
        <is>
          <t>VANSBRO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45762</v>
      </c>
      <c r="E272" s="1" t="n">
        <v>46248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46248</v>
      </c>
      <c r="F273" t="inlineStr">
        <is>
          <t>DALARNAS LÄN</t>
        </is>
      </c>
      <c r="G273" t="inlineStr">
        <is>
          <t>VANSBRO</t>
        </is>
      </c>
      <c r="H273" t="inlineStr">
        <is>
          <t>Övriga statliga verk och myndigheter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61515-2022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44916</v>
      </c>
      <c r="E274" s="1" t="n">
        <v>46248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36382-2025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45868</v>
      </c>
      <c r="E275" s="1" t="n">
        <v>46248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öst AB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45215</v>
      </c>
      <c r="E276" s="1" t="n">
        <v>46248</v>
      </c>
      <c r="F276" t="inlineStr">
        <is>
          <t>DALARNAS LÄN</t>
        </is>
      </c>
      <c r="G276" t="inlineStr">
        <is>
          <t>VANSBRO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45215</v>
      </c>
      <c r="E277" s="1" t="n">
        <v>46248</v>
      </c>
      <c r="F277" t="inlineStr">
        <is>
          <t>DALARNAS LÄN</t>
        </is>
      </c>
      <c r="G277" t="inlineStr">
        <is>
          <t>VANSBRO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46149</v>
      </c>
      <c r="E278" s="1" t="n">
        <v>46248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öst AB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37285-2025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45876</v>
      </c>
      <c r="E279" s="1" t="n">
        <v>46248</v>
      </c>
      <c r="F279" t="inlineStr">
        <is>
          <t>DALARNAS LÄN</t>
        </is>
      </c>
      <c r="G279" t="inlineStr">
        <is>
          <t>VANSBRO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37287-2025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45876</v>
      </c>
      <c r="E280" s="1" t="n">
        <v>46248</v>
      </c>
      <c r="F280" t="inlineStr">
        <is>
          <t>DALARNAS LÄN</t>
        </is>
      </c>
      <c r="G280" t="inlineStr">
        <is>
          <t>VANSBRO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45783</v>
      </c>
      <c r="E281" s="1" t="n">
        <v>46248</v>
      </c>
      <c r="F281" t="inlineStr">
        <is>
          <t>DALARNAS LÄN</t>
        </is>
      </c>
      <c r="G281" t="inlineStr">
        <is>
          <t>VANSBRO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45674</v>
      </c>
      <c r="E282" s="1" t="n">
        <v>46248</v>
      </c>
      <c r="F282" t="inlineStr">
        <is>
          <t>DALARNAS LÄN</t>
        </is>
      </c>
      <c r="G282" t="inlineStr">
        <is>
          <t>VANSBRO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21656-2025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45783</v>
      </c>
      <c r="E283" s="1" t="n">
        <v>46248</v>
      </c>
      <c r="F283" t="inlineStr">
        <is>
          <t>DALARNAS LÄN</t>
        </is>
      </c>
      <c r="G283" t="inlineStr">
        <is>
          <t>VANSBRO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42207-2021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44426</v>
      </c>
      <c r="E284" s="1" t="n">
        <v>46248</v>
      </c>
      <c r="F284" t="inlineStr">
        <is>
          <t>DALARNAS LÄN</t>
        </is>
      </c>
      <c r="G284" t="inlineStr">
        <is>
          <t>VANSBRO</t>
        </is>
      </c>
      <c r="I284" t="n">
        <v>25.5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35780-2024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45532</v>
      </c>
      <c r="E285" s="1" t="n">
        <v>46248</v>
      </c>
      <c r="F285" t="inlineStr">
        <is>
          <t>DALARNAS LÄN</t>
        </is>
      </c>
      <c r="G285" t="inlineStr">
        <is>
          <t>VANSBRO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29288-2024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45483</v>
      </c>
      <c r="E286" s="1" t="n">
        <v>46248</v>
      </c>
      <c r="F286" t="inlineStr">
        <is>
          <t>DALARNAS LÄN</t>
        </is>
      </c>
      <c r="G286" t="inlineStr">
        <is>
          <t>VANSBRO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45904</v>
      </c>
      <c r="E287" s="1" t="n">
        <v>46248</v>
      </c>
      <c r="F287" t="inlineStr">
        <is>
          <t>DALARNAS LÄN</t>
        </is>
      </c>
      <c r="G287" t="inlineStr">
        <is>
          <t>VANSBRO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45350</v>
      </c>
      <c r="E288" s="1" t="n">
        <v>46248</v>
      </c>
      <c r="F288" t="inlineStr">
        <is>
          <t>DALARNAS LÄN</t>
        </is>
      </c>
      <c r="G288" t="inlineStr">
        <is>
          <t>VANSBRO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22384-2026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46154</v>
      </c>
      <c r="E289" s="1" t="n">
        <v>46248</v>
      </c>
      <c r="F289" t="inlineStr">
        <is>
          <t>DALARNAS LÄN</t>
        </is>
      </c>
      <c r="G289" t="inlineStr">
        <is>
          <t>VANSBRO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45492</v>
      </c>
      <c r="E290" s="1" t="n">
        <v>46248</v>
      </c>
      <c r="F290" t="inlineStr">
        <is>
          <t>DALARNAS LÄN</t>
        </is>
      </c>
      <c r="G290" t="inlineStr">
        <is>
          <t>VANSBRO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23085-2022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44719</v>
      </c>
      <c r="E291" s="1" t="n">
        <v>46248</v>
      </c>
      <c r="F291" t="inlineStr">
        <is>
          <t>DALARNAS LÄN</t>
        </is>
      </c>
      <c r="G291" t="inlineStr">
        <is>
          <t>VANSBRO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22379-2026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46154</v>
      </c>
      <c r="E292" s="1" t="n">
        <v>46248</v>
      </c>
      <c r="F292" t="inlineStr">
        <is>
          <t>DALARNAS LÄN</t>
        </is>
      </c>
      <c r="G292" t="inlineStr">
        <is>
          <t>VANSBRO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43139-2025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45909</v>
      </c>
      <c r="E293" s="1" t="n">
        <v>46248</v>
      </c>
      <c r="F293" t="inlineStr">
        <is>
          <t>DALARNAS LÄN</t>
        </is>
      </c>
      <c r="G293" t="inlineStr">
        <is>
          <t>VANSBRO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45890</v>
      </c>
      <c r="E294" s="1" t="n">
        <v>46248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23059-2026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46161</v>
      </c>
      <c r="E295" s="1" t="n">
        <v>46248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öst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23018-2026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46161</v>
      </c>
      <c r="E296" s="1" t="n">
        <v>46248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45793</v>
      </c>
      <c r="E297" s="1" t="n">
        <v>46248</v>
      </c>
      <c r="F297" t="inlineStr">
        <is>
          <t>DALARNAS LÄN</t>
        </is>
      </c>
      <c r="G297" t="inlineStr">
        <is>
          <t>VANSBRO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45688</v>
      </c>
      <c r="E298" s="1" t="n">
        <v>46248</v>
      </c>
      <c r="F298" t="inlineStr">
        <is>
          <t>DALARNAS LÄN</t>
        </is>
      </c>
      <c r="G298" t="inlineStr">
        <is>
          <t>VANSBRO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29411-2024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45483</v>
      </c>
      <c r="E299" s="1" t="n">
        <v>46248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5386-2024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45331</v>
      </c>
      <c r="E300" s="1" t="n">
        <v>46248</v>
      </c>
      <c r="F300" t="inlineStr">
        <is>
          <t>DALARNAS LÄN</t>
        </is>
      </c>
      <c r="G300" t="inlineStr">
        <is>
          <t>VANSBRO</t>
        </is>
      </c>
      <c r="I300" t="n">
        <v>11.4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35516-2024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46248</v>
      </c>
      <c r="F301" t="inlineStr">
        <is>
          <t>DALARNAS LÄN</t>
        </is>
      </c>
      <c r="G301" t="inlineStr">
        <is>
          <t>VANSBRO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23752-2026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46248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öst AB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46164</v>
      </c>
      <c r="E303" s="1" t="n">
        <v>46248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öst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24522-2025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45798</v>
      </c>
      <c r="E304" s="1" t="n">
        <v>46248</v>
      </c>
      <c r="F304" t="inlineStr">
        <is>
          <t>DALARNAS LÄN</t>
        </is>
      </c>
      <c r="G304" t="inlineStr">
        <is>
          <t>VANSBRO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48102-2025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46248</v>
      </c>
      <c r="F305" t="inlineStr">
        <is>
          <t>DALARNAS LÄN</t>
        </is>
      </c>
      <c r="G305" t="inlineStr">
        <is>
          <t>VANSBRO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47833-2025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45932</v>
      </c>
      <c r="E306" s="1" t="n">
        <v>46248</v>
      </c>
      <c r="F306" t="inlineStr">
        <is>
          <t>DALARNAS LÄN</t>
        </is>
      </c>
      <c r="G306" t="inlineStr">
        <is>
          <t>VANSBRO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47897-2025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45932</v>
      </c>
      <c r="E307" s="1" t="n">
        <v>46248</v>
      </c>
      <c r="F307" t="inlineStr">
        <is>
          <t>DALARNAS LÄN</t>
        </is>
      </c>
      <c r="G307" t="inlineStr">
        <is>
          <t>VANSBRO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48840-2025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45937</v>
      </c>
      <c r="E308" s="1" t="n">
        <v>46248</v>
      </c>
      <c r="F308" t="inlineStr">
        <is>
          <t>DALARNAS LÄN</t>
        </is>
      </c>
      <c r="G308" t="inlineStr">
        <is>
          <t>VANSBRO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46248</v>
      </c>
      <c r="F309" t="inlineStr">
        <is>
          <t>DALARNAS LÄN</t>
        </is>
      </c>
      <c r="G309" t="inlineStr">
        <is>
          <t>VANSBRO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49617-2025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46248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45939</v>
      </c>
      <c r="E311" s="1" t="n">
        <v>46248</v>
      </c>
      <c r="F311" t="inlineStr">
        <is>
          <t>DALARNAS LÄN</t>
        </is>
      </c>
      <c r="G311" t="inlineStr">
        <is>
          <t>VANSBRO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49673-2025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46248</v>
      </c>
      <c r="F312" t="inlineStr">
        <is>
          <t>DALARNAS LÄN</t>
        </is>
      </c>
      <c r="G312" t="inlineStr">
        <is>
          <t>VANSBRO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46210</v>
      </c>
      <c r="E313" s="1" t="n">
        <v>46248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30509-2026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46210</v>
      </c>
      <c r="E314" s="1" t="n">
        <v>46248</v>
      </c>
      <c r="F314" t="inlineStr">
        <is>
          <t>DALARNAS LÄN</t>
        </is>
      </c>
      <c r="G314" t="inlineStr">
        <is>
          <t>VANSBRO</t>
        </is>
      </c>
      <c r="H314" t="inlineStr">
        <is>
          <t>Övriga statliga verk och myndigheter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46248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46212</v>
      </c>
      <c r="E316" s="1" t="n">
        <v>46248</v>
      </c>
      <c r="F316" t="inlineStr">
        <is>
          <t>DALARNAS LÄN</t>
        </is>
      </c>
      <c r="G316" t="inlineStr">
        <is>
          <t>VANSBRO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46212</v>
      </c>
      <c r="E317" s="1" t="n">
        <v>46248</v>
      </c>
      <c r="F317" t="inlineStr">
        <is>
          <t>DALARNAS LÄN</t>
        </is>
      </c>
      <c r="G317" t="inlineStr">
        <is>
          <t>VANSBRO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45945</v>
      </c>
      <c r="E318" s="1" t="n">
        <v>46248</v>
      </c>
      <c r="F318" t="inlineStr">
        <is>
          <t>DALARNAS LÄN</t>
        </is>
      </c>
      <c r="G318" t="inlineStr">
        <is>
          <t>VANSBRO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46248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51414-2025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45950</v>
      </c>
      <c r="E320" s="1" t="n">
        <v>46248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45952</v>
      </c>
      <c r="E321" s="1" t="n">
        <v>46248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24277-2026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46169</v>
      </c>
      <c r="E322" s="1" t="n">
        <v>46248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52676-2025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45956</v>
      </c>
      <c r="E323" s="1" t="n">
        <v>46248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52673-2025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45956</v>
      </c>
      <c r="E324" s="1" t="n">
        <v>46248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46248</v>
      </c>
      <c r="F325" t="inlineStr">
        <is>
          <t>DALARNAS LÄN</t>
        </is>
      </c>
      <c r="G325" t="inlineStr">
        <is>
          <t>VANSBRO</t>
        </is>
      </c>
      <c r="I325" t="n">
        <v>12.6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24202-2026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46168</v>
      </c>
      <c r="E326" s="1" t="n">
        <v>46248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46248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53989-2025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45961</v>
      </c>
      <c r="E328" s="1" t="n">
        <v>46248</v>
      </c>
      <c r="F328" t="inlineStr">
        <is>
          <t>DALARNAS LÄN</t>
        </is>
      </c>
      <c r="G328" t="inlineStr">
        <is>
          <t>VANSBRO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54100-2025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45964</v>
      </c>
      <c r="E329" s="1" t="n">
        <v>46248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46248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46248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54591-2025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46248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8.4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54736-2025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45966</v>
      </c>
      <c r="E333" s="1" t="n">
        <v>46248</v>
      </c>
      <c r="F333" t="inlineStr">
        <is>
          <t>DALARNAS LÄN</t>
        </is>
      </c>
      <c r="G333" t="inlineStr">
        <is>
          <t>VANSBRO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46248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46248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46183</v>
      </c>
      <c r="E336" s="1" t="n">
        <v>46248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46248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45972</v>
      </c>
      <c r="E338" s="1" t="n">
        <v>46248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26689-2026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46184</v>
      </c>
      <c r="E339" s="1" t="n">
        <v>46248</v>
      </c>
      <c r="F339" t="inlineStr">
        <is>
          <t>DALARNAS LÄN</t>
        </is>
      </c>
      <c r="G339" t="inlineStr">
        <is>
          <t>VANSBRO</t>
        </is>
      </c>
      <c r="H339" t="inlineStr">
        <is>
          <t>Övriga statliga verk och myndigheter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31867-2026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46231</v>
      </c>
      <c r="E340" s="1" t="n">
        <v>46248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20.2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46248</v>
      </c>
      <c r="F341" t="inlineStr">
        <is>
          <t>DALARNAS LÄN</t>
        </is>
      </c>
      <c r="G341" t="inlineStr">
        <is>
          <t>VANSBRO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27334-2026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46248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27195-2026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46248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46248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46248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57716-2025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46248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27629-2026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46190</v>
      </c>
      <c r="E347" s="1" t="n">
        <v>46248</v>
      </c>
      <c r="F347" t="inlineStr">
        <is>
          <t>DALARNAS LÄN</t>
        </is>
      </c>
      <c r="G347" t="inlineStr">
        <is>
          <t>VANSBRO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46248</v>
      </c>
      <c r="F348" t="inlineStr">
        <is>
          <t>DALARNAS LÄN</t>
        </is>
      </c>
      <c r="G348" t="inlineStr">
        <is>
          <t>VANSBRO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58733-2025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46248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26669-2026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46184</v>
      </c>
      <c r="E350" s="1" t="n">
        <v>46248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27242-2026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46248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10.5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58874-2025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45987</v>
      </c>
      <c r="E352" s="1" t="n">
        <v>46248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6.9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27117-2026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46248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27932-2026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46191</v>
      </c>
      <c r="E354" s="1" t="n">
        <v>46248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46248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27930-2026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46248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46238</v>
      </c>
      <c r="E357" s="1" t="n">
        <v>46248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29.6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46248</v>
      </c>
      <c r="F358" t="inlineStr">
        <is>
          <t>DALARNAS LÄN</t>
        </is>
      </c>
      <c r="G358" t="inlineStr">
        <is>
          <t>VANSBRO</t>
        </is>
      </c>
      <c r="I358" t="n">
        <v>9.1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46195</v>
      </c>
      <c r="E359" s="1" t="n">
        <v>46248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10.7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46248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28466-2026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46197</v>
      </c>
      <c r="E361" s="1" t="n">
        <v>46248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öst AB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46248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46248</v>
      </c>
      <c r="F363" t="inlineStr">
        <is>
          <t>DALARNAS LÄN</t>
        </is>
      </c>
      <c r="G363" t="inlineStr">
        <is>
          <t>VANSBRO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46002</v>
      </c>
      <c r="E364" s="1" t="n">
        <v>46248</v>
      </c>
      <c r="F364" t="inlineStr">
        <is>
          <t>DALARNAS LÄN</t>
        </is>
      </c>
      <c r="G364" t="inlineStr">
        <is>
          <t>VANSBRO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60229-2025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45994</v>
      </c>
      <c r="E365" s="1" t="n">
        <v>46248</v>
      </c>
      <c r="F365" t="inlineStr">
        <is>
          <t>DALARNAS LÄN</t>
        </is>
      </c>
      <c r="G365" t="inlineStr">
        <is>
          <t>VANSBRO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46042</v>
      </c>
      <c r="E366" s="1" t="n">
        <v>46248</v>
      </c>
      <c r="F366" t="inlineStr">
        <is>
          <t>DALARNAS LÄN</t>
        </is>
      </c>
      <c r="G366" t="inlineStr">
        <is>
          <t>VANSBRO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29174-2026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46202</v>
      </c>
      <c r="E367" s="1" t="n">
        <v>46248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29621-2026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46204</v>
      </c>
      <c r="E368" s="1" t="n">
        <v>46248</v>
      </c>
      <c r="F368" t="inlineStr">
        <is>
          <t>DALARNAS LÄN</t>
        </is>
      </c>
      <c r="G368" t="inlineStr">
        <is>
          <t>VANSBRO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46204</v>
      </c>
      <c r="E369" s="1" t="n">
        <v>46248</v>
      </c>
      <c r="F369" t="inlineStr">
        <is>
          <t>DALARNAS LÄN</t>
        </is>
      </c>
      <c r="G369" t="inlineStr">
        <is>
          <t>VANSBRO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46248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29442-2026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46203</v>
      </c>
      <c r="E371" s="1" t="n">
        <v>46248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29439-2026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46203</v>
      </c>
      <c r="E372" s="1" t="n">
        <v>46248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29630-2026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46204</v>
      </c>
      <c r="E373" s="1" t="n">
        <v>46248</v>
      </c>
      <c r="F373" t="inlineStr">
        <is>
          <t>DALARNAS LÄN</t>
        </is>
      </c>
      <c r="G373" t="inlineStr">
        <is>
          <t>VANSBRO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46031</v>
      </c>
      <c r="E374" s="1" t="n">
        <v>46248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öst AB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46033</v>
      </c>
      <c r="E375" s="1" t="n">
        <v>46248</v>
      </c>
      <c r="F375" t="inlineStr">
        <is>
          <t>DALARNAS LÄN</t>
        </is>
      </c>
      <c r="G375" t="inlineStr">
        <is>
          <t>VANSBRO</t>
        </is>
      </c>
      <c r="I375" t="n">
        <v>9.9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46034</v>
      </c>
      <c r="E376" s="1" t="n">
        <v>46248</v>
      </c>
      <c r="F376" t="inlineStr">
        <is>
          <t>DALARNAS LÄN</t>
        </is>
      </c>
      <c r="G376" t="inlineStr">
        <is>
          <t>VANSBRO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46248</v>
      </c>
      <c r="F377" t="inlineStr">
        <is>
          <t>DALARNAS LÄN</t>
        </is>
      </c>
      <c r="G377" t="inlineStr">
        <is>
          <t>VANSBRO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46248</v>
      </c>
      <c r="F378" t="inlineStr">
        <is>
          <t>DALARNAS LÄN</t>
        </is>
      </c>
      <c r="G378" t="inlineStr">
        <is>
          <t>VANSBRO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46248</v>
      </c>
      <c r="F379" t="inlineStr">
        <is>
          <t>DALARNAS LÄN</t>
        </is>
      </c>
      <c r="G379" t="inlineStr">
        <is>
          <t>VANSBRO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46042</v>
      </c>
      <c r="E380" s="1" t="n">
        <v>46248</v>
      </c>
      <c r="F380" t="inlineStr">
        <is>
          <t>DALARNAS LÄN</t>
        </is>
      </c>
      <c r="G380" t="inlineStr">
        <is>
          <t>VANSBRO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4027-2026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46248</v>
      </c>
      <c r="F381" t="inlineStr">
        <is>
          <t>DALARNAS LÄN</t>
        </is>
      </c>
      <c r="G381" t="inlineStr">
        <is>
          <t>VANSBRO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46248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46048</v>
      </c>
      <c r="E383" s="1" t="n">
        <v>46248</v>
      </c>
      <c r="F383" t="inlineStr">
        <is>
          <t>DALARNAS LÄN</t>
        </is>
      </c>
      <c r="G383" t="inlineStr">
        <is>
          <t>VANSBRO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46049</v>
      </c>
      <c r="E384" s="1" t="n">
        <v>46248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46248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46050</v>
      </c>
      <c r="E386" s="1" t="n">
        <v>46248</v>
      </c>
      <c r="F386" t="inlineStr">
        <is>
          <t>DALARNAS LÄN</t>
        </is>
      </c>
      <c r="G386" t="inlineStr">
        <is>
          <t>VANSBRO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6076-2026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46248</v>
      </c>
      <c r="F387" t="inlineStr">
        <is>
          <t>DALARNAS LÄN</t>
        </is>
      </c>
      <c r="G387" t="inlineStr">
        <is>
          <t>VANSBRO</t>
        </is>
      </c>
      <c r="I387" t="n">
        <v>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46057</v>
      </c>
      <c r="E388" s="1" t="n">
        <v>46248</v>
      </c>
      <c r="F388" t="inlineStr">
        <is>
          <t>DALARNAS LÄN</t>
        </is>
      </c>
      <c r="G388" t="inlineStr">
        <is>
          <t>VANSBRO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46058</v>
      </c>
      <c r="E389" s="1" t="n">
        <v>46248</v>
      </c>
      <c r="F389" t="inlineStr">
        <is>
          <t>DALARNAS LÄN</t>
        </is>
      </c>
      <c r="G389" t="inlineStr">
        <is>
          <t>VANSBRO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46466-2024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45582</v>
      </c>
      <c r="E390" s="1" t="n">
        <v>46248</v>
      </c>
      <c r="F390" t="inlineStr">
        <is>
          <t>DALARNAS LÄN</t>
        </is>
      </c>
      <c r="G390" t="inlineStr">
        <is>
          <t>VANSBRO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7236-2026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46248</v>
      </c>
      <c r="F391" t="inlineStr">
        <is>
          <t>DALARNAS LÄN</t>
        </is>
      </c>
      <c r="G391" t="inlineStr">
        <is>
          <t>VANSBRO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7779-2026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46062</v>
      </c>
      <c r="E392" s="1" t="n">
        <v>46248</v>
      </c>
      <c r="F392" t="inlineStr">
        <is>
          <t>DALARNAS LÄN</t>
        </is>
      </c>
      <c r="G392" t="inlineStr">
        <is>
          <t>VANSBRO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3258-2026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46041</v>
      </c>
      <c r="E393" s="1" t="n">
        <v>46248</v>
      </c>
      <c r="F393" t="inlineStr">
        <is>
          <t>DALARNAS LÄN</t>
        </is>
      </c>
      <c r="G393" t="inlineStr">
        <is>
          <t>VANSBRO</t>
        </is>
      </c>
      <c r="I393" t="n">
        <v>15.1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1140-2025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45666</v>
      </c>
      <c r="E394" s="1" t="n">
        <v>46248</v>
      </c>
      <c r="F394" t="inlineStr">
        <is>
          <t>DALARNAS LÄN</t>
        </is>
      </c>
      <c r="G394" t="inlineStr">
        <is>
          <t>VANSBRO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64072-2025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46021</v>
      </c>
      <c r="E395" s="1" t="n">
        <v>46248</v>
      </c>
      <c r="F395" t="inlineStr">
        <is>
          <t>DALARNAS LÄN</t>
        </is>
      </c>
      <c r="G395" t="inlineStr">
        <is>
          <t>VANSBRO</t>
        </is>
      </c>
      <c r="I395" t="n">
        <v>19.1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45240</v>
      </c>
      <c r="E396" s="1" t="n">
        <v>46248</v>
      </c>
      <c r="F396" t="inlineStr">
        <is>
          <t>DALARNAS LÄN</t>
        </is>
      </c>
      <c r="G396" t="inlineStr">
        <is>
          <t>VANSBRO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59856-2024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45639</v>
      </c>
      <c r="E397" s="1" t="n">
        <v>46248</v>
      </c>
      <c r="F397" t="inlineStr">
        <is>
          <t>DALARNAS LÄN</t>
        </is>
      </c>
      <c r="G397" t="inlineStr">
        <is>
          <t>VANSBRO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45673</v>
      </c>
      <c r="E398" s="1" t="n">
        <v>46248</v>
      </c>
      <c r="F398" t="inlineStr">
        <is>
          <t>DALARNAS LÄN</t>
        </is>
      </c>
      <c r="G398" t="inlineStr">
        <is>
          <t>VANSBRO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25916-2022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44734</v>
      </c>
      <c r="E399" s="1" t="n">
        <v>46248</v>
      </c>
      <c r="F399" t="inlineStr">
        <is>
          <t>DALARNAS LÄN</t>
        </is>
      </c>
      <c r="G399" t="inlineStr">
        <is>
          <t>VANSBRO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9417-2026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46248</v>
      </c>
      <c r="F400" t="inlineStr">
        <is>
          <t>DALARNAS LÄN</t>
        </is>
      </c>
      <c r="G400" t="inlineStr">
        <is>
          <t>VANSBRO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46062</v>
      </c>
      <c r="E401" s="1" t="n">
        <v>46248</v>
      </c>
      <c r="F401" t="inlineStr">
        <is>
          <t>DALARNAS LÄN</t>
        </is>
      </c>
      <c r="G401" t="inlineStr">
        <is>
          <t>VANSBRO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11603-2026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46084</v>
      </c>
      <c r="E402" s="1" t="n">
        <v>46248</v>
      </c>
      <c r="F402" t="inlineStr">
        <is>
          <t>DALARNAS LÄN</t>
        </is>
      </c>
      <c r="G402" t="inlineStr">
        <is>
          <t>VANSBRO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11349-2026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46082</v>
      </c>
      <c r="E403" s="1" t="n">
        <v>46248</v>
      </c>
      <c r="F403" t="inlineStr">
        <is>
          <t>DALARNAS LÄN</t>
        </is>
      </c>
      <c r="G403" t="inlineStr">
        <is>
          <t>VANSBRO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46082</v>
      </c>
      <c r="E404" s="1" t="n">
        <v>46248</v>
      </c>
      <c r="F404" t="inlineStr">
        <is>
          <t>DALARNAS LÄN</t>
        </is>
      </c>
      <c r="G404" t="inlineStr">
        <is>
          <t>VANSBRO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12475-2026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46090</v>
      </c>
      <c r="E405" s="1" t="n">
        <v>46248</v>
      </c>
      <c r="F405" t="inlineStr">
        <is>
          <t>DALARNAS LÄN</t>
        </is>
      </c>
      <c r="G405" t="inlineStr">
        <is>
          <t>VANSBRO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13392-2026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46248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46094</v>
      </c>
      <c r="E407" s="1" t="n">
        <v>46248</v>
      </c>
      <c r="F407" t="inlineStr">
        <is>
          <t>DALARNAS LÄN</t>
        </is>
      </c>
      <c r="G407" t="inlineStr">
        <is>
          <t>VANSBRO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13403-2026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46248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13506-2026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46248</v>
      </c>
      <c r="F409" t="inlineStr">
        <is>
          <t>DALARNAS LÄN</t>
        </is>
      </c>
      <c r="G409" t="inlineStr">
        <is>
          <t>VANSBRO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14112-2026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46099</v>
      </c>
      <c r="E410" s="1" t="n">
        <v>46248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46092</v>
      </c>
      <c r="E411" s="1" t="n">
        <v>46248</v>
      </c>
      <c r="F411" t="inlineStr">
        <is>
          <t>DALARNAS LÄN</t>
        </is>
      </c>
      <c r="G411" t="inlineStr">
        <is>
          <t>VANSBRO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15408-2026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46248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15676-2026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46248</v>
      </c>
      <c r="F413" t="inlineStr">
        <is>
          <t>DALARNAS LÄN</t>
        </is>
      </c>
      <c r="G413" t="inlineStr">
        <is>
          <t>VANSBRO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16134-2026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46108</v>
      </c>
      <c r="E414" s="1" t="n">
        <v>46248</v>
      </c>
      <c r="F414" t="inlineStr">
        <is>
          <t>DALARNAS LÄN</t>
        </is>
      </c>
      <c r="G414" t="inlineStr">
        <is>
          <t>VANSBRO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16669-2026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46112</v>
      </c>
      <c r="E415" s="1" t="n">
        <v>46248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16952-2026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46114</v>
      </c>
      <c r="E416" s="1" t="n">
        <v>46248</v>
      </c>
      <c r="F416" t="inlineStr">
        <is>
          <t>DALARNAS LÄN</t>
        </is>
      </c>
      <c r="G416" t="inlineStr">
        <is>
          <t>VANSBRO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16948-2026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46113</v>
      </c>
      <c r="E417" s="1" t="n">
        <v>46248</v>
      </c>
      <c r="F417" t="inlineStr">
        <is>
          <t>DALARNAS LÄN</t>
        </is>
      </c>
      <c r="G417" t="inlineStr">
        <is>
          <t>VANSBRO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17321-2026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46119</v>
      </c>
      <c r="E418" s="1" t="n">
        <v>46248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17604-2026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46248</v>
      </c>
      <c r="F419" t="inlineStr">
        <is>
          <t>DALARNAS LÄN</t>
        </is>
      </c>
      <c r="G419" t="inlineStr">
        <is>
          <t>VANSBRO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46120</v>
      </c>
      <c r="E420" s="1" t="n">
        <v>46248</v>
      </c>
      <c r="F420" t="inlineStr">
        <is>
          <t>DALARNAS LÄN</t>
        </is>
      </c>
      <c r="G420" t="inlineStr">
        <is>
          <t>VANSBRO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17613-2026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46121</v>
      </c>
      <c r="E421" s="1" t="n">
        <v>46248</v>
      </c>
      <c r="F421" t="inlineStr">
        <is>
          <t>DALARNAS LÄN</t>
        </is>
      </c>
      <c r="G421" t="inlineStr">
        <is>
          <t>VANSBRO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17552-2026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46120</v>
      </c>
      <c r="E422" s="1" t="n">
        <v>46248</v>
      </c>
      <c r="F422" t="inlineStr">
        <is>
          <t>DALARNAS LÄN</t>
        </is>
      </c>
      <c r="G422" t="inlineStr">
        <is>
          <t>VANSBRO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17609-2026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46121</v>
      </c>
      <c r="E423" s="1" t="n">
        <v>46248</v>
      </c>
      <c r="F423" t="inlineStr">
        <is>
          <t>DALARNAS LÄN</t>
        </is>
      </c>
      <c r="G423" t="inlineStr">
        <is>
          <t>VANSBRO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46248</v>
      </c>
      <c r="F424" t="inlineStr">
        <is>
          <t>DALARNAS LÄN</t>
        </is>
      </c>
      <c r="G424" t="inlineStr">
        <is>
          <t>VANSBRO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17998-2026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46124</v>
      </c>
      <c r="E425" s="1" t="n">
        <v>46248</v>
      </c>
      <c r="F425" t="inlineStr">
        <is>
          <t>DALARNAS LÄN</t>
        </is>
      </c>
      <c r="G425" t="inlineStr">
        <is>
          <t>VANSBRO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18068-2026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46125</v>
      </c>
      <c r="E426" s="1" t="n">
        <v>46248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18140-2026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46125</v>
      </c>
      <c r="E427" s="1" t="n">
        <v>46248</v>
      </c>
      <c r="F427" t="inlineStr">
        <is>
          <t>DALARNAS LÄN</t>
        </is>
      </c>
      <c r="G427" t="inlineStr">
        <is>
          <t>VANSBRO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18717-2026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46128</v>
      </c>
      <c r="E428" s="1" t="n">
        <v>46248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18709-2026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46128</v>
      </c>
      <c r="E429" s="1" t="n">
        <v>46248</v>
      </c>
      <c r="F429" t="inlineStr">
        <is>
          <t>DALARNAS LÄN</t>
        </is>
      </c>
      <c r="G429" t="inlineStr">
        <is>
          <t>VANSBRO</t>
        </is>
      </c>
      <c r="I429" t="n">
        <v>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18580-2026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46127</v>
      </c>
      <c r="E430" s="1" t="n">
        <v>46248</v>
      </c>
      <c r="F430" t="inlineStr">
        <is>
          <t>DALARNAS LÄN</t>
        </is>
      </c>
      <c r="G430" t="inlineStr">
        <is>
          <t>VANSBRO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18586-2026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46127</v>
      </c>
      <c r="E431" s="1" t="n">
        <v>46248</v>
      </c>
      <c r="F431" t="inlineStr">
        <is>
          <t>DALARNAS LÄN</t>
        </is>
      </c>
      <c r="G431" t="inlineStr">
        <is>
          <t>VANSBRO</t>
        </is>
      </c>
      <c r="I431" t="n">
        <v>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46248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18823-2026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46128</v>
      </c>
      <c r="E433" s="1" t="n">
        <v>46248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13.1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46248</v>
      </c>
      <c r="F434" t="inlineStr">
        <is>
          <t>DALARNAS LÄN</t>
        </is>
      </c>
      <c r="G434" t="inlineStr">
        <is>
          <t>VANSBRO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19809-2026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46135</v>
      </c>
      <c r="E435" s="1" t="n">
        <v>46248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28007-2025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45817</v>
      </c>
      <c r="E436" s="1" t="n">
        <v>46248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20208-2026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46139</v>
      </c>
      <c r="E437" s="1" t="n">
        <v>46248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öst AB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49819-2025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45940</v>
      </c>
      <c r="E438" s="1" t="n">
        <v>46248</v>
      </c>
      <c r="F438" t="inlineStr">
        <is>
          <t>DALARNAS LÄN</t>
        </is>
      </c>
      <c r="G438" t="inlineStr">
        <is>
          <t>VANSBRO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21117-2024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45440</v>
      </c>
      <c r="E439" s="1" t="n">
        <v>46248</v>
      </c>
      <c r="F439" t="inlineStr">
        <is>
          <t>DALARNAS LÄN</t>
        </is>
      </c>
      <c r="G439" t="inlineStr">
        <is>
          <t>VANSBRO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45811</v>
      </c>
      <c r="E440" s="1" t="n">
        <v>46248</v>
      </c>
      <c r="F440" t="inlineStr">
        <is>
          <t>DALARNAS LÄN</t>
        </is>
      </c>
      <c r="G440" t="inlineStr">
        <is>
          <t>VANSBRO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11598-2025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45727</v>
      </c>
      <c r="E441" s="1" t="n">
        <v>46248</v>
      </c>
      <c r="F441" t="inlineStr">
        <is>
          <t>DALARNAS LÄN</t>
        </is>
      </c>
      <c r="G441" t="inlineStr">
        <is>
          <t>VANSBRO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20669-2025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45776</v>
      </c>
      <c r="E442" s="1" t="n">
        <v>46248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26387-2025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45806</v>
      </c>
      <c r="E443" s="1" t="n">
        <v>46248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1286-2024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45401</v>
      </c>
      <c r="E444" s="1" t="n">
        <v>46248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4782-2022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44802</v>
      </c>
      <c r="E445" s="1" t="n">
        <v>46248</v>
      </c>
      <c r="F445" t="inlineStr">
        <is>
          <t>DALARNAS LÄN</t>
        </is>
      </c>
      <c r="G445" t="inlineStr">
        <is>
          <t>VANSBRO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3514-2023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45208</v>
      </c>
      <c r="E446" s="1" t="n">
        <v>46248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409-2025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45699</v>
      </c>
      <c r="E447" s="1" t="n">
        <v>46248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277.1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91-2026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46035</v>
      </c>
      <c r="E448" s="1" t="n">
        <v>46248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153.5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747-2026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46089</v>
      </c>
      <c r="E449" s="1" t="n">
        <v>46248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82.40000000000001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2026-08-14T01:53:36Z</dcterms:created>
  <dcterms:modified xmlns:dcterms="http://purl.org/dc/terms/" xmlns:xsi="http://www.w3.org/2001/XMLSchema-instance" xsi:type="dcterms:W3CDTF">2026-08-14T01:53:36Z</dcterms:modified>
</cp:coreProperties>
</file>