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46295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46295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46295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46295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46295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46295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46295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46295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46295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46295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46295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46295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46295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46295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46295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46295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46295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46295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46295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33003-2025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46295</v>
      </c>
      <c r="F21" t="inlineStr">
        <is>
          <t>DALARNAS LÄN</t>
        </is>
      </c>
      <c r="G21" t="inlineStr">
        <is>
          <t>VANSBRO</t>
        </is>
      </c>
      <c r="I21" t="n">
        <v>2.3</v>
      </c>
      <c r="J21" t="n">
        <v>2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12</v>
      </c>
      <c r="U21" t="n">
        <v>12</v>
      </c>
      <c r="V21" s="2" t="inlineStr">
        <is>
          <t>Garnlav
Knärot
Kolflarnlav
Tretåig hackspett</t>
        </is>
      </c>
      <c r="W21">
        <f>HYPERLINK("https://klasma.github.io/Logging_2021/artfynd/A 33003-2025 artfynd.xlsx", "A 33003-2025")</f>
        <v/>
      </c>
      <c r="X21">
        <f>HYPERLINK("https://klasma.github.io/Logging_2021/kartor/A 33003-2025 karta.png", "A 33003-2025")</f>
        <v/>
      </c>
      <c r="Y21">
        <f>HYPERLINK("https://klasma.github.io/Logging_2021/kartor_geotiff/A 33003-2025 georefererad karta.tif", "A 33003-2025")</f>
        <v/>
      </c>
      <c r="Z21">
        <f>HYPERLINK("https://klasma.github.io/Logging_2021/knärot/A 33003-2025 karta knärot.png", "A 33003-2025")</f>
        <v/>
      </c>
      <c r="AA21">
        <f>HYPERLINK("https://klasma.github.io/Logging_2021/klagomål/A 33003-2025 FSC-klagomål.docx", "A 33003-2025")</f>
        <v/>
      </c>
      <c r="AB21">
        <f>HYPERLINK("https://klasma.github.io/Logging_2021/klagomålsmail/A 33003-2025 FSC-klagomål mail.docx", "A 33003-2025")</f>
        <v/>
      </c>
      <c r="AC21">
        <f>HYPERLINK("https://klasma.github.io/Logging_2021/tillsyn/A 33003-2025 tillsynsbegäran.docx", "A 33003-2025")</f>
        <v/>
      </c>
      <c r="AD21">
        <f>HYPERLINK("https://klasma.github.io/Logging_2021/tillsynsmail/A 33003-2025 tillsynsbegäran mail.docx", "A 33003-2025")</f>
        <v/>
      </c>
      <c r="AE21">
        <f>HYPERLINK("https://klasma.github.io/Logging_2021/fåglar/A 33003-2025 prioriterade fågelarter.docx", "A 33003-2025")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46295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46295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46295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46295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3854-2024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45322</v>
      </c>
      <c r="E26" s="1" t="n">
        <v>46295</v>
      </c>
      <c r="F26" t="inlineStr">
        <is>
          <t>DALARNAS LÄN</t>
        </is>
      </c>
      <c r="G26" t="inlineStr">
        <is>
          <t>VANSBRO</t>
        </is>
      </c>
      <c r="H26" t="inlineStr">
        <is>
          <t>Kyrkan</t>
        </is>
      </c>
      <c r="I26" t="n">
        <v>4.6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3</v>
      </c>
      <c r="V26" s="2" t="inlineStr">
        <is>
          <t>Garnlav
Tretåig hackspett
Björksplintborre
Utter</t>
        </is>
      </c>
      <c r="W26">
        <f>HYPERLINK("https://klasma.github.io/Logging_2021/artfynd/A 3854-2024 artfynd.xlsx", "A 3854-2024")</f>
        <v/>
      </c>
      <c r="X26">
        <f>HYPERLINK("https://klasma.github.io/Logging_2021/kartor/A 3854-2024 karta.png", "A 3854-2024")</f>
        <v/>
      </c>
      <c r="Y26">
        <f>HYPERLINK("https://klasma.github.io/Logging_2021/kartor_geotiff/A 3854-2024 georefererad karta.tif", "A 3854-2024")</f>
        <v/>
      </c>
      <c r="AA26">
        <f>HYPERLINK("https://klasma.github.io/Logging_2021/klagomål/A 3854-2024 FSC-klagomål.docx", "A 3854-2024")</f>
        <v/>
      </c>
      <c r="AB26">
        <f>HYPERLINK("https://klasma.github.io/Logging_2021/klagomålsmail/A 3854-2024 FSC-klagomål mail.docx", "A 3854-2024")</f>
        <v/>
      </c>
      <c r="AC26">
        <f>HYPERLINK("https://klasma.github.io/Logging_2021/tillsyn/A 3854-2024 tillsynsbegäran.docx", "A 3854-2024")</f>
        <v/>
      </c>
      <c r="AD26">
        <f>HYPERLINK("https://klasma.github.io/Logging_2021/tillsynsmail/A 3854-2024 tillsynsbegäran mail.docx", "A 3854-2024")</f>
        <v/>
      </c>
      <c r="AE26">
        <f>HYPERLINK("https://klasma.github.io/Logging_2021/fåglar/A 3854-2024 prioriterade fågelarter.docx", "A 3854-2024")</f>
        <v/>
      </c>
    </row>
    <row r="27" ht="15" customHeight="1">
      <c r="A27" t="inlineStr">
        <is>
          <t>A 33000-2025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46295</v>
      </c>
      <c r="F27" t="inlineStr">
        <is>
          <t>DALARNAS LÄN</t>
        </is>
      </c>
      <c r="G27" t="inlineStr">
        <is>
          <t>VANSBRO</t>
        </is>
      </c>
      <c r="I27" t="n">
        <v>0.7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8</v>
      </c>
      <c r="U27" t="n">
        <v>8</v>
      </c>
      <c r="V27" s="2" t="inlineStr">
        <is>
          <t>Kolflarnlav
Mörk kolflarnlav
Tjäder</t>
        </is>
      </c>
      <c r="W27">
        <f>HYPERLINK("https://klasma.github.io/Logging_2021/artfynd/A 33000-2025 artfynd.xlsx", "A 33000-2025")</f>
        <v/>
      </c>
      <c r="X27">
        <f>HYPERLINK("https://klasma.github.io/Logging_2021/kartor/A 33000-2025 karta.png", "A 33000-2025")</f>
        <v/>
      </c>
      <c r="Y27">
        <f>HYPERLINK("https://klasma.github.io/Logging_2021/kartor_geotiff/A 33000-2025 georefererad karta.tif", "A 33000-2025")</f>
        <v/>
      </c>
      <c r="AA27">
        <f>HYPERLINK("https://klasma.github.io/Logging_2021/klagomål/A 33000-2025 FSC-klagomål.docx", "A 33000-2025")</f>
        <v/>
      </c>
      <c r="AB27">
        <f>HYPERLINK("https://klasma.github.io/Logging_2021/klagomålsmail/A 33000-2025 FSC-klagomål mail.docx", "A 33000-2025")</f>
        <v/>
      </c>
      <c r="AC27">
        <f>HYPERLINK("https://klasma.github.io/Logging_2021/tillsyn/A 33000-2025 tillsynsbegäran.docx", "A 33000-2025")</f>
        <v/>
      </c>
      <c r="AD27">
        <f>HYPERLINK("https://klasma.github.io/Logging_2021/tillsynsmail/A 33000-2025 tillsynsbegäran mail.docx", "A 33000-2025")</f>
        <v/>
      </c>
      <c r="AE27">
        <f>HYPERLINK("https://klasma.github.io/Logging_2021/fåglar/A 33000-2025 prioriterade fågelarter.docx", "A 33000-2025")</f>
        <v/>
      </c>
    </row>
    <row r="28" ht="15" customHeight="1">
      <c r="A28" t="inlineStr">
        <is>
          <t>A 27504-2025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46295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3.4</v>
      </c>
      <c r="J28" t="n">
        <v>0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Garnlav
Kortskaftad ärgspik
Vedticka</t>
        </is>
      </c>
      <c r="W28">
        <f>HYPERLINK("https://klasma.github.io/Logging_2021/artfynd/A 27504-2025 artfynd.xlsx", "A 27504-2025")</f>
        <v/>
      </c>
      <c r="X28">
        <f>HYPERLINK("https://klasma.github.io/Logging_2021/kartor/A 27504-2025 karta.png", "A 27504-2025")</f>
        <v/>
      </c>
      <c r="Y28">
        <f>HYPERLINK("https://klasma.github.io/Logging_2021/kartor_geotiff/A 27504-2025 georefererad karta.tif", "A 27504-2025")</f>
        <v/>
      </c>
      <c r="AA28">
        <f>HYPERLINK("https://klasma.github.io/Logging_2021/klagomål/A 27504-2025 FSC-klagomål.docx", "A 27504-2025")</f>
        <v/>
      </c>
      <c r="AB28">
        <f>HYPERLINK("https://klasma.github.io/Logging_2021/klagomålsmail/A 27504-2025 FSC-klagomål mail.docx", "A 27504-2025")</f>
        <v/>
      </c>
      <c r="AC28">
        <f>HYPERLINK("https://klasma.github.io/Logging_2021/tillsyn/A 27504-2025 tillsynsbegäran.docx", "A 27504-2025")</f>
        <v/>
      </c>
      <c r="AD28">
        <f>HYPERLINK("https://klasma.github.io/Logging_2021/tillsynsmail/A 27504-2025 tillsynsbegäran mail.docx", "A 27504-2025")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46295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46295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46295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46295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46295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46295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46295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46295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46295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27052-2025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45811</v>
      </c>
      <c r="E38" s="1" t="n">
        <v>46295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HYPERLINK("https://klasma.github.io/Logging_2021/artfynd/A 27052-2025 artfynd.xlsx", "A 27052-2025")</f>
        <v/>
      </c>
      <c r="X38">
        <f>HYPERLINK("https://klasma.github.io/Logging_2021/kartor/A 27052-2025 karta.png", "A 27052-2025")</f>
        <v/>
      </c>
      <c r="Y38">
        <f>HYPERLINK("https://klasma.github.io/Logging_2021/kartor_geotiff/A 27052-2025 georefererad karta.tif", "A 27052-2025")</f>
        <v/>
      </c>
      <c r="AA38">
        <f>HYPERLINK("https://klasma.github.io/Logging_2021/klagomål/A 27052-2025 FSC-klagomål.docx", "A 27052-2025")</f>
        <v/>
      </c>
      <c r="AB38">
        <f>HYPERLINK("https://klasma.github.io/Logging_2021/klagomålsmail/A 27052-2025 FSC-klagomål mail.docx", "A 27052-2025")</f>
        <v/>
      </c>
      <c r="AC38">
        <f>HYPERLINK("https://klasma.github.io/Logging_2021/tillsyn/A 27052-2025 tillsynsbegäran.docx", "A 27052-2025")</f>
        <v/>
      </c>
      <c r="AD38">
        <f>HYPERLINK("https://klasma.github.io/Logging_2021/tillsynsmail/A 27052-2025 tillsynsbegäran mail.docx", "A 27052-2025")</f>
        <v/>
      </c>
      <c r="AE38">
        <f>HYPERLINK("https://klasma.github.io/Logging_2021/fåglar/A 27052-2025 prioriterade fågelarter.docx", "A 27052-2025")</f>
        <v/>
      </c>
    </row>
    <row r="39" ht="15" customHeight="1">
      <c r="A39" t="inlineStr">
        <is>
          <t>A 32917-2025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45839</v>
      </c>
      <c r="E39" s="1" t="n">
        <v>46295</v>
      </c>
      <c r="F39" t="inlineStr">
        <is>
          <t>DALARNAS LÄN</t>
        </is>
      </c>
      <c r="G39" t="inlineStr">
        <is>
          <t>VANSBRO</t>
        </is>
      </c>
      <c r="I39" t="n">
        <v>6.6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Garnlav</t>
        </is>
      </c>
      <c r="W39">
        <f>HYPERLINK("https://klasma.github.io/Logging_2021/artfynd/A 32917-2025 artfynd.xlsx", "A 32917-2025")</f>
        <v/>
      </c>
      <c r="X39">
        <f>HYPERLINK("https://klasma.github.io/Logging_2021/kartor/A 32917-2025 karta.png", "A 32917-2025")</f>
        <v/>
      </c>
      <c r="Y39">
        <f>HYPERLINK("https://klasma.github.io/Logging_2021/kartor_geotiff/A 32917-2025 georefererad karta.tif", "A 32917-2025")</f>
        <v/>
      </c>
      <c r="AA39">
        <f>HYPERLINK("https://klasma.github.io/Logging_2021/klagomål/A 32917-2025 FSC-klagomål.docx", "A 32917-2025")</f>
        <v/>
      </c>
      <c r="AB39">
        <f>HYPERLINK("https://klasma.github.io/Logging_2021/klagomålsmail/A 32917-2025 FSC-klagomål mail.docx", "A 32917-2025")</f>
        <v/>
      </c>
      <c r="AC39">
        <f>HYPERLINK("https://klasma.github.io/Logging_2021/tillsyn/A 32917-2025 tillsynsbegäran.docx", "A 32917-2025")</f>
        <v/>
      </c>
      <c r="AD39">
        <f>HYPERLINK("https://klasma.github.io/Logging_2021/tillsynsmail/A 32917-2025 tillsynsbegäran mail.docx", "A 32917-2025")</f>
        <v/>
      </c>
    </row>
    <row r="40" ht="15" customHeight="1">
      <c r="A40" t="inlineStr">
        <is>
          <t>A 3918-2026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46295</v>
      </c>
      <c r="F40" t="inlineStr">
        <is>
          <t>DALARNAS LÄN</t>
        </is>
      </c>
      <c r="G40" t="inlineStr">
        <is>
          <t>VANSBRO</t>
        </is>
      </c>
      <c r="I40" t="n">
        <v>6.2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Duvhök</t>
        </is>
      </c>
      <c r="W40">
        <f>HYPERLINK("https://klasma.github.io/Logging_2021/artfynd/A 3918-2026 artfynd.xlsx", "A 3918-2026")</f>
        <v/>
      </c>
      <c r="X40">
        <f>HYPERLINK("https://klasma.github.io/Logging_2021/kartor/A 3918-2026 karta.png", "A 3918-2026")</f>
        <v/>
      </c>
      <c r="Y40">
        <f>HYPERLINK("https://klasma.github.io/Logging_2021/kartor_geotiff/A 3918-2026 georefererad karta.tif", "A 3918-2026")</f>
        <v/>
      </c>
      <c r="AA40">
        <f>HYPERLINK("https://klasma.github.io/Logging_2021/klagomål/A 3918-2026 FSC-klagomål.docx", "A 3918-2026")</f>
        <v/>
      </c>
      <c r="AB40">
        <f>HYPERLINK("https://klasma.github.io/Logging_2021/klagomålsmail/A 3918-2026 FSC-klagomål mail.docx", "A 3918-2026")</f>
        <v/>
      </c>
      <c r="AC40">
        <f>HYPERLINK("https://klasma.github.io/Logging_2021/tillsyn/A 3918-2026 tillsynsbegäran.docx", "A 3918-2026")</f>
        <v/>
      </c>
      <c r="AD40">
        <f>HYPERLINK("https://klasma.github.io/Logging_2021/tillsynsmail/A 3918-2026 tillsynsbegäran mail.docx", "A 3918-2026")</f>
        <v/>
      </c>
      <c r="AE40">
        <f>HYPERLINK("https://klasma.github.io/Logging_2021/fåglar/A 3918-2026 prioriterade fågelarter.docx", "A 3918-2026")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46295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5659-2026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46051</v>
      </c>
      <c r="E42" s="1" t="n">
        <v>46295</v>
      </c>
      <c r="F42" t="inlineStr">
        <is>
          <t>DALARNAS LÄN</t>
        </is>
      </c>
      <c r="G42" t="inlineStr">
        <is>
          <t>VANSBRO</t>
        </is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rörsvepemossa</t>
        </is>
      </c>
      <c r="W42">
        <f>HYPERLINK("https://klasma.github.io/Logging_2021/artfynd/A 5659-2026 artfynd.xlsx", "A 5659-2026")</f>
        <v/>
      </c>
      <c r="X42">
        <f>HYPERLINK("https://klasma.github.io/Logging_2021/kartor/A 5659-2026 karta.png", "A 5659-2026")</f>
        <v/>
      </c>
      <c r="Y42">
        <f>HYPERLINK("https://klasma.github.io/Logging_2021/kartor_geotiff/A 5659-2026 georefererad karta.tif", "A 5659-2026")</f>
        <v/>
      </c>
      <c r="Z42">
        <f>HYPERLINK("https://klasma.github.io/Logging_2021/knärot/A 5659-2026 karta knärot.png", "A 5659-2026")</f>
        <v/>
      </c>
      <c r="AA42">
        <f>HYPERLINK("https://klasma.github.io/Logging_2021/klagomål/A 5659-2026 FSC-klagomål.docx", "A 5659-2026")</f>
        <v/>
      </c>
      <c r="AB42">
        <f>HYPERLINK("https://klasma.github.io/Logging_2021/klagomålsmail/A 5659-2026 FSC-klagomål mail.docx", "A 5659-2026")</f>
        <v/>
      </c>
      <c r="AC42">
        <f>HYPERLINK("https://klasma.github.io/Logging_2021/tillsyn/A 5659-2026 tillsynsbegäran.docx", "A 5659-2026")</f>
        <v/>
      </c>
      <c r="AD42">
        <f>HYPERLINK("https://klasma.github.io/Logging_2021/tillsynsmail/A 5659-2026 tillsynsbegäran mail.docx", "A 5659-2026")</f>
        <v/>
      </c>
    </row>
    <row r="43" ht="15" customHeight="1">
      <c r="A43" t="inlineStr">
        <is>
          <t>A 37219-2024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45539</v>
      </c>
      <c r="E43" s="1" t="n">
        <v>46295</v>
      </c>
      <c r="F43" t="inlineStr">
        <is>
          <t>DALARNAS LÄN</t>
        </is>
      </c>
      <c r="G43" t="inlineStr">
        <is>
          <t>VANSBRO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Tjäder</t>
        </is>
      </c>
      <c r="W43">
        <f>HYPERLINK("https://klasma.github.io/Logging_2021/artfynd/A 37219-2024 artfynd.xlsx", "A 37219-2024")</f>
        <v/>
      </c>
      <c r="X43">
        <f>HYPERLINK("https://klasma.github.io/Logging_2021/kartor/A 37219-2024 karta.png", "A 37219-2024")</f>
        <v/>
      </c>
      <c r="Y43">
        <f>HYPERLINK("https://klasma.github.io/Logging_2021/kartor_geotiff/A 37219-2024 georefererad karta.tif", "A 37219-2024")</f>
        <v/>
      </c>
      <c r="AA43">
        <f>HYPERLINK("https://klasma.github.io/Logging_2021/klagomål/A 37219-2024 FSC-klagomål.docx", "A 37219-2024")</f>
        <v/>
      </c>
      <c r="AB43">
        <f>HYPERLINK("https://klasma.github.io/Logging_2021/klagomålsmail/A 37219-2024 FSC-klagomål mail.docx", "A 37219-2024")</f>
        <v/>
      </c>
      <c r="AC43">
        <f>HYPERLINK("https://klasma.github.io/Logging_2021/tillsyn/A 37219-2024 tillsynsbegäran.docx", "A 37219-2024")</f>
        <v/>
      </c>
      <c r="AD43">
        <f>HYPERLINK("https://klasma.github.io/Logging_2021/tillsynsmail/A 37219-2024 tillsynsbegäran mail.docx", "A 37219-2024")</f>
        <v/>
      </c>
      <c r="AE43">
        <f>HYPERLINK("https://klasma.github.io/Logging_2021/fåglar/A 37219-2024 prioriterade fågelarter.docx", "A 37219-2024")</f>
        <v/>
      </c>
    </row>
    <row r="44" ht="15" customHeight="1">
      <c r="A44" t="inlineStr">
        <is>
          <t>A 20076-2026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46295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öst AB</t>
        </is>
      </c>
      <c r="I44" t="n">
        <v>13.2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Kransrams</t>
        </is>
      </c>
      <c r="W44">
        <f>HYPERLINK("https://klasma.github.io/Logging_2021/artfynd/A 20076-2026 artfynd.xlsx", "A 20076-2026")</f>
        <v/>
      </c>
      <c r="X44">
        <f>HYPERLINK("https://klasma.github.io/Logging_2021/kartor/A 20076-2026 karta.png", "A 20076-2026")</f>
        <v/>
      </c>
      <c r="Y44">
        <f>HYPERLINK("https://klasma.github.io/Logging_2021/kartor_geotiff/A 20076-2026 georefererad karta.tif", "A 20076-2026")</f>
        <v/>
      </c>
      <c r="AA44">
        <f>HYPERLINK("https://klasma.github.io/Logging_2021/klagomål/A 20076-2026 FSC-klagomål.docx", "A 20076-2026")</f>
        <v/>
      </c>
      <c r="AB44">
        <f>HYPERLINK("https://klasma.github.io/Logging_2021/klagomålsmail/A 20076-2026 FSC-klagomål mail.docx", "A 20076-2026")</f>
        <v/>
      </c>
      <c r="AC44">
        <f>HYPERLINK("https://klasma.github.io/Logging_2021/tillsyn/A 20076-2026 tillsynsbegäran.docx", "A 20076-2026")</f>
        <v/>
      </c>
      <c r="AD44">
        <f>HYPERLINK("https://klasma.github.io/Logging_2021/tillsynsmail/A 20076-2026 tillsynsbegäran mail.docx", "A 20076-2026")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46295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46295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46295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35533-2026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46295</v>
      </c>
      <c r="F48" t="inlineStr">
        <is>
          <t>DALARNAS LÄN</t>
        </is>
      </c>
      <c r="G48" t="inlineStr">
        <is>
          <t>VANSBRO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HYPERLINK("https://klasma.github.io/Logging_2021/artfynd/A 35533-2026 artfynd.xlsx", "A 35533-2026")</f>
        <v/>
      </c>
      <c r="X48">
        <f>HYPERLINK("https://klasma.github.io/Logging_2021/kartor/A 35533-2026 karta.png", "A 35533-2026")</f>
        <v/>
      </c>
      <c r="Y48">
        <f>HYPERLINK("https://klasma.github.io/Logging_2021/kartor_geotiff/A 35533-2026 georefererad karta.tif", "A 35533-2026")</f>
        <v/>
      </c>
      <c r="Z48">
        <f>HYPERLINK("https://klasma.github.io/Logging_2021/knärot/A 35533-2026 karta knärot.png", "A 35533-2026")</f>
        <v/>
      </c>
      <c r="AA48">
        <f>HYPERLINK("https://klasma.github.io/Logging_2021/klagomål/A 35533-2026 FSC-klagomål.docx", "A 35533-2026")</f>
        <v/>
      </c>
      <c r="AB48">
        <f>HYPERLINK("https://klasma.github.io/Logging_2021/klagomålsmail/A 35533-2026 FSC-klagomål mail.docx", "A 35533-2026")</f>
        <v/>
      </c>
      <c r="AC48">
        <f>HYPERLINK("https://klasma.github.io/Logging_2021/tillsyn/A 35533-2026 tillsynsbegäran.docx", "A 35533-2026")</f>
        <v/>
      </c>
      <c r="AD48">
        <f>HYPERLINK("https://klasma.github.io/Logging_2021/tillsynsmail/A 35533-2026 tillsynsbegäran mail.docx", "A 35533-2026")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46295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46295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S 146-2023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44942</v>
      </c>
      <c r="E51" s="1" t="n">
        <v>46295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HYPERLINK("https://klasma.github.io/Logging_2021/artfynd/S 146-2023 artfynd.xlsx", "S 146-2023")</f>
        <v/>
      </c>
      <c r="X51">
        <f>HYPERLINK("https://klasma.github.io/Logging_2021/kartor/S 146-2023 karta.png", "S 146-2023")</f>
        <v/>
      </c>
      <c r="Y51">
        <f>HYPERLINK("https://klasma.github.io/Logging_2021/kartor_geotiff/S 146-2023 georefererad karta.tif", "S 146-2023")</f>
        <v/>
      </c>
      <c r="AA51">
        <f>HYPERLINK("https://klasma.github.io/Logging_2021/klagomål/S 146-2023 FSC-klagomål.docx", "S 146-2023")</f>
        <v/>
      </c>
      <c r="AB51">
        <f>HYPERLINK("https://klasma.github.io/Logging_2021/klagomålsmail/S 146-2023 FSC-klagomål mail.docx", "S 146-2023")</f>
        <v/>
      </c>
      <c r="AC51">
        <f>HYPERLINK("https://klasma.github.io/Logging_2021/tillsyn/S 146-2023 tillsynsbegäran.docx", "S 146-2023")</f>
        <v/>
      </c>
      <c r="AD51">
        <f>HYPERLINK("https://klasma.github.io/Logging_2021/tillsynsmail/S 146-2023 tillsynsbegäran mail.docx", "S 146-2023")</f>
        <v/>
      </c>
    </row>
    <row r="52" ht="15" customHeight="1">
      <c r="A52" t="inlineStr">
        <is>
          <t>S 940-2024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45377</v>
      </c>
      <c r="E52" s="1" t="n">
        <v>46295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158.9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HYPERLINK("https://klasma.github.io/Logging_2021/artfynd/S 940-2024 artfynd.xlsx", "S 940-2024")</f>
        <v/>
      </c>
      <c r="X52">
        <f>HYPERLINK("https://klasma.github.io/Logging_2021/kartor/S 940-2024 karta.png", "S 940-2024")</f>
        <v/>
      </c>
      <c r="Y52">
        <f>HYPERLINK("https://klasma.github.io/Logging_2021/kartor_geotiff/S 940-2024 georefererad karta.tif", "S 940-2024")</f>
        <v/>
      </c>
      <c r="AA52">
        <f>HYPERLINK("https://klasma.github.io/Logging_2021/klagomål/S 940-2024 FSC-klagomål.docx", "S 940-2024")</f>
        <v/>
      </c>
      <c r="AB52">
        <f>HYPERLINK("https://klasma.github.io/Logging_2021/klagomålsmail/S 940-2024 FSC-klagomål mail.docx", "S 940-2024")</f>
        <v/>
      </c>
      <c r="AC52">
        <f>HYPERLINK("https://klasma.github.io/Logging_2021/tillsyn/S 940-2024 tillsynsbegäran.docx", "S 940-2024")</f>
        <v/>
      </c>
      <c r="AD52">
        <f>HYPERLINK("https://klasma.github.io/Logging_2021/tillsynsmail/S 940-2024 tillsynsbegäran mail.docx", "S 940-2024")</f>
        <v/>
      </c>
    </row>
    <row r="53" ht="15" customHeight="1">
      <c r="A53" t="inlineStr">
        <is>
          <t>A 54023-2022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46295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46295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46295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46295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46295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46295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46295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46295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46295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46295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46295</v>
      </c>
      <c r="F63" t="inlineStr">
        <is>
          <t>DALARNAS LÄN</t>
        </is>
      </c>
      <c r="G63" t="inlineStr">
        <is>
          <t>VANSBRO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46295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46295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46295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46295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44774</v>
      </c>
      <c r="E68" s="1" t="n">
        <v>46295</v>
      </c>
      <c r="F68" t="inlineStr">
        <is>
          <t>DALARNAS LÄN</t>
        </is>
      </c>
      <c r="G68" t="inlineStr">
        <is>
          <t>VANSBRO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44614</v>
      </c>
      <c r="E69" s="1" t="n">
        <v>46295</v>
      </c>
      <c r="F69" t="inlineStr">
        <is>
          <t>DALARNAS LÄN</t>
        </is>
      </c>
      <c r="G69" t="inlineStr">
        <is>
          <t>VANSBRO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46295</v>
      </c>
      <c r="F70" t="inlineStr">
        <is>
          <t>DALARNAS LÄN</t>
        </is>
      </c>
      <c r="G70" t="inlineStr">
        <is>
          <t>VANSBRO</t>
        </is>
      </c>
      <c r="H70" t="inlineStr">
        <is>
          <t>Övriga statliga verk och myndigheter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46295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46295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väst AB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46295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46295</v>
      </c>
      <c r="F74" t="inlineStr">
        <is>
          <t>DALARNAS LÄN</t>
        </is>
      </c>
      <c r="G74" t="inlineStr">
        <is>
          <t>VANSBRO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46295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56098-2021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44477</v>
      </c>
      <c r="E76" s="1" t="n">
        <v>46295</v>
      </c>
      <c r="F76" t="inlineStr">
        <is>
          <t>DALARNAS LÄN</t>
        </is>
      </c>
      <c r="G76" t="inlineStr">
        <is>
          <t>VANSBRO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46295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46295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46295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46295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46295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46295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46295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45363</v>
      </c>
      <c r="E84" s="1" t="n">
        <v>46295</v>
      </c>
      <c r="F84" t="inlineStr">
        <is>
          <t>DALARNAS LÄN</t>
        </is>
      </c>
      <c r="G84" t="inlineStr">
        <is>
          <t>VANSBRO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46295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46295</v>
      </c>
      <c r="F86" t="inlineStr">
        <is>
          <t>DALARNAS LÄN</t>
        </is>
      </c>
      <c r="G86" t="inlineStr">
        <is>
          <t>VANSBRO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45533</v>
      </c>
      <c r="E87" s="1" t="n">
        <v>46295</v>
      </c>
      <c r="F87" t="inlineStr">
        <is>
          <t>DALARNAS LÄN</t>
        </is>
      </c>
      <c r="G87" t="inlineStr">
        <is>
          <t>VANSBRO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46295</v>
      </c>
      <c r="F88" t="inlineStr">
        <is>
          <t>DALARNAS LÄN</t>
        </is>
      </c>
      <c r="G88" t="inlineStr">
        <is>
          <t>VANSBRO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45512</v>
      </c>
      <c r="E89" s="1" t="n">
        <v>46295</v>
      </c>
      <c r="F89" t="inlineStr">
        <is>
          <t>DALARNAS LÄN</t>
        </is>
      </c>
      <c r="G89" t="inlineStr">
        <is>
          <t>VANSBRO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29411-2024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45483</v>
      </c>
      <c r="E90" s="1" t="n">
        <v>46295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46295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49565-2022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44862</v>
      </c>
      <c r="E92" s="1" t="n">
        <v>46295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72635-2021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46295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45588</v>
      </c>
      <c r="E94" s="1" t="n">
        <v>46295</v>
      </c>
      <c r="F94" t="inlineStr">
        <is>
          <t>DALARNAS LÄN</t>
        </is>
      </c>
      <c r="G94" t="inlineStr">
        <is>
          <t>VANSBRO</t>
        </is>
      </c>
      <c r="H94" t="inlineStr">
        <is>
          <t>Övriga statliga verk och myndigheter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45793</v>
      </c>
      <c r="E95" s="1" t="n">
        <v>46295</v>
      </c>
      <c r="F95" t="inlineStr">
        <is>
          <t>DALARNAS LÄN</t>
        </is>
      </c>
      <c r="G95" t="inlineStr">
        <is>
          <t>VANSBRO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45457</v>
      </c>
      <c r="E96" s="1" t="n">
        <v>46295</v>
      </c>
      <c r="F96" t="inlineStr">
        <is>
          <t>DALARNAS LÄN</t>
        </is>
      </c>
      <c r="G96" t="inlineStr">
        <is>
          <t>VANSBRO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46295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38670-2025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45884</v>
      </c>
      <c r="E98" s="1" t="n">
        <v>46295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46295</v>
      </c>
      <c r="F99" t="inlineStr">
        <is>
          <t>DALARNAS LÄN</t>
        </is>
      </c>
      <c r="G99" t="inlineStr">
        <is>
          <t>VANSBRO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45222</v>
      </c>
      <c r="E100" s="1" t="n">
        <v>46295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46295</v>
      </c>
      <c r="F101" t="inlineStr">
        <is>
          <t>DALARNAS LÄN</t>
        </is>
      </c>
      <c r="G101" t="inlineStr">
        <is>
          <t>VANSBRO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46295</v>
      </c>
      <c r="F102" t="inlineStr">
        <is>
          <t>DALARNAS LÄN</t>
        </is>
      </c>
      <c r="G102" t="inlineStr">
        <is>
          <t>VANSBRO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46295</v>
      </c>
      <c r="F103" t="inlineStr">
        <is>
          <t>DALARNAS LÄN</t>
        </is>
      </c>
      <c r="G103" t="inlineStr">
        <is>
          <t>VANSBRO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46295</v>
      </c>
      <c r="F104" t="inlineStr">
        <is>
          <t>DALARNAS LÄN</t>
        </is>
      </c>
      <c r="G104" t="inlineStr">
        <is>
          <t>VANSBRO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45798</v>
      </c>
      <c r="E105" s="1" t="n">
        <v>46295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46295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46295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45377</v>
      </c>
      <c r="E108" s="1" t="n">
        <v>46295</v>
      </c>
      <c r="F108" t="inlineStr">
        <is>
          <t>DALARNAS LÄN</t>
        </is>
      </c>
      <c r="G108" t="inlineStr">
        <is>
          <t>VANSBRO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32820-2024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45516</v>
      </c>
      <c r="E109" s="1" t="n">
        <v>46295</v>
      </c>
      <c r="F109" t="inlineStr">
        <is>
          <t>DALARNAS LÄN</t>
        </is>
      </c>
      <c r="G109" t="inlineStr">
        <is>
          <t>VANSBRO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46295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46295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45644</v>
      </c>
      <c r="E112" s="1" t="n">
        <v>46295</v>
      </c>
      <c r="F112" t="inlineStr">
        <is>
          <t>DALARNAS LÄN</t>
        </is>
      </c>
      <c r="G112" t="inlineStr">
        <is>
          <t>VANSBRO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46295</v>
      </c>
      <c r="F113" t="inlineStr">
        <is>
          <t>DALARNAS LÄN</t>
        </is>
      </c>
      <c r="G113" t="inlineStr">
        <is>
          <t>VANSBRO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46295</v>
      </c>
      <c r="F114" t="inlineStr">
        <is>
          <t>DALARNAS LÄN</t>
        </is>
      </c>
      <c r="G114" t="inlineStr">
        <is>
          <t>VANSBRO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46295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45807</v>
      </c>
      <c r="E116" s="1" t="n">
        <v>46295</v>
      </c>
      <c r="F116" t="inlineStr">
        <is>
          <t>DALARNAS LÄN</t>
        </is>
      </c>
      <c r="G116" t="inlineStr">
        <is>
          <t>VANSBRO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45807</v>
      </c>
      <c r="E117" s="1" t="n">
        <v>46295</v>
      </c>
      <c r="F117" t="inlineStr">
        <is>
          <t>DALARNAS LÄN</t>
        </is>
      </c>
      <c r="G117" t="inlineStr">
        <is>
          <t>VANSBRO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63816-2021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46295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17.6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46295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46295</v>
      </c>
      <c r="F120" t="inlineStr">
        <is>
          <t>DALARNAS LÄN</t>
        </is>
      </c>
      <c r="G120" t="inlineStr">
        <is>
          <t>VANSBRO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45491</v>
      </c>
      <c r="E121" s="1" t="n">
        <v>46295</v>
      </c>
      <c r="F121" t="inlineStr">
        <is>
          <t>DALARNAS LÄN</t>
        </is>
      </c>
      <c r="G121" t="inlineStr">
        <is>
          <t>VANSBRO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46033</v>
      </c>
      <c r="E122" s="1" t="n">
        <v>46295</v>
      </c>
      <c r="F122" t="inlineStr">
        <is>
          <t>DALARNAS LÄN</t>
        </is>
      </c>
      <c r="G122" t="inlineStr">
        <is>
          <t>VANSBRO</t>
        </is>
      </c>
      <c r="I122" t="n">
        <v>9.9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46295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46295</v>
      </c>
      <c r="F124" t="inlineStr">
        <is>
          <t>DALARNAS LÄN</t>
        </is>
      </c>
      <c r="G124" t="inlineStr">
        <is>
          <t>VANSBRO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46295</v>
      </c>
      <c r="F125" t="inlineStr">
        <is>
          <t>DALARNAS LÄN</t>
        </is>
      </c>
      <c r="G125" t="inlineStr">
        <is>
          <t>VANSBRO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38034-2024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46295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45695</v>
      </c>
      <c r="E127" s="1" t="n">
        <v>46295</v>
      </c>
      <c r="F127" t="inlineStr">
        <is>
          <t>DALARNAS LÄN</t>
        </is>
      </c>
      <c r="G127" t="inlineStr">
        <is>
          <t>VANSBRO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46295</v>
      </c>
      <c r="F128" t="inlineStr">
        <is>
          <t>DALARNAS LÄN</t>
        </is>
      </c>
      <c r="G128" t="inlineStr">
        <is>
          <t>VANSBRO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46295</v>
      </c>
      <c r="F129" t="inlineStr">
        <is>
          <t>DALARNAS LÄN</t>
        </is>
      </c>
      <c r="G129" t="inlineStr">
        <is>
          <t>VANSBRO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45819</v>
      </c>
      <c r="E130" s="1" t="n">
        <v>46295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öst AB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46295</v>
      </c>
      <c r="F131" t="inlineStr">
        <is>
          <t>DALARNAS LÄN</t>
        </is>
      </c>
      <c r="G131" t="inlineStr">
        <is>
          <t>VANSBRO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46295</v>
      </c>
      <c r="F132" t="inlineStr">
        <is>
          <t>DALARNAS LÄN</t>
        </is>
      </c>
      <c r="G132" t="inlineStr">
        <is>
          <t>VANSBRO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45183</v>
      </c>
      <c r="E133" s="1" t="n">
        <v>46295</v>
      </c>
      <c r="F133" t="inlineStr">
        <is>
          <t>DALARNAS LÄN</t>
        </is>
      </c>
      <c r="G133" t="inlineStr">
        <is>
          <t>VANSBRO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46295</v>
      </c>
      <c r="F134" t="inlineStr">
        <is>
          <t>DALARNAS LÄN</t>
        </is>
      </c>
      <c r="G134" t="inlineStr">
        <is>
          <t>VANSBRO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45832</v>
      </c>
      <c r="E135" s="1" t="n">
        <v>46295</v>
      </c>
      <c r="F135" t="inlineStr">
        <is>
          <t>DALARNAS LÄN</t>
        </is>
      </c>
      <c r="G135" t="inlineStr">
        <is>
          <t>VANSBRO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46295</v>
      </c>
      <c r="F136" t="inlineStr">
        <is>
          <t>DALARNAS LÄN</t>
        </is>
      </c>
      <c r="G136" t="inlineStr">
        <is>
          <t>VANSBRO</t>
        </is>
      </c>
      <c r="I136" t="n">
        <v>27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46295</v>
      </c>
      <c r="F137" t="inlineStr">
        <is>
          <t>DALARNAS LÄN</t>
        </is>
      </c>
      <c r="G137" t="inlineStr">
        <is>
          <t>VANSBRO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46295</v>
      </c>
      <c r="F138" t="inlineStr">
        <is>
          <t>DALARNAS LÄN</t>
        </is>
      </c>
      <c r="G138" t="inlineStr">
        <is>
          <t>VANSBRO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45689</v>
      </c>
      <c r="E139" s="1" t="n">
        <v>46295</v>
      </c>
      <c r="F139" t="inlineStr">
        <is>
          <t>DALARNAS LÄN</t>
        </is>
      </c>
      <c r="G139" t="inlineStr">
        <is>
          <t>VANSBRO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46295</v>
      </c>
      <c r="F140" t="inlineStr">
        <is>
          <t>DALARNAS LÄN</t>
        </is>
      </c>
      <c r="G140" t="inlineStr">
        <is>
          <t>VANSBRO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46295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öst AB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46295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46295</v>
      </c>
      <c r="F143" t="inlineStr">
        <is>
          <t>DALARNAS LÄN</t>
        </is>
      </c>
      <c r="G143" t="inlineStr">
        <is>
          <t>VANSBRO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46295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51400-2024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45604</v>
      </c>
      <c r="E145" s="1" t="n">
        <v>46295</v>
      </c>
      <c r="F145" t="inlineStr">
        <is>
          <t>DALARNAS LÄN</t>
        </is>
      </c>
      <c r="G145" t="inlineStr">
        <is>
          <t>VANSBRO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45846</v>
      </c>
      <c r="E146" s="1" t="n">
        <v>46295</v>
      </c>
      <c r="F146" t="inlineStr">
        <is>
          <t>DALARNAS LÄN</t>
        </is>
      </c>
      <c r="G146" t="inlineStr">
        <is>
          <t>VANSBRO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46295</v>
      </c>
      <c r="F147" t="inlineStr">
        <is>
          <t>DALARNAS LÄN</t>
        </is>
      </c>
      <c r="G147" t="inlineStr">
        <is>
          <t>VANSBRO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46295</v>
      </c>
      <c r="F148" t="inlineStr">
        <is>
          <t>DALARNAS LÄN</t>
        </is>
      </c>
      <c r="G148" t="inlineStr">
        <is>
          <t>VANSBRO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48840-2025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45937</v>
      </c>
      <c r="E149" s="1" t="n">
        <v>46295</v>
      </c>
      <c r="F149" t="inlineStr">
        <is>
          <t>DALARNAS LÄN</t>
        </is>
      </c>
      <c r="G149" t="inlineStr">
        <is>
          <t>VANSBRO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45772</v>
      </c>
      <c r="E150" s="1" t="n">
        <v>46295</v>
      </c>
      <c r="F150" t="inlineStr">
        <is>
          <t>DALARNAS LÄN</t>
        </is>
      </c>
      <c r="G150" t="inlineStr">
        <is>
          <t>VANSBRO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46295</v>
      </c>
      <c r="F151" t="inlineStr">
        <is>
          <t>DALARNAS LÄN</t>
        </is>
      </c>
      <c r="G151" t="inlineStr">
        <is>
          <t>VANSBRO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46295</v>
      </c>
      <c r="F152" t="inlineStr">
        <is>
          <t>DALARNAS LÄN</t>
        </is>
      </c>
      <c r="G152" t="inlineStr">
        <is>
          <t>VANSBRO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46295</v>
      </c>
      <c r="F153" t="inlineStr">
        <is>
          <t>DALARNAS LÄN</t>
        </is>
      </c>
      <c r="G153" t="inlineStr">
        <is>
          <t>VANSBRO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45854</v>
      </c>
      <c r="E154" s="1" t="n">
        <v>46295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46295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öst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45498</v>
      </c>
      <c r="E156" s="1" t="n">
        <v>46295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öst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44966</v>
      </c>
      <c r="E157" s="1" t="n">
        <v>46295</v>
      </c>
      <c r="F157" t="inlineStr">
        <is>
          <t>DALARNAS LÄN</t>
        </is>
      </c>
      <c r="G157" t="inlineStr">
        <is>
          <t>VANSBRO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45860</v>
      </c>
      <c r="E158" s="1" t="n">
        <v>46295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öst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46295</v>
      </c>
      <c r="F159" t="inlineStr">
        <is>
          <t>DALARNAS LÄN</t>
        </is>
      </c>
      <c r="G159" t="inlineStr">
        <is>
          <t>VANSBRO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46295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45754</v>
      </c>
      <c r="E161" s="1" t="n">
        <v>46295</v>
      </c>
      <c r="F161" t="inlineStr">
        <is>
          <t>DALARNAS LÄN</t>
        </is>
      </c>
      <c r="G161" t="inlineStr">
        <is>
          <t>VANSBRO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45085</v>
      </c>
      <c r="E162" s="1" t="n">
        <v>46295</v>
      </c>
      <c r="F162" t="inlineStr">
        <is>
          <t>DALARNAS LÄN</t>
        </is>
      </c>
      <c r="G162" t="inlineStr">
        <is>
          <t>VANSBRO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45082</v>
      </c>
      <c r="E163" s="1" t="n">
        <v>46295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46295</v>
      </c>
      <c r="F164" t="inlineStr">
        <is>
          <t>DALARNAS LÄN</t>
        </is>
      </c>
      <c r="G164" t="inlineStr">
        <is>
          <t>VANSBRO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45868</v>
      </c>
      <c r="E165" s="1" t="n">
        <v>46295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46050</v>
      </c>
      <c r="E166" s="1" t="n">
        <v>46295</v>
      </c>
      <c r="F166" t="inlineStr">
        <is>
          <t>DALARNAS LÄN</t>
        </is>
      </c>
      <c r="G166" t="inlineStr">
        <is>
          <t>VANSBRO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46295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46295</v>
      </c>
      <c r="F168" t="inlineStr">
        <is>
          <t>DALARNAS LÄN</t>
        </is>
      </c>
      <c r="G168" t="inlineStr">
        <is>
          <t>VANSBRO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46295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46295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20931-2022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44701</v>
      </c>
      <c r="E171" s="1" t="n">
        <v>46295</v>
      </c>
      <c r="F171" t="inlineStr">
        <is>
          <t>DALARNAS LÄN</t>
        </is>
      </c>
      <c r="G171" t="inlineStr">
        <is>
          <t>VANSBRO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45184</v>
      </c>
      <c r="E172" s="1" t="n">
        <v>46295</v>
      </c>
      <c r="F172" t="inlineStr">
        <is>
          <t>DALARNAS LÄN</t>
        </is>
      </c>
      <c r="G172" t="inlineStr">
        <is>
          <t>VANSBRO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46052</v>
      </c>
      <c r="E173" s="1" t="n">
        <v>46295</v>
      </c>
      <c r="F173" t="inlineStr">
        <is>
          <t>DALARNAS LÄN</t>
        </is>
      </c>
      <c r="G173" t="inlineStr">
        <is>
          <t>VANSBRO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46295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46295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10.2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46295</v>
      </c>
      <c r="F176" t="inlineStr">
        <is>
          <t>DALARNAS LÄN</t>
        </is>
      </c>
      <c r="G176" t="inlineStr">
        <is>
          <t>VANSBRO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46295</v>
      </c>
      <c r="F177" t="inlineStr">
        <is>
          <t>DALARNAS LÄN</t>
        </is>
      </c>
      <c r="G177" t="inlineStr">
        <is>
          <t>VANSBRO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46295</v>
      </c>
      <c r="F178" t="inlineStr">
        <is>
          <t>DALARNAS LÄN</t>
        </is>
      </c>
      <c r="G178" t="inlineStr">
        <is>
          <t>VANSBRO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45772</v>
      </c>
      <c r="E179" s="1" t="n">
        <v>46295</v>
      </c>
      <c r="F179" t="inlineStr">
        <is>
          <t>DALARNAS LÄN</t>
        </is>
      </c>
      <c r="G179" t="inlineStr">
        <is>
          <t>VANSBRO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46295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46295</v>
      </c>
      <c r="F181" t="inlineStr">
        <is>
          <t>DALARNAS LÄN</t>
        </is>
      </c>
      <c r="G181" t="inlineStr">
        <is>
          <t>VANSBRO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46058</v>
      </c>
      <c r="E182" s="1" t="n">
        <v>46295</v>
      </c>
      <c r="F182" t="inlineStr">
        <is>
          <t>DALARNAS LÄN</t>
        </is>
      </c>
      <c r="G182" t="inlineStr">
        <is>
          <t>VANSBRO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45956</v>
      </c>
      <c r="E183" s="1" t="n">
        <v>46295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46057</v>
      </c>
      <c r="E184" s="1" t="n">
        <v>46295</v>
      </c>
      <c r="F184" t="inlineStr">
        <is>
          <t>DALARNAS LÄN</t>
        </is>
      </c>
      <c r="G184" t="inlineStr">
        <is>
          <t>VANSBRO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46295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45689</v>
      </c>
      <c r="E186" s="1" t="n">
        <v>46295</v>
      </c>
      <c r="F186" t="inlineStr">
        <is>
          <t>DALARNAS LÄN</t>
        </is>
      </c>
      <c r="G186" t="inlineStr">
        <is>
          <t>VANSBRO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46295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46295</v>
      </c>
      <c r="F188" t="inlineStr">
        <is>
          <t>DALARNAS LÄN</t>
        </is>
      </c>
      <c r="G188" t="inlineStr">
        <is>
          <t>VANSBRO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45244</v>
      </c>
      <c r="E189" s="1" t="n">
        <v>46295</v>
      </c>
      <c r="F189" t="inlineStr">
        <is>
          <t>DALARNAS LÄN</t>
        </is>
      </c>
      <c r="G189" t="inlineStr">
        <is>
          <t>VANSBRO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46295</v>
      </c>
      <c r="F190" t="inlineStr">
        <is>
          <t>DALARNAS LÄN</t>
        </is>
      </c>
      <c r="G190" t="inlineStr">
        <is>
          <t>VANSBRO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46295</v>
      </c>
      <c r="F191" t="inlineStr">
        <is>
          <t>DALARNAS LÄN</t>
        </is>
      </c>
      <c r="G191" t="inlineStr">
        <is>
          <t>VANSBRO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45964</v>
      </c>
      <c r="E192" s="1" t="n">
        <v>46295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öst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46295</v>
      </c>
      <c r="F193" t="inlineStr">
        <is>
          <t>DALARNAS LÄN</t>
        </is>
      </c>
      <c r="G193" t="inlineStr">
        <is>
          <t>VANSBRO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46295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46295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50533-2024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46295</v>
      </c>
      <c r="F196" t="inlineStr">
        <is>
          <t>DALARNAS LÄN</t>
        </is>
      </c>
      <c r="G196" t="inlineStr">
        <is>
          <t>VANSBRO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46295</v>
      </c>
      <c r="F197" t="inlineStr">
        <is>
          <t>DALARNAS LÄN</t>
        </is>
      </c>
      <c r="G197" t="inlineStr">
        <is>
          <t>VANSBRO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46295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8.4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46295</v>
      </c>
      <c r="F199" t="inlineStr">
        <is>
          <t>DALARNAS LÄN</t>
        </is>
      </c>
      <c r="G199" t="inlineStr">
        <is>
          <t>VANSBRO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45481</v>
      </c>
      <c r="E200" s="1" t="n">
        <v>46295</v>
      </c>
      <c r="F200" t="inlineStr">
        <is>
          <t>DALARNAS LÄN</t>
        </is>
      </c>
      <c r="G200" t="inlineStr">
        <is>
          <t>VANSBRO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46041</v>
      </c>
      <c r="E201" s="1" t="n">
        <v>46295</v>
      </c>
      <c r="F201" t="inlineStr">
        <is>
          <t>DALARNAS LÄN</t>
        </is>
      </c>
      <c r="G201" t="inlineStr">
        <is>
          <t>VANSBRO</t>
        </is>
      </c>
      <c r="I201" t="n">
        <v>15.1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46295</v>
      </c>
      <c r="F202" t="inlineStr">
        <is>
          <t>DALARNAS LÄN</t>
        </is>
      </c>
      <c r="G202" t="inlineStr">
        <is>
          <t>VANSBRO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46295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46295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46295</v>
      </c>
      <c r="F205" t="inlineStr">
        <is>
          <t>DALARNAS LÄN</t>
        </is>
      </c>
      <c r="G205" t="inlineStr">
        <is>
          <t>VANSBRO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45666</v>
      </c>
      <c r="E206" s="1" t="n">
        <v>46295</v>
      </c>
      <c r="F206" t="inlineStr">
        <is>
          <t>DALARNAS LÄN</t>
        </is>
      </c>
      <c r="G206" t="inlineStr">
        <is>
          <t>VANSBRO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46295</v>
      </c>
      <c r="F207" t="inlineStr">
        <is>
          <t>DALARNAS LÄN</t>
        </is>
      </c>
      <c r="G207" t="inlineStr">
        <is>
          <t>VANSBRO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46295</v>
      </c>
      <c r="F208" t="inlineStr">
        <is>
          <t>DALARNAS LÄN</t>
        </is>
      </c>
      <c r="G208" t="inlineStr">
        <is>
          <t>VANSBRO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44734</v>
      </c>
      <c r="E209" s="1" t="n">
        <v>46295</v>
      </c>
      <c r="F209" t="inlineStr">
        <is>
          <t>DALARNAS LÄN</t>
        </is>
      </c>
      <c r="G209" t="inlineStr">
        <is>
          <t>VANSBRO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45240</v>
      </c>
      <c r="E210" s="1" t="n">
        <v>46295</v>
      </c>
      <c r="F210" t="inlineStr">
        <is>
          <t>DALARNAS LÄN</t>
        </is>
      </c>
      <c r="G210" t="inlineStr">
        <is>
          <t>VANSBRO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64072-2025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46021</v>
      </c>
      <c r="E211" s="1" t="n">
        <v>46295</v>
      </c>
      <c r="F211" t="inlineStr">
        <is>
          <t>DALARNAS LÄN</t>
        </is>
      </c>
      <c r="G211" t="inlineStr">
        <is>
          <t>VANSBRO</t>
        </is>
      </c>
      <c r="I211" t="n">
        <v>19.1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46295</v>
      </c>
      <c r="F212" t="inlineStr">
        <is>
          <t>DALARNAS LÄN</t>
        </is>
      </c>
      <c r="G212" t="inlineStr">
        <is>
          <t>VANSBRO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46295</v>
      </c>
      <c r="F213" t="inlineStr">
        <is>
          <t>DALARNAS LÄN</t>
        </is>
      </c>
      <c r="G213" t="inlineStr">
        <is>
          <t>VANSBRO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46295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51396-2022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44869</v>
      </c>
      <c r="E215" s="1" t="n">
        <v>46295</v>
      </c>
      <c r="F215" t="inlineStr">
        <is>
          <t>DALARNAS LÄN</t>
        </is>
      </c>
      <c r="G215" t="inlineStr">
        <is>
          <t>VANSBRO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46295</v>
      </c>
      <c r="F216" t="inlineStr">
        <is>
          <t>DALARNAS LÄN</t>
        </is>
      </c>
      <c r="G216" t="inlineStr">
        <is>
          <t>VANSBRO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46295</v>
      </c>
      <c r="F217" t="inlineStr">
        <is>
          <t>DALARNAS LÄN</t>
        </is>
      </c>
      <c r="G217" t="inlineStr">
        <is>
          <t>VANSBRO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46295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46295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45631</v>
      </c>
      <c r="E220" s="1" t="n">
        <v>46295</v>
      </c>
      <c r="F220" t="inlineStr">
        <is>
          <t>DALARNAS LÄN</t>
        </is>
      </c>
      <c r="G220" t="inlineStr">
        <is>
          <t>VANSBRO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46295</v>
      </c>
      <c r="F221" t="inlineStr">
        <is>
          <t>DALARNAS LÄN</t>
        </is>
      </c>
      <c r="G221" t="inlineStr">
        <is>
          <t>VANSBRO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45987</v>
      </c>
      <c r="E222" s="1" t="n">
        <v>46295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6.9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46082</v>
      </c>
      <c r="E223" s="1" t="n">
        <v>46295</v>
      </c>
      <c r="F223" t="inlineStr">
        <is>
          <t>DALARNAS LÄN</t>
        </is>
      </c>
      <c r="G223" t="inlineStr">
        <is>
          <t>VANSBRO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44820</v>
      </c>
      <c r="E224" s="1" t="n">
        <v>46295</v>
      </c>
      <c r="F224" t="inlineStr">
        <is>
          <t>DALARNAS LÄN</t>
        </is>
      </c>
      <c r="G224" t="inlineStr">
        <is>
          <t>VANSBRO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46295</v>
      </c>
      <c r="F225" t="inlineStr">
        <is>
          <t>DALARNAS LÄN</t>
        </is>
      </c>
      <c r="G225" t="inlineStr">
        <is>
          <t>VANSBRO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46295</v>
      </c>
      <c r="F226" t="inlineStr">
        <is>
          <t>DALARNAS LÄN</t>
        </is>
      </c>
      <c r="G226" t="inlineStr">
        <is>
          <t>VANSBRO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46295</v>
      </c>
      <c r="F227" t="inlineStr">
        <is>
          <t>DALARNAS LÄN</t>
        </is>
      </c>
      <c r="G227" t="inlineStr">
        <is>
          <t>VANSBRO</t>
        </is>
      </c>
      <c r="H227" t="inlineStr">
        <is>
          <t>Övriga statliga verk och myndigheter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46082</v>
      </c>
      <c r="E228" s="1" t="n">
        <v>46295</v>
      </c>
      <c r="F228" t="inlineStr">
        <is>
          <t>DALARNAS LÄN</t>
        </is>
      </c>
      <c r="G228" t="inlineStr">
        <is>
          <t>VANSBRO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46295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45691</v>
      </c>
      <c r="E230" s="1" t="n">
        <v>46295</v>
      </c>
      <c r="F230" t="inlineStr">
        <is>
          <t>DALARNAS LÄN</t>
        </is>
      </c>
      <c r="G230" t="inlineStr">
        <is>
          <t>VANSBRO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45691</v>
      </c>
      <c r="E231" s="1" t="n">
        <v>46295</v>
      </c>
      <c r="F231" t="inlineStr">
        <is>
          <t>DALARNAS LÄN</t>
        </is>
      </c>
      <c r="G231" t="inlineStr">
        <is>
          <t>VANSBRO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4680-2023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44957</v>
      </c>
      <c r="E232" s="1" t="n">
        <v>46295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46295</v>
      </c>
      <c r="F233" t="inlineStr">
        <is>
          <t>DALARNAS LÄN</t>
        </is>
      </c>
      <c r="G233" t="inlineStr">
        <is>
          <t>VANSBRO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46295</v>
      </c>
      <c r="F234" t="inlineStr">
        <is>
          <t>DALARNAS LÄN</t>
        </is>
      </c>
      <c r="G234" t="inlineStr">
        <is>
          <t>VANSBRO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46090</v>
      </c>
      <c r="E235" s="1" t="n">
        <v>46295</v>
      </c>
      <c r="F235" t="inlineStr">
        <is>
          <t>DALARNAS LÄN</t>
        </is>
      </c>
      <c r="G235" t="inlineStr">
        <is>
          <t>VANSBRO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45530</v>
      </c>
      <c r="E236" s="1" t="n">
        <v>46295</v>
      </c>
      <c r="F236" t="inlineStr">
        <is>
          <t>DALARNAS LÄN</t>
        </is>
      </c>
      <c r="G236" t="inlineStr">
        <is>
          <t>VANSBRO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46295</v>
      </c>
      <c r="F237" t="inlineStr">
        <is>
          <t>DALARNAS LÄN</t>
        </is>
      </c>
      <c r="G237" t="inlineStr">
        <is>
          <t>VANSBRO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46295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46295</v>
      </c>
      <c r="F239" t="inlineStr">
        <is>
          <t>DALARNAS LÄN</t>
        </is>
      </c>
      <c r="G239" t="inlineStr">
        <is>
          <t>VANSBRO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46295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46295</v>
      </c>
      <c r="F241" t="inlineStr">
        <is>
          <t>DALARNAS LÄN</t>
        </is>
      </c>
      <c r="G241" t="inlineStr">
        <is>
          <t>VANSBRO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45764</v>
      </c>
      <c r="E242" s="1" t="n">
        <v>46295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46295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46295</v>
      </c>
      <c r="F244" t="inlineStr">
        <is>
          <t>DALARNAS LÄN</t>
        </is>
      </c>
      <c r="G244" t="inlineStr">
        <is>
          <t>VANSBRO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46295</v>
      </c>
      <c r="F245" t="inlineStr">
        <is>
          <t>DALARNAS LÄN</t>
        </is>
      </c>
      <c r="G245" t="inlineStr">
        <is>
          <t>VANSBRO</t>
        </is>
      </c>
      <c r="H245" t="inlineStr">
        <is>
          <t>Kommuner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46295</v>
      </c>
      <c r="F246" t="inlineStr">
        <is>
          <t>DALARNAS LÄN</t>
        </is>
      </c>
      <c r="G246" t="inlineStr">
        <is>
          <t>VANSBRO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45689</v>
      </c>
      <c r="E247" s="1" t="n">
        <v>46295</v>
      </c>
      <c r="F247" t="inlineStr">
        <is>
          <t>DALARNAS LÄN</t>
        </is>
      </c>
      <c r="G247" t="inlineStr">
        <is>
          <t>VANSBRO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45689</v>
      </c>
      <c r="E248" s="1" t="n">
        <v>46295</v>
      </c>
      <c r="F248" t="inlineStr">
        <is>
          <t>DALARNAS LÄN</t>
        </is>
      </c>
      <c r="G248" t="inlineStr">
        <is>
          <t>VANSBRO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46108</v>
      </c>
      <c r="E249" s="1" t="n">
        <v>46295</v>
      </c>
      <c r="F249" t="inlineStr">
        <is>
          <t>DALARNAS LÄN</t>
        </is>
      </c>
      <c r="G249" t="inlineStr">
        <is>
          <t>VANSBRO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46112</v>
      </c>
      <c r="E250" s="1" t="n">
        <v>46295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16952-2026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46114</v>
      </c>
      <c r="E251" s="1" t="n">
        <v>46295</v>
      </c>
      <c r="F251" t="inlineStr">
        <is>
          <t>DALARNAS LÄN</t>
        </is>
      </c>
      <c r="G251" t="inlineStr">
        <is>
          <t>VANSBRO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46113</v>
      </c>
      <c r="E252" s="1" t="n">
        <v>46295</v>
      </c>
      <c r="F252" t="inlineStr">
        <is>
          <t>DALARNAS LÄN</t>
        </is>
      </c>
      <c r="G252" t="inlineStr">
        <is>
          <t>VANSBRO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17321-2026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46119</v>
      </c>
      <c r="E253" s="1" t="n">
        <v>46295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8694-2023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44972</v>
      </c>
      <c r="E254" s="1" t="n">
        <v>46295</v>
      </c>
      <c r="F254" t="inlineStr">
        <is>
          <t>DALARNAS LÄN</t>
        </is>
      </c>
      <c r="G254" t="inlineStr">
        <is>
          <t>VANSBRO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44908</v>
      </c>
      <c r="E255" s="1" t="n">
        <v>46295</v>
      </c>
      <c r="F255" t="inlineStr">
        <is>
          <t>DALARNAS LÄN</t>
        </is>
      </c>
      <c r="G255" t="inlineStr">
        <is>
          <t>VANSBRO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46295</v>
      </c>
      <c r="F256" t="inlineStr">
        <is>
          <t>DALARNAS LÄN</t>
        </is>
      </c>
      <c r="G256" t="inlineStr">
        <is>
          <t>VANSBRO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46295</v>
      </c>
      <c r="F257" t="inlineStr">
        <is>
          <t>DALARNAS LÄN</t>
        </is>
      </c>
      <c r="G257" t="inlineStr">
        <is>
          <t>VANSBRO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46295</v>
      </c>
      <c r="F258" t="inlineStr">
        <is>
          <t>DALARNAS LÄN</t>
        </is>
      </c>
      <c r="G258" t="inlineStr">
        <is>
          <t>VANSBRO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46295</v>
      </c>
      <c r="F259" t="inlineStr">
        <is>
          <t>DALARNAS LÄN</t>
        </is>
      </c>
      <c r="G259" t="inlineStr">
        <is>
          <t>VANSBRO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46120</v>
      </c>
      <c r="E260" s="1" t="n">
        <v>46295</v>
      </c>
      <c r="F260" t="inlineStr">
        <is>
          <t>DALARNAS LÄN</t>
        </is>
      </c>
      <c r="G260" t="inlineStr">
        <is>
          <t>VANSBRO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46295</v>
      </c>
      <c r="F261" t="inlineStr">
        <is>
          <t>DALARNAS LÄN</t>
        </is>
      </c>
      <c r="G261" t="inlineStr">
        <is>
          <t>VANSBRO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46124</v>
      </c>
      <c r="E262" s="1" t="n">
        <v>46295</v>
      </c>
      <c r="F262" t="inlineStr">
        <is>
          <t>DALARNAS LÄN</t>
        </is>
      </c>
      <c r="G262" t="inlineStr">
        <is>
          <t>VANSBRO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18140-2026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46125</v>
      </c>
      <c r="E263" s="1" t="n">
        <v>46295</v>
      </c>
      <c r="F263" t="inlineStr">
        <is>
          <t>DALARNAS LÄN</t>
        </is>
      </c>
      <c r="G263" t="inlineStr">
        <is>
          <t>VANSBRO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18586-2026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46127</v>
      </c>
      <c r="E264" s="1" t="n">
        <v>46295</v>
      </c>
      <c r="F264" t="inlineStr">
        <is>
          <t>DALARNAS LÄN</t>
        </is>
      </c>
      <c r="G264" t="inlineStr">
        <is>
          <t>VANSBRO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46127</v>
      </c>
      <c r="E265" s="1" t="n">
        <v>46295</v>
      </c>
      <c r="F265" t="inlineStr">
        <is>
          <t>DALARNAS LÄN</t>
        </is>
      </c>
      <c r="G265" t="inlineStr">
        <is>
          <t>VANSBRO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46127</v>
      </c>
      <c r="E266" s="1" t="n">
        <v>46295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46127</v>
      </c>
      <c r="E267" s="1" t="n">
        <v>46295</v>
      </c>
      <c r="F267" t="inlineStr">
        <is>
          <t>DALARNAS LÄN</t>
        </is>
      </c>
      <c r="G267" t="inlineStr">
        <is>
          <t>VANSBRO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46128</v>
      </c>
      <c r="E268" s="1" t="n">
        <v>46295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46128</v>
      </c>
      <c r="E269" s="1" t="n">
        <v>46295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18709-2026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46128</v>
      </c>
      <c r="E270" s="1" t="n">
        <v>46295</v>
      </c>
      <c r="F270" t="inlineStr">
        <is>
          <t>DALARNAS LÄN</t>
        </is>
      </c>
      <c r="G270" t="inlineStr">
        <is>
          <t>VANSBRO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51606-2023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46295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46295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19809-2026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46295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öst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45776</v>
      </c>
      <c r="E274" s="1" t="n">
        <v>46295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45806</v>
      </c>
      <c r="E275" s="1" t="n">
        <v>46295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5477-2023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46295</v>
      </c>
      <c r="F276" t="inlineStr">
        <is>
          <t>DALARNAS LÄN</t>
        </is>
      </c>
      <c r="G276" t="inlineStr">
        <is>
          <t>VANSBRO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46295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öst AB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46295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60031-2022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44909</v>
      </c>
      <c r="E279" s="1" t="n">
        <v>46295</v>
      </c>
      <c r="F279" t="inlineStr">
        <is>
          <t>DALARNAS LÄN</t>
        </is>
      </c>
      <c r="G279" t="inlineStr">
        <is>
          <t>VANSBRO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57947-2023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45247</v>
      </c>
      <c r="E280" s="1" t="n">
        <v>46295</v>
      </c>
      <c r="F280" t="inlineStr">
        <is>
          <t>DALARNAS LÄN</t>
        </is>
      </c>
      <c r="G280" t="inlineStr">
        <is>
          <t>VANSBRO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46295</v>
      </c>
      <c r="F281" t="inlineStr">
        <is>
          <t>DALARNAS LÄN</t>
        </is>
      </c>
      <c r="G281" t="inlineStr">
        <is>
          <t>VANSBRO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46295</v>
      </c>
      <c r="F282" t="inlineStr">
        <is>
          <t>DALARNAS LÄN</t>
        </is>
      </c>
      <c r="G282" t="inlineStr">
        <is>
          <t>VANSBRO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35299-2024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45530</v>
      </c>
      <c r="E283" s="1" t="n">
        <v>46295</v>
      </c>
      <c r="F283" t="inlineStr">
        <is>
          <t>DALARNAS LÄN</t>
        </is>
      </c>
      <c r="G283" t="inlineStr">
        <is>
          <t>VANSBRO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13062-2023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45002</v>
      </c>
      <c r="E284" s="1" t="n">
        <v>46295</v>
      </c>
      <c r="F284" t="inlineStr">
        <is>
          <t>DALARNAS LÄN</t>
        </is>
      </c>
      <c r="G284" t="inlineStr">
        <is>
          <t>VANSBRO</t>
        </is>
      </c>
      <c r="H284" t="inlineStr">
        <is>
          <t>Övriga statliga verk och myndigheter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62622-2022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44925</v>
      </c>
      <c r="E285" s="1" t="n">
        <v>46295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45440</v>
      </c>
      <c r="E286" s="1" t="n">
        <v>46295</v>
      </c>
      <c r="F286" t="inlineStr">
        <is>
          <t>DALARNAS LÄN</t>
        </is>
      </c>
      <c r="G286" t="inlineStr">
        <is>
          <t>VANSBRO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46295</v>
      </c>
      <c r="F287" t="inlineStr">
        <is>
          <t>DALARNAS LÄN</t>
        </is>
      </c>
      <c r="G287" t="inlineStr">
        <is>
          <t>VANSBRO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45714</v>
      </c>
      <c r="E288" s="1" t="n">
        <v>46295</v>
      </c>
      <c r="F288" t="inlineStr">
        <is>
          <t>DALARNAS LÄN</t>
        </is>
      </c>
      <c r="G288" t="inlineStr">
        <is>
          <t>VANSBRO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27080-2024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46295</v>
      </c>
      <c r="F289" t="inlineStr">
        <is>
          <t>DALARNAS LÄN</t>
        </is>
      </c>
      <c r="G289" t="inlineStr">
        <is>
          <t>VANSBRO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53828-2021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44469</v>
      </c>
      <c r="E290" s="1" t="n">
        <v>46295</v>
      </c>
      <c r="F290" t="inlineStr">
        <is>
          <t>DALARNAS LÄN</t>
        </is>
      </c>
      <c r="G290" t="inlineStr">
        <is>
          <t>VANSBRO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46295</v>
      </c>
      <c r="F291" t="inlineStr">
        <is>
          <t>DALARNAS LÄN</t>
        </is>
      </c>
      <c r="G291" t="inlineStr">
        <is>
          <t>VANSBRO</t>
        </is>
      </c>
      <c r="I291" t="n">
        <v>13.9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46295</v>
      </c>
      <c r="F292" t="inlineStr">
        <is>
          <t>DALARNAS LÄN</t>
        </is>
      </c>
      <c r="G292" t="inlineStr">
        <is>
          <t>VANSBRO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46295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46021</v>
      </c>
      <c r="E294" s="1" t="n">
        <v>46295</v>
      </c>
      <c r="F294" t="inlineStr">
        <is>
          <t>DALARNAS LÄN</t>
        </is>
      </c>
      <c r="G294" t="inlineStr">
        <is>
          <t>VANSBRO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10013-2024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45363</v>
      </c>
      <c r="E295" s="1" t="n">
        <v>46295</v>
      </c>
      <c r="F295" t="inlineStr">
        <is>
          <t>DALARNAS LÄN</t>
        </is>
      </c>
      <c r="G295" t="inlineStr">
        <is>
          <t>VANSBRO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28011-2025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46295</v>
      </c>
      <c r="F296" t="inlineStr">
        <is>
          <t>DALARNAS LÄN</t>
        </is>
      </c>
      <c r="G296" t="inlineStr">
        <is>
          <t>VANSBRO</t>
        </is>
      </c>
      <c r="I296" t="n">
        <v>15.8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46141</v>
      </c>
      <c r="E297" s="1" t="n">
        <v>46295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46295</v>
      </c>
      <c r="F298" t="inlineStr">
        <is>
          <t>DALARNAS LÄN</t>
        </is>
      </c>
      <c r="G298" t="inlineStr">
        <is>
          <t>VANSBRO</t>
        </is>
      </c>
      <c r="H298" t="inlineStr">
        <is>
          <t>Övriga statliga verk och myndigheter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5420-2024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45331</v>
      </c>
      <c r="E299" s="1" t="n">
        <v>46295</v>
      </c>
      <c r="F299" t="inlineStr">
        <is>
          <t>DALARNAS LÄN</t>
        </is>
      </c>
      <c r="G299" t="inlineStr">
        <is>
          <t>VANSBRO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46149</v>
      </c>
      <c r="E300" s="1" t="n">
        <v>46295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50258-2024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46295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öst AB</t>
        </is>
      </c>
      <c r="I301" t="n">
        <v>45.8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7864-2024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45350</v>
      </c>
      <c r="E302" s="1" t="n">
        <v>46295</v>
      </c>
      <c r="F302" t="inlineStr">
        <is>
          <t>DALARNAS LÄN</t>
        </is>
      </c>
      <c r="G302" t="inlineStr">
        <is>
          <t>VANSBRO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46154</v>
      </c>
      <c r="E303" s="1" t="n">
        <v>46295</v>
      </c>
      <c r="F303" t="inlineStr">
        <is>
          <t>DALARNAS LÄN</t>
        </is>
      </c>
      <c r="G303" t="inlineStr">
        <is>
          <t>VANSBRO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46295</v>
      </c>
      <c r="F304" t="inlineStr">
        <is>
          <t>DALARNAS LÄN</t>
        </is>
      </c>
      <c r="G304" t="inlineStr">
        <is>
          <t>VANSBRO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23899-2023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45078</v>
      </c>
      <c r="E305" s="1" t="n">
        <v>46295</v>
      </c>
      <c r="F305" t="inlineStr">
        <is>
          <t>DALARNAS LÄN</t>
        </is>
      </c>
      <c r="G305" t="inlineStr">
        <is>
          <t>VANSBRO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45890</v>
      </c>
      <c r="E306" s="1" t="n">
        <v>46295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11485-2024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45372</v>
      </c>
      <c r="E307" s="1" t="n">
        <v>46295</v>
      </c>
      <c r="F307" t="inlineStr">
        <is>
          <t>DALARNAS LÄN</t>
        </is>
      </c>
      <c r="G307" t="inlineStr">
        <is>
          <t>VANSBRO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46295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45608-2023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45194</v>
      </c>
      <c r="E309" s="1" t="n">
        <v>46295</v>
      </c>
      <c r="F309" t="inlineStr">
        <is>
          <t>DALARNAS LÄN</t>
        </is>
      </c>
      <c r="G309" t="inlineStr">
        <is>
          <t>VANSBRO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13639-2022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44648</v>
      </c>
      <c r="E310" s="1" t="n">
        <v>46295</v>
      </c>
      <c r="F310" t="inlineStr">
        <is>
          <t>DALARNAS LÄN</t>
        </is>
      </c>
      <c r="G310" t="inlineStr">
        <is>
          <t>VANSBRO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23059-2026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46295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45665</v>
      </c>
      <c r="E312" s="1" t="n">
        <v>46295</v>
      </c>
      <c r="F312" t="inlineStr">
        <is>
          <t>DALARNAS LÄN</t>
        </is>
      </c>
      <c r="G312" t="inlineStr">
        <is>
          <t>VANSBRO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45762</v>
      </c>
      <c r="E313" s="1" t="n">
        <v>46295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45244</v>
      </c>
      <c r="E314" s="1" t="n">
        <v>46295</v>
      </c>
      <c r="F314" t="inlineStr">
        <is>
          <t>DALARNAS LÄN</t>
        </is>
      </c>
      <c r="G314" t="inlineStr">
        <is>
          <t>VANSBRO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45331</v>
      </c>
      <c r="E315" s="1" t="n">
        <v>46295</v>
      </c>
      <c r="F315" t="inlineStr">
        <is>
          <t>DALARNAS LÄN</t>
        </is>
      </c>
      <c r="G315" t="inlineStr">
        <is>
          <t>VANSBRO</t>
        </is>
      </c>
      <c r="I315" t="n">
        <v>11.4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46295</v>
      </c>
      <c r="F316" t="inlineStr">
        <is>
          <t>DALARNAS LÄN</t>
        </is>
      </c>
      <c r="G316" t="inlineStr">
        <is>
          <t>VANSBRO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46295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46295</v>
      </c>
      <c r="F318" t="inlineStr">
        <is>
          <t>DALARNAS LÄN</t>
        </is>
      </c>
      <c r="G318" t="inlineStr">
        <is>
          <t>VANSBRO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46295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24827-2022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44728</v>
      </c>
      <c r="E320" s="1" t="n">
        <v>46295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24839-2022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44728</v>
      </c>
      <c r="E321" s="1" t="n">
        <v>46295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43254-2023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45183</v>
      </c>
      <c r="E322" s="1" t="n">
        <v>46295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öst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45183</v>
      </c>
      <c r="E323" s="1" t="n">
        <v>46295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öst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45665</v>
      </c>
      <c r="E324" s="1" t="n">
        <v>46295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25496-2024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45463</v>
      </c>
      <c r="E325" s="1" t="n">
        <v>46295</v>
      </c>
      <c r="F325" t="inlineStr">
        <is>
          <t>DALARNAS LÄN</t>
        </is>
      </c>
      <c r="G325" t="inlineStr">
        <is>
          <t>VANSBRO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46295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40290-2023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46295</v>
      </c>
      <c r="F327" t="inlineStr">
        <is>
          <t>DALARNAS LÄN</t>
        </is>
      </c>
      <c r="G327" t="inlineStr">
        <is>
          <t>VANSBRO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45187</v>
      </c>
      <c r="E328" s="1" t="n">
        <v>46295</v>
      </c>
      <c r="F328" t="inlineStr">
        <is>
          <t>DALARNAS LÄN</t>
        </is>
      </c>
      <c r="G328" t="inlineStr">
        <is>
          <t>VANSBRO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50741-2022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44867</v>
      </c>
      <c r="E329" s="1" t="n">
        <v>46295</v>
      </c>
      <c r="F329" t="inlineStr">
        <is>
          <t>DALARNAS LÄN</t>
        </is>
      </c>
      <c r="G329" t="inlineStr">
        <is>
          <t>VANSBRO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46295</v>
      </c>
      <c r="F330" t="inlineStr">
        <is>
          <t>DALARNAS LÄN</t>
        </is>
      </c>
      <c r="G330" t="inlineStr">
        <is>
          <t>VANSBRO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46168</v>
      </c>
      <c r="E331" s="1" t="n">
        <v>46295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46169</v>
      </c>
      <c r="E332" s="1" t="n">
        <v>46295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50125-2023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46295</v>
      </c>
      <c r="F333" t="inlineStr">
        <is>
          <t>DALARNAS LÄN</t>
        </is>
      </c>
      <c r="G333" t="inlineStr">
        <is>
          <t>VANSBRO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45215</v>
      </c>
      <c r="E334" s="1" t="n">
        <v>46295</v>
      </c>
      <c r="F334" t="inlineStr">
        <is>
          <t>DALARNAS LÄN</t>
        </is>
      </c>
      <c r="G334" t="inlineStr">
        <is>
          <t>VANSBRO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46295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16827-2025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46295</v>
      </c>
      <c r="F336" t="inlineStr">
        <is>
          <t>DALARNAS LÄN</t>
        </is>
      </c>
      <c r="G336" t="inlineStr">
        <is>
          <t>VANSBRO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45254</v>
      </c>
      <c r="E337" s="1" t="n">
        <v>46295</v>
      </c>
      <c r="F337" t="inlineStr">
        <is>
          <t>DALARNAS LÄN</t>
        </is>
      </c>
      <c r="G337" t="inlineStr">
        <is>
          <t>VANSBRO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45322</v>
      </c>
      <c r="E338" s="1" t="n">
        <v>46295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45254</v>
      </c>
      <c r="E339" s="1" t="n">
        <v>46295</v>
      </c>
      <c r="F339" t="inlineStr">
        <is>
          <t>DALARNAS LÄN</t>
        </is>
      </c>
      <c r="G339" t="inlineStr">
        <is>
          <t>VANSBRO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26542-2026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46183</v>
      </c>
      <c r="E340" s="1" t="n">
        <v>46295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46295</v>
      </c>
      <c r="F341" t="inlineStr">
        <is>
          <t>DALARNAS LÄN</t>
        </is>
      </c>
      <c r="G341" t="inlineStr">
        <is>
          <t>VANSBRO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46295</v>
      </c>
      <c r="F342" t="inlineStr">
        <is>
          <t>DALARNAS LÄN</t>
        </is>
      </c>
      <c r="G342" t="inlineStr">
        <is>
          <t>VANSBRO</t>
        </is>
      </c>
      <c r="H342" t="inlineStr">
        <is>
          <t>Övriga statliga verk och myndigheter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46188</v>
      </c>
      <c r="E343" s="1" t="n">
        <v>46295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46295</v>
      </c>
      <c r="F344" t="inlineStr">
        <is>
          <t>DALARNAS LÄN</t>
        </is>
      </c>
      <c r="G344" t="inlineStr">
        <is>
          <t>VANSBRO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46295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55078-2022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44886</v>
      </c>
      <c r="E346" s="1" t="n">
        <v>46295</v>
      </c>
      <c r="F346" t="inlineStr">
        <is>
          <t>DALARNAS LÄN</t>
        </is>
      </c>
      <c r="G346" t="inlineStr">
        <is>
          <t>VANSBRO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27195-2026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46295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46295</v>
      </c>
      <c r="F348" t="inlineStr">
        <is>
          <t>DALARNAS LÄN</t>
        </is>
      </c>
      <c r="G348" t="inlineStr">
        <is>
          <t>VANSBRO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46295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öst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46295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26669-2026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46184</v>
      </c>
      <c r="E351" s="1" t="n">
        <v>46295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6.5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46295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46295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27932-2026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46191</v>
      </c>
      <c r="E354" s="1" t="n">
        <v>46295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46295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10.7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46295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45775</v>
      </c>
      <c r="E357" s="1" t="n">
        <v>46295</v>
      </c>
      <c r="F357" t="inlineStr">
        <is>
          <t>DALARNAS LÄN</t>
        </is>
      </c>
      <c r="G357" t="inlineStr">
        <is>
          <t>VANSBRO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45265</v>
      </c>
      <c r="E358" s="1" t="n">
        <v>46295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45315</v>
      </c>
      <c r="E359" s="1" t="n">
        <v>46295</v>
      </c>
      <c r="F359" t="inlineStr">
        <is>
          <t>DALARNAS LÄN</t>
        </is>
      </c>
      <c r="G359" t="inlineStr">
        <is>
          <t>VANSBRO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46295</v>
      </c>
      <c r="F360" t="inlineStr">
        <is>
          <t>DALARNAS LÄN</t>
        </is>
      </c>
      <c r="G360" t="inlineStr">
        <is>
          <t>VANSBRO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11408-2025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45726</v>
      </c>
      <c r="E361" s="1" t="n">
        <v>46295</v>
      </c>
      <c r="F361" t="inlineStr">
        <is>
          <t>DALARNAS LÄN</t>
        </is>
      </c>
      <c r="G361" t="inlineStr">
        <is>
          <t>VANSBRO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46295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29174-2026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46202</v>
      </c>
      <c r="E363" s="1" t="n">
        <v>46295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45520</v>
      </c>
      <c r="E364" s="1" t="n">
        <v>46295</v>
      </c>
      <c r="F364" t="inlineStr">
        <is>
          <t>DALARNAS LÄN</t>
        </is>
      </c>
      <c r="G364" t="inlineStr">
        <is>
          <t>VANSBRO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46295</v>
      </c>
      <c r="F365" t="inlineStr">
        <is>
          <t>DALARNAS LÄN</t>
        </is>
      </c>
      <c r="G365" t="inlineStr">
        <is>
          <t>VANSBRO</t>
        </is>
      </c>
      <c r="H365" t="inlineStr">
        <is>
          <t>Övriga statliga verk och myndigheter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61515-2022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44916</v>
      </c>
      <c r="E366" s="1" t="n">
        <v>46295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29442-2026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46203</v>
      </c>
      <c r="E367" s="1" t="n">
        <v>46295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29671-2026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46204</v>
      </c>
      <c r="E368" s="1" t="n">
        <v>46295</v>
      </c>
      <c r="F368" t="inlineStr">
        <is>
          <t>DALARNAS LÄN</t>
        </is>
      </c>
      <c r="G368" t="inlineStr">
        <is>
          <t>VANSBRO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46204</v>
      </c>
      <c r="E369" s="1" t="n">
        <v>46295</v>
      </c>
      <c r="F369" t="inlineStr">
        <is>
          <t>DALARNAS LÄN</t>
        </is>
      </c>
      <c r="G369" t="inlineStr">
        <is>
          <t>VANSBRO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46295</v>
      </c>
      <c r="F370" t="inlineStr">
        <is>
          <t>DALARNAS LÄN</t>
        </is>
      </c>
      <c r="G370" t="inlineStr">
        <is>
          <t>VANSBRO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45008</v>
      </c>
      <c r="E371" s="1" t="n">
        <v>46295</v>
      </c>
      <c r="F371" t="inlineStr">
        <is>
          <t>DALARNAS LÄN</t>
        </is>
      </c>
      <c r="G371" t="inlineStr">
        <is>
          <t>VANSBRO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46295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44960</v>
      </c>
      <c r="E373" s="1" t="n">
        <v>46295</v>
      </c>
      <c r="F373" t="inlineStr">
        <is>
          <t>DALARNAS LÄN</t>
        </is>
      </c>
      <c r="G373" t="inlineStr">
        <is>
          <t>VANSBRO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41371-2022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44826</v>
      </c>
      <c r="E374" s="1" t="n">
        <v>46295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44970</v>
      </c>
      <c r="E375" s="1" t="n">
        <v>46295</v>
      </c>
      <c r="F375" t="inlineStr">
        <is>
          <t>DALARNAS LÄN</t>
        </is>
      </c>
      <c r="G375" t="inlineStr">
        <is>
          <t>VANSBRO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17807-2022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44673</v>
      </c>
      <c r="E376" s="1" t="n">
        <v>46295</v>
      </c>
      <c r="F376" t="inlineStr">
        <is>
          <t>DALARNAS LÄN</t>
        </is>
      </c>
      <c r="G376" t="inlineStr">
        <is>
          <t>VANSBRO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54159-2022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44881</v>
      </c>
      <c r="E377" s="1" t="n">
        <v>46295</v>
      </c>
      <c r="F377" t="inlineStr">
        <is>
          <t>DALARNAS LÄN</t>
        </is>
      </c>
      <c r="G377" t="inlineStr">
        <is>
          <t>VANSBRO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46210</v>
      </c>
      <c r="E378" s="1" t="n">
        <v>46295</v>
      </c>
      <c r="F378" t="inlineStr">
        <is>
          <t>DALARNAS LÄN</t>
        </is>
      </c>
      <c r="G378" t="inlineStr">
        <is>
          <t>VANSBRO</t>
        </is>
      </c>
      <c r="H378" t="inlineStr">
        <is>
          <t>Övriga statliga verk och myndigheter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46210</v>
      </c>
      <c r="E379" s="1" t="n">
        <v>46295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45448</v>
      </c>
      <c r="E380" s="1" t="n">
        <v>46295</v>
      </c>
      <c r="F380" t="inlineStr">
        <is>
          <t>DALARNAS LÄN</t>
        </is>
      </c>
      <c r="G380" t="inlineStr">
        <is>
          <t>VANSBRO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46295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46253</v>
      </c>
      <c r="E382" s="1" t="n">
        <v>46295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46295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46295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44930</v>
      </c>
      <c r="E385" s="1" t="n">
        <v>46295</v>
      </c>
      <c r="F385" t="inlineStr">
        <is>
          <t>DALARNAS LÄN</t>
        </is>
      </c>
      <c r="G385" t="inlineStr">
        <is>
          <t>VANSBRO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46295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17.3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46295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18.9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46295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46295</v>
      </c>
      <c r="F389" t="inlineStr">
        <is>
          <t>DALARNAS LÄN</t>
        </is>
      </c>
      <c r="G389" t="inlineStr">
        <is>
          <t>VANSBRO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49509-2024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45596</v>
      </c>
      <c r="E390" s="1" t="n">
        <v>46295</v>
      </c>
      <c r="F390" t="inlineStr">
        <is>
          <t>DALARNAS LÄN</t>
        </is>
      </c>
      <c r="G390" t="inlineStr">
        <is>
          <t>VANSBRO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46295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45240</v>
      </c>
      <c r="E392" s="1" t="n">
        <v>46295</v>
      </c>
      <c r="F392" t="inlineStr">
        <is>
          <t>DALARNAS LÄN</t>
        </is>
      </c>
      <c r="G392" t="inlineStr">
        <is>
          <t>VANSBRO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56129-2023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45240</v>
      </c>
      <c r="E393" s="1" t="n">
        <v>46295</v>
      </c>
      <c r="F393" t="inlineStr">
        <is>
          <t>DALARNAS LÄN</t>
        </is>
      </c>
      <c r="G393" t="inlineStr">
        <is>
          <t>VANSBRO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48005-2022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44855</v>
      </c>
      <c r="E394" s="1" t="n">
        <v>46295</v>
      </c>
      <c r="F394" t="inlineStr">
        <is>
          <t>DALARNAS LÄN</t>
        </is>
      </c>
      <c r="G394" t="inlineStr">
        <is>
          <t>VANSBRO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44796</v>
      </c>
      <c r="E395" s="1" t="n">
        <v>46295</v>
      </c>
      <c r="F395" t="inlineStr">
        <is>
          <t>DALARNAS LÄN</t>
        </is>
      </c>
      <c r="G395" t="inlineStr">
        <is>
          <t>VANSBRO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49921-2023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45214</v>
      </c>
      <c r="E396" s="1" t="n">
        <v>46295</v>
      </c>
      <c r="F396" t="inlineStr">
        <is>
          <t>DALARNAS LÄN</t>
        </is>
      </c>
      <c r="G396" t="inlineStr">
        <is>
          <t>VANSBRO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46212</v>
      </c>
      <c r="E397" s="1" t="n">
        <v>46295</v>
      </c>
      <c r="F397" t="inlineStr">
        <is>
          <t>DALARNAS LÄN</t>
        </is>
      </c>
      <c r="G397" t="inlineStr">
        <is>
          <t>VANSBRO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46199</v>
      </c>
      <c r="E398" s="1" t="n">
        <v>46295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45471</v>
      </c>
      <c r="E399" s="1" t="n">
        <v>46295</v>
      </c>
      <c r="F399" t="inlineStr">
        <is>
          <t>DALARNAS LÄN</t>
        </is>
      </c>
      <c r="G399" t="inlineStr">
        <is>
          <t>VANSBRO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46212</v>
      </c>
      <c r="E400" s="1" t="n">
        <v>46295</v>
      </c>
      <c r="F400" t="inlineStr">
        <is>
          <t>DALARNAS LÄN</t>
        </is>
      </c>
      <c r="G400" t="inlineStr">
        <is>
          <t>VANSBRO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45356-2024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45576</v>
      </c>
      <c r="E401" s="1" t="n">
        <v>46295</v>
      </c>
      <c r="F401" t="inlineStr">
        <is>
          <t>DALARNAS LÄN</t>
        </is>
      </c>
      <c r="G401" t="inlineStr">
        <is>
          <t>VANSBRO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46259</v>
      </c>
      <c r="E402" s="1" t="n">
        <v>46295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46259</v>
      </c>
      <c r="E403" s="1" t="n">
        <v>46295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öst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46261</v>
      </c>
      <c r="E404" s="1" t="n">
        <v>46295</v>
      </c>
      <c r="F404" t="inlineStr">
        <is>
          <t>DALARNAS LÄN</t>
        </is>
      </c>
      <c r="G404" t="inlineStr">
        <is>
          <t>VANSBRO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45689</v>
      </c>
      <c r="E405" s="1" t="n">
        <v>46295</v>
      </c>
      <c r="F405" t="inlineStr">
        <is>
          <t>DALARNAS LÄN</t>
        </is>
      </c>
      <c r="G405" t="inlineStr">
        <is>
          <t>VANSBRO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46295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35579-2026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46262</v>
      </c>
      <c r="E407" s="1" t="n">
        <v>46295</v>
      </c>
      <c r="F407" t="inlineStr">
        <is>
          <t>DALARNAS LÄN</t>
        </is>
      </c>
      <c r="G407" t="inlineStr">
        <is>
          <t>VANSBRO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45063</v>
      </c>
      <c r="E408" s="1" t="n">
        <v>46295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55570-2023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46295</v>
      </c>
      <c r="F409" t="inlineStr">
        <is>
          <t>DALARNAS LÄN</t>
        </is>
      </c>
      <c r="G409" t="inlineStr">
        <is>
          <t>VANSBRO</t>
        </is>
      </c>
      <c r="H409" t="inlineStr">
        <is>
          <t>Övriga statliga verk och myndigheter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757-2023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44931</v>
      </c>
      <c r="E410" s="1" t="n">
        <v>46295</v>
      </c>
      <c r="F410" t="inlineStr">
        <is>
          <t>DALARNAS LÄN</t>
        </is>
      </c>
      <c r="G410" t="inlineStr">
        <is>
          <t>VANSBRO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53498-2024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45614</v>
      </c>
      <c r="E411" s="1" t="n">
        <v>46295</v>
      </c>
      <c r="F411" t="inlineStr">
        <is>
          <t>DALARNAS LÄN</t>
        </is>
      </c>
      <c r="G411" t="inlineStr">
        <is>
          <t>VANSBRO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35752-2026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46265</v>
      </c>
      <c r="E412" s="1" t="n">
        <v>46295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35973-2026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46266</v>
      </c>
      <c r="E413" s="1" t="n">
        <v>46295</v>
      </c>
      <c r="F413" t="inlineStr">
        <is>
          <t>DALARNAS LÄN</t>
        </is>
      </c>
      <c r="G413" t="inlineStr">
        <is>
          <t>VANSBRO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48111-2024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45589</v>
      </c>
      <c r="E414" s="1" t="n">
        <v>46295</v>
      </c>
      <c r="F414" t="inlineStr">
        <is>
          <t>DALARNAS LÄN</t>
        </is>
      </c>
      <c r="G414" t="inlineStr">
        <is>
          <t>VANSBRO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46034</v>
      </c>
      <c r="E415" s="1" t="n">
        <v>46295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36377-2026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46268</v>
      </c>
      <c r="E416" s="1" t="n">
        <v>46295</v>
      </c>
      <c r="F416" t="inlineStr">
        <is>
          <t>DALARNAS LÄN</t>
        </is>
      </c>
      <c r="G416" t="inlineStr">
        <is>
          <t>VANSBRO</t>
        </is>
      </c>
      <c r="H416" t="inlineStr">
        <is>
          <t>Kyrkan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36379-2026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46268</v>
      </c>
      <c r="E417" s="1" t="n">
        <v>46295</v>
      </c>
      <c r="F417" t="inlineStr">
        <is>
          <t>DALARNAS LÄN</t>
        </is>
      </c>
      <c r="G417" t="inlineStr">
        <is>
          <t>VANSBRO</t>
        </is>
      </c>
      <c r="H417" t="inlineStr">
        <is>
          <t>Kyrkan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46268</v>
      </c>
      <c r="E418" s="1" t="n">
        <v>46295</v>
      </c>
      <c r="F418" t="inlineStr">
        <is>
          <t>DALARNAS LÄN</t>
        </is>
      </c>
      <c r="G418" t="inlineStr">
        <is>
          <t>VANSBRO</t>
        </is>
      </c>
      <c r="H418" t="inlineStr">
        <is>
          <t>Kyrkan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44980</v>
      </c>
      <c r="E419" s="1" t="n">
        <v>46295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36706-2026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46272</v>
      </c>
      <c r="E420" s="1" t="n">
        <v>46295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46272</v>
      </c>
      <c r="E421" s="1" t="n">
        <v>46295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46272</v>
      </c>
      <c r="E422" s="1" t="n">
        <v>46295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31867-2026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46231</v>
      </c>
      <c r="E423" s="1" t="n">
        <v>46295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väst AB</t>
        </is>
      </c>
      <c r="I423" t="n">
        <v>20.2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46274</v>
      </c>
      <c r="E424" s="1" t="n">
        <v>46295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34738-2023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45141</v>
      </c>
      <c r="E425" s="1" t="n">
        <v>46295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45169</v>
      </c>
      <c r="E426" s="1" t="n">
        <v>46295</v>
      </c>
      <c r="F426" t="inlineStr">
        <is>
          <t>DALARNAS LÄN</t>
        </is>
      </c>
      <c r="G426" t="inlineStr">
        <is>
          <t>VANSBRO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40383-2023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46295</v>
      </c>
      <c r="F427" t="inlineStr">
        <is>
          <t>DALARNAS LÄN</t>
        </is>
      </c>
      <c r="G427" t="inlineStr">
        <is>
          <t>VANSBRO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46275</v>
      </c>
      <c r="E428" s="1" t="n">
        <v>46295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öst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46275</v>
      </c>
      <c r="E429" s="1" t="n">
        <v>46295</v>
      </c>
      <c r="F429" t="inlineStr">
        <is>
          <t>DALARNAS LÄN</t>
        </is>
      </c>
      <c r="G429" t="inlineStr">
        <is>
          <t>VANSBRO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46276</v>
      </c>
      <c r="E430" s="1" t="n">
        <v>46295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46276</v>
      </c>
      <c r="E431" s="1" t="n">
        <v>46295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34277-2022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44791</v>
      </c>
      <c r="E432" s="1" t="n">
        <v>46295</v>
      </c>
      <c r="F432" t="inlineStr">
        <is>
          <t>DALARNAS LÄN</t>
        </is>
      </c>
      <c r="G432" t="inlineStr">
        <is>
          <t>VANSBRO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37443-2026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46275</v>
      </c>
      <c r="E433" s="1" t="n">
        <v>46295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37467-2026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46275</v>
      </c>
      <c r="E434" s="1" t="n">
        <v>46295</v>
      </c>
      <c r="F434" t="inlineStr">
        <is>
          <t>DALARNAS LÄN</t>
        </is>
      </c>
      <c r="G434" t="inlineStr">
        <is>
          <t>VANSBRO</t>
        </is>
      </c>
      <c r="H434" t="inlineStr">
        <is>
          <t>Kommuner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45296</v>
      </c>
      <c r="E435" s="1" t="n">
        <v>46295</v>
      </c>
      <c r="F435" t="inlineStr">
        <is>
          <t>DALARNAS LÄN</t>
        </is>
      </c>
      <c r="G435" t="inlineStr">
        <is>
          <t>VANSBRO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46295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37987-2026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46295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öst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8447-2022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44612</v>
      </c>
      <c r="E438" s="1" t="n">
        <v>46295</v>
      </c>
      <c r="F438" t="inlineStr">
        <is>
          <t>DALARNAS LÄN</t>
        </is>
      </c>
      <c r="G438" t="inlineStr">
        <is>
          <t>VANSBRO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44798</v>
      </c>
      <c r="E439" s="1" t="n">
        <v>46295</v>
      </c>
      <c r="F439" t="inlineStr">
        <is>
          <t>DALARNAS LÄN</t>
        </is>
      </c>
      <c r="G439" t="inlineStr">
        <is>
          <t>VANSBRO</t>
        </is>
      </c>
      <c r="H439" t="inlineStr">
        <is>
          <t>Kommuner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46295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öst AB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46280</v>
      </c>
      <c r="E441" s="1" t="n">
        <v>46295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45722</v>
      </c>
      <c r="E442" s="1" t="n">
        <v>46295</v>
      </c>
      <c r="F442" t="inlineStr">
        <is>
          <t>DALARNAS LÄN</t>
        </is>
      </c>
      <c r="G442" t="inlineStr">
        <is>
          <t>VANSBRO</t>
        </is>
      </c>
      <c r="I442" t="n">
        <v>15.5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38253-2026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46281</v>
      </c>
      <c r="E443" s="1" t="n">
        <v>46295</v>
      </c>
      <c r="F443" t="inlineStr">
        <is>
          <t>DALARNAS LÄN</t>
        </is>
      </c>
      <c r="G443" t="inlineStr">
        <is>
          <t>VANSBRO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38270-2026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46281</v>
      </c>
      <c r="E444" s="1" t="n">
        <v>46295</v>
      </c>
      <c r="F444" t="inlineStr">
        <is>
          <t>DALARNAS LÄN</t>
        </is>
      </c>
      <c r="G444" t="inlineStr">
        <is>
          <t>VANSBRO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33520-2024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45519</v>
      </c>
      <c r="E445" s="1" t="n">
        <v>46295</v>
      </c>
      <c r="F445" t="inlineStr">
        <is>
          <t>DALARNAS LÄN</t>
        </is>
      </c>
      <c r="G445" t="inlineStr">
        <is>
          <t>VANSBRO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38248-2026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46281</v>
      </c>
      <c r="E446" s="1" t="n">
        <v>46295</v>
      </c>
      <c r="F446" t="inlineStr">
        <is>
          <t>DALARNAS LÄN</t>
        </is>
      </c>
      <c r="G446" t="inlineStr">
        <is>
          <t>VANSBRO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62398-2021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44503</v>
      </c>
      <c r="E447" s="1" t="n">
        <v>46295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46281</v>
      </c>
      <c r="E448" s="1" t="n">
        <v>46295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46295</v>
      </c>
      <c r="F449" t="inlineStr">
        <is>
          <t>DALARNAS LÄN</t>
        </is>
      </c>
      <c r="G449" t="inlineStr">
        <is>
          <t>VANSBRO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45666</v>
      </c>
      <c r="E450" s="1" t="n">
        <v>46295</v>
      </c>
      <c r="F450" t="inlineStr">
        <is>
          <t>DALARNAS LÄN</t>
        </is>
      </c>
      <c r="G450" t="inlineStr">
        <is>
          <t>VANSBRO</t>
        </is>
      </c>
      <c r="H450" t="inlineStr">
        <is>
          <t>Övriga statliga verk och myndigheter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46238</v>
      </c>
      <c r="E451" s="1" t="n">
        <v>46295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29.6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46295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16823-2025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45754</v>
      </c>
      <c r="E453" s="1" t="n">
        <v>46295</v>
      </c>
      <c r="F453" t="inlineStr">
        <is>
          <t>DALARNAS LÄN</t>
        </is>
      </c>
      <c r="G453" t="inlineStr">
        <is>
          <t>VANSBRO</t>
        </is>
      </c>
      <c r="I453" t="n">
        <v>9.9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45712</v>
      </c>
      <c r="E454" s="1" t="n">
        <v>46295</v>
      </c>
      <c r="F454" t="inlineStr">
        <is>
          <t>DALARNAS LÄN</t>
        </is>
      </c>
      <c r="G454" t="inlineStr">
        <is>
          <t>VANSBRO</t>
        </is>
      </c>
      <c r="I454" t="n">
        <v>13.8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45258</v>
      </c>
      <c r="E455" s="1" t="n">
        <v>46295</v>
      </c>
      <c r="F455" t="inlineStr">
        <is>
          <t>DALARNAS LÄN</t>
        </is>
      </c>
      <c r="G455" t="inlineStr">
        <is>
          <t>VANSBRO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38627-2026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46283</v>
      </c>
      <c r="E456" s="1" t="n">
        <v>46295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öst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38644-2026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46283</v>
      </c>
      <c r="E457" s="1" t="n">
        <v>46295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2086-2024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45309</v>
      </c>
      <c r="E458" s="1" t="n">
        <v>46295</v>
      </c>
      <c r="F458" t="inlineStr">
        <is>
          <t>DALARNAS LÄN</t>
        </is>
      </c>
      <c r="G458" t="inlineStr">
        <is>
          <t>VANSBRO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18882-2025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46295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45204</v>
      </c>
      <c r="E460" s="1" t="n">
        <v>46295</v>
      </c>
      <c r="F460" t="inlineStr">
        <is>
          <t>DALARNAS LÄN</t>
        </is>
      </c>
      <c r="G460" t="inlineStr">
        <is>
          <t>VANSBRO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42824-2023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45182</v>
      </c>
      <c r="E461" s="1" t="n">
        <v>46295</v>
      </c>
      <c r="F461" t="inlineStr">
        <is>
          <t>DALARNAS LÄN</t>
        </is>
      </c>
      <c r="G461" t="inlineStr">
        <is>
          <t>VANSBRO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56986-2023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46295</v>
      </c>
      <c r="F462" t="inlineStr">
        <is>
          <t>DALARNAS LÄN</t>
        </is>
      </c>
      <c r="G462" t="inlineStr">
        <is>
          <t>VANSBRO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39352-2026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46288</v>
      </c>
      <c r="E463" s="1" t="n">
        <v>46295</v>
      </c>
      <c r="F463" t="inlineStr">
        <is>
          <t>DALARNAS LÄN</t>
        </is>
      </c>
      <c r="G463" t="inlineStr">
        <is>
          <t>VANSBRO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46289</v>
      </c>
      <c r="E464" s="1" t="n">
        <v>46295</v>
      </c>
      <c r="F464" t="inlineStr">
        <is>
          <t>DALARNAS LÄN</t>
        </is>
      </c>
      <c r="G464" t="inlineStr">
        <is>
          <t>VANSBRO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29288-2024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45483</v>
      </c>
      <c r="E465" s="1" t="n">
        <v>46295</v>
      </c>
      <c r="F465" t="inlineStr">
        <is>
          <t>DALARNAS LÄN</t>
        </is>
      </c>
      <c r="G465" t="inlineStr">
        <is>
          <t>VANSBRO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21616-2025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45783</v>
      </c>
      <c r="E466" s="1" t="n">
        <v>46295</v>
      </c>
      <c r="F466" t="inlineStr">
        <is>
          <t>DALARNAS LÄN</t>
        </is>
      </c>
      <c r="G466" t="inlineStr">
        <is>
          <t>VANSBRO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45674</v>
      </c>
      <c r="E467" s="1" t="n">
        <v>46295</v>
      </c>
      <c r="F467" t="inlineStr">
        <is>
          <t>DALARNAS LÄN</t>
        </is>
      </c>
      <c r="G467" t="inlineStr">
        <is>
          <t>VANSBRO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21656-2025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45783</v>
      </c>
      <c r="E468" s="1" t="n">
        <v>46295</v>
      </c>
      <c r="F468" t="inlineStr">
        <is>
          <t>DALARNAS LÄN</t>
        </is>
      </c>
      <c r="G468" t="inlineStr">
        <is>
          <t>VANSBRO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23085-2022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44719</v>
      </c>
      <c r="E469" s="1" t="n">
        <v>46295</v>
      </c>
      <c r="F469" t="inlineStr">
        <is>
          <t>DALARNAS LÄN</t>
        </is>
      </c>
      <c r="G469" t="inlineStr">
        <is>
          <t>VANSBRO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39871-2026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46290</v>
      </c>
      <c r="E470" s="1" t="n">
        <v>46295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40424-2026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46294</v>
      </c>
      <c r="E471" s="1" t="n">
        <v>46295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45492</v>
      </c>
      <c r="E472" s="1" t="n">
        <v>46295</v>
      </c>
      <c r="F472" t="inlineStr">
        <is>
          <t>DALARNAS LÄN</t>
        </is>
      </c>
      <c r="G472" t="inlineStr">
        <is>
          <t>VANSBRO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46252</v>
      </c>
      <c r="E473" s="1" t="n">
        <v>46295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40143-2026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46293</v>
      </c>
      <c r="E474" s="1" t="n">
        <v>46295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40367-2026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46294</v>
      </c>
      <c r="E475" s="1" t="n">
        <v>46295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46293</v>
      </c>
      <c r="E476" s="1" t="n">
        <v>46295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40343-2026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46294</v>
      </c>
      <c r="E477" s="1" t="n">
        <v>46295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46252</v>
      </c>
      <c r="E478" s="1" t="n">
        <v>46295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40391-2026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46294</v>
      </c>
      <c r="E479" s="1" t="n">
        <v>46295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öst AB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40447-2026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46294</v>
      </c>
      <c r="E480" s="1" t="n">
        <v>46295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33953-2026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46252</v>
      </c>
      <c r="E481" s="1" t="n">
        <v>46295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1286-2024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45401</v>
      </c>
      <c r="E482" s="1" t="n">
        <v>46295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220.8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4782-2022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44802</v>
      </c>
      <c r="E483" s="1" t="n">
        <v>46295</v>
      </c>
      <c r="F483" t="inlineStr">
        <is>
          <t>DALARNAS LÄN</t>
        </is>
      </c>
      <c r="G483" t="inlineStr">
        <is>
          <t>VANSBRO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3514-2023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45208</v>
      </c>
      <c r="E484" s="1" t="n">
        <v>46295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37.8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409-2025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45699</v>
      </c>
      <c r="E485" s="1" t="n">
        <v>46295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öst AB</t>
        </is>
      </c>
      <c r="I485" t="n">
        <v>277.1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91-2026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46035</v>
      </c>
      <c r="E486" s="1" t="n">
        <v>46295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153.5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747-2026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46089</v>
      </c>
      <c r="E487" s="1" t="n">
        <v>46295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öst AB</t>
        </is>
      </c>
      <c r="I487" t="n">
        <v>82.40000000000001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2026-09-30T01:59:23Z</dcterms:created>
  <dcterms:modified xmlns:dcterms="http://purl.org/dc/terms/" xmlns:xsi="http://www.w3.org/2001/XMLSchema-instance" xsi:type="dcterms:W3CDTF">2026-09-30T01:59:24Z</dcterms:modified>
</cp:coreProperties>
</file>