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30543-2024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45492</v>
      </c>
      <c r="E2" s="1" t="n">
        <v>46313</v>
      </c>
      <c r="F2" t="inlineStr">
        <is>
          <t>DALARNAS LÄN</t>
        </is>
      </c>
      <c r="G2" t="inlineStr">
        <is>
          <t>VANSBRO</t>
        </is>
      </c>
      <c r="I2" t="n">
        <v>23</v>
      </c>
      <c r="J2" t="n">
        <v>4</v>
      </c>
      <c r="K2" t="n">
        <v>3</v>
      </c>
      <c r="L2" t="n">
        <v>12</v>
      </c>
      <c r="M2" t="n">
        <v>2</v>
      </c>
      <c r="N2" t="n">
        <v>0</v>
      </c>
      <c r="O2" t="n">
        <v>0</v>
      </c>
      <c r="P2" t="n">
        <v>0</v>
      </c>
      <c r="Q2" t="n">
        <v>14</v>
      </c>
      <c r="R2" t="n">
        <v>2</v>
      </c>
      <c r="S2" t="n">
        <v>18</v>
      </c>
      <c r="T2" t="n">
        <v>58</v>
      </c>
      <c r="U2" t="n">
        <v>58</v>
      </c>
      <c r="V2" s="2" t="inlineStr">
        <is>
          <t>Garnlav
Knärot
Blå taggsvamp
Dropptaggsvamp
Motaggsvamp
Orange taggsvamp
Rosenticka
Rynkskinn
Tallticka
Talltita
Tretåig hackspett
Ullticka
Violettgrå tagellav
Äggvaxskivling
Bollvitmossa
Mindre märgborre
Vedticka
Fläcknycklar</t>
        </is>
      </c>
      <c r="W2">
        <f>HYPERLINK("https://klasma.github.io/Logging_2021/artfynd/A 30543-2024 artfynd.xlsx", "A 30543-2024")</f>
        <v/>
      </c>
      <c r="X2">
        <f>HYPERLINK("https://klasma.github.io/Logging_2021/kartor/A 30543-2024 karta.png", "A 30543-2024")</f>
        <v/>
      </c>
      <c r="Y2">
        <f>HYPERLINK("https://klasma.github.io/Logging_2021/kartor_geotiff/A 30543-2024 georefererad karta.tif", "A 30543-2024")</f>
        <v/>
      </c>
      <c r="Z2">
        <f>HYPERLINK("https://klasma.github.io/Logging_2021/knärot/A 30543-2024 karta knärot.png", "A 30543-2024")</f>
        <v/>
      </c>
      <c r="AA2">
        <f>HYPERLINK("https://klasma.github.io/Logging_2021/klagomål/A 30543-2024 FSC-klagomål.docx", "A 30543-2024")</f>
        <v/>
      </c>
      <c r="AB2">
        <f>HYPERLINK("https://klasma.github.io/Logging_2021/klagomålsmail/A 30543-2024 FSC-klagomål mail.docx", "A 30543-2024")</f>
        <v/>
      </c>
      <c r="AC2">
        <f>HYPERLINK("https://klasma.github.io/Logging_2021/tillsyn/A 30543-2024 tillsynsbegäran.docx", "A 30543-2024")</f>
        <v/>
      </c>
      <c r="AD2">
        <f>HYPERLINK("https://klasma.github.io/Logging_2021/tillsynsmail/A 30543-2024 tillsynsbegäran mail.docx", "A 30543-2024")</f>
        <v/>
      </c>
      <c r="AE2">
        <f>HYPERLINK("https://klasma.github.io/Logging_2021/fåglar/A 30543-2024 prioriterade fågelarter.docx", "A 30543-2024")</f>
        <v/>
      </c>
    </row>
    <row r="3" ht="15" customHeight="1">
      <c r="A3" t="inlineStr">
        <is>
          <t>A 40224-2022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44820</v>
      </c>
      <c r="E3" s="1" t="n">
        <v>46313</v>
      </c>
      <c r="F3" t="inlineStr">
        <is>
          <t>DALARNAS LÄN</t>
        </is>
      </c>
      <c r="G3" t="inlineStr">
        <is>
          <t>VANSBRO</t>
        </is>
      </c>
      <c r="I3" t="n">
        <v>8.300000000000001</v>
      </c>
      <c r="J3" t="n">
        <v>2</v>
      </c>
      <c r="K3" t="n">
        <v>3</v>
      </c>
      <c r="L3" t="n">
        <v>12</v>
      </c>
      <c r="M3" t="n">
        <v>2</v>
      </c>
      <c r="N3" t="n">
        <v>0</v>
      </c>
      <c r="O3" t="n">
        <v>0</v>
      </c>
      <c r="P3" t="n">
        <v>0</v>
      </c>
      <c r="Q3" t="n">
        <v>14</v>
      </c>
      <c r="R3" t="n">
        <v>2</v>
      </c>
      <c r="S3" t="n">
        <v>17</v>
      </c>
      <c r="T3" t="n">
        <v>47</v>
      </c>
      <c r="U3" t="n">
        <v>2</v>
      </c>
      <c r="V3" s="2" t="inlineStr">
        <is>
          <t>Garnlav
Knärot
Blå taggsvamp
Dropptaggsvamp
Kolflarnlav
Lunglav
Mörk kolflarnlav
Orange taggsvamp
Skarp dropptaggsvamp
Skuggblåslav
Tallticka
Tjockfotad fingersvamp
Tretåig hackspett
Vedskivlav
Mindre märgborre
Nästlav
Skinnlav</t>
        </is>
      </c>
      <c r="W3">
        <f>HYPERLINK("https://klasma.github.io/Logging_2021/artfynd/A 40224-2022 artfynd.xlsx", "A 40224-2022")</f>
        <v/>
      </c>
      <c r="X3">
        <f>HYPERLINK("https://klasma.github.io/Logging_2021/kartor/A 40224-2022 karta.png", "A 40224-2022")</f>
        <v/>
      </c>
      <c r="Y3">
        <f>HYPERLINK("https://klasma.github.io/Logging_2021/kartor_geotiff/A 40224-2022 georefererad karta.tif", "A 40224-2022")</f>
        <v/>
      </c>
      <c r="Z3">
        <f>HYPERLINK("https://klasma.github.io/Logging_2021/knärot/A 40224-2022 karta knärot.png", "A 40224-2022")</f>
        <v/>
      </c>
      <c r="AA3">
        <f>HYPERLINK("https://klasma.github.io/Logging_2021/klagomål/A 40224-2022 FSC-klagomål.docx", "A 40224-2022")</f>
        <v/>
      </c>
      <c r="AB3">
        <f>HYPERLINK("https://klasma.github.io/Logging_2021/klagomålsmail/A 40224-2022 FSC-klagomål mail.docx", "A 40224-2022")</f>
        <v/>
      </c>
      <c r="AC3">
        <f>HYPERLINK("https://klasma.github.io/Logging_2021/tillsyn/A 40224-2022 tillsynsbegäran.docx", "A 40224-2022")</f>
        <v/>
      </c>
      <c r="AD3">
        <f>HYPERLINK("https://klasma.github.io/Logging_2021/tillsynsmail/A 40224-2022 tillsynsbegäran mail.docx", "A 40224-2022")</f>
        <v/>
      </c>
      <c r="AE3">
        <f>HYPERLINK("https://klasma.github.io/Logging_2021/fåglar/A 40224-2022 prioriterade fågelarter.docx", "A 40224-2022")</f>
        <v/>
      </c>
    </row>
    <row r="4" ht="15" customHeight="1">
      <c r="A4" t="inlineStr">
        <is>
          <t>A 49329-2025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45938</v>
      </c>
      <c r="E4" s="1" t="n">
        <v>46313</v>
      </c>
      <c r="F4" t="inlineStr">
        <is>
          <t>DALARNAS LÄN</t>
        </is>
      </c>
      <c r="G4" t="inlineStr">
        <is>
          <t>VANSBRO</t>
        </is>
      </c>
      <c r="I4" t="n">
        <v>1.2</v>
      </c>
      <c r="J4" t="n">
        <v>0</v>
      </c>
      <c r="K4" t="n">
        <v>12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3</v>
      </c>
      <c r="R4" t="n">
        <v>1</v>
      </c>
      <c r="S4" t="n">
        <v>15</v>
      </c>
      <c r="T4" t="n">
        <v>22</v>
      </c>
      <c r="U4" t="n">
        <v>1</v>
      </c>
      <c r="V4" s="2" t="inlineStr">
        <is>
          <t>Vridfingersvamp
Brun ängsvaxing
Rosenfingersvamp
Aprikosfingersvamp
Blodvaxing
Broskvaxing
Hagfingersvamp
Maskfingersvamp
Opalfingersvamp
Papegojvaxing
Sprödvaxing
Toppvaxing
Vitvaxing agg.
Ängsfingersvamp
Ängsvaxing agg.</t>
        </is>
      </c>
      <c r="W4">
        <f>HYPERLINK("https://klasma.github.io/Logging_2021/artfynd/A 49329-2025 artfynd.xlsx", "A 49329-2025")</f>
        <v/>
      </c>
      <c r="X4">
        <f>HYPERLINK("https://klasma.github.io/Logging_2021/kartor/A 49329-2025 karta.png", "A 49329-2025")</f>
        <v/>
      </c>
      <c r="Y4">
        <f>HYPERLINK("https://klasma.github.io/Logging_2021/kartor_geotiff/A 49329-2025 georefererad karta.tif", "A 49329-2025")</f>
        <v/>
      </c>
      <c r="AA4">
        <f>HYPERLINK("https://klasma.github.io/Logging_2021/klagomål/A 49329-2025 FSC-klagomål.docx", "A 49329-2025")</f>
        <v/>
      </c>
      <c r="AB4">
        <f>HYPERLINK("https://klasma.github.io/Logging_2021/klagomålsmail/A 49329-2025 FSC-klagomål mail.docx", "A 49329-2025")</f>
        <v/>
      </c>
      <c r="AC4">
        <f>HYPERLINK("https://klasma.github.io/Logging_2021/tillsyn/A 49329-2025 tillsynsbegäran.docx", "A 49329-2025")</f>
        <v/>
      </c>
      <c r="AD4">
        <f>HYPERLINK("https://klasma.github.io/Logging_2021/tillsynsmail/A 49329-2025 tillsynsbegäran mail.docx", "A 49329-2025")</f>
        <v/>
      </c>
    </row>
    <row r="5" ht="15" customHeight="1">
      <c r="A5" t="inlineStr">
        <is>
          <t>A 58945-2025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45987</v>
      </c>
      <c r="E5" s="1" t="n">
        <v>46313</v>
      </c>
      <c r="F5" t="inlineStr">
        <is>
          <t>DALARNAS LÄN</t>
        </is>
      </c>
      <c r="G5" t="inlineStr">
        <is>
          <t>VANSBRO</t>
        </is>
      </c>
      <c r="I5" t="n">
        <v>12.1</v>
      </c>
      <c r="J5" t="n">
        <v>4</v>
      </c>
      <c r="K5" t="n">
        <v>4</v>
      </c>
      <c r="L5" t="n">
        <v>7</v>
      </c>
      <c r="M5" t="n">
        <v>1</v>
      </c>
      <c r="N5" t="n">
        <v>0</v>
      </c>
      <c r="O5" t="n">
        <v>0</v>
      </c>
      <c r="P5" t="n">
        <v>0</v>
      </c>
      <c r="Q5" t="n">
        <v>8</v>
      </c>
      <c r="R5" t="n">
        <v>1</v>
      </c>
      <c r="S5" t="n">
        <v>14</v>
      </c>
      <c r="T5" t="n">
        <v>64</v>
      </c>
      <c r="U5" t="n">
        <v>19</v>
      </c>
      <c r="V5" s="2" t="inlineStr">
        <is>
          <t>Garnlav
Dropptaggsvamp
Kolflarnlav
Mörk kolflarnlav
Skarp dropptaggsvamp
Tallticka
Talltita
Tretåig hackspett
Bollvitmossa
Mindre märgborre
Vedticka
Vågbandad barkbock
Spillkråka
Tjäder</t>
        </is>
      </c>
      <c r="W5">
        <f>HYPERLINK("https://klasma.github.io/Logging_2021/artfynd/A 58945-2025 artfynd.xlsx", "A 58945-2025")</f>
        <v/>
      </c>
      <c r="X5">
        <f>HYPERLINK("https://klasma.github.io/Logging_2021/kartor/A 58945-2025 karta.png", "A 58945-2025")</f>
        <v/>
      </c>
      <c r="Y5">
        <f>HYPERLINK("https://klasma.github.io/Logging_2021/kartor_geotiff/A 58945-2025 georefererad karta.tif", "A 58945-2025")</f>
        <v/>
      </c>
      <c r="Z5">
        <f>HYPERLINK("https://klasma.github.io/Logging_2021/knärot/A 58945-2025 karta knärot.png", "A 58945-2025")</f>
        <v/>
      </c>
      <c r="AA5">
        <f>HYPERLINK("https://klasma.github.io/Logging_2021/klagomål/A 58945-2025 FSC-klagomål.docx", "A 58945-2025")</f>
        <v/>
      </c>
      <c r="AB5">
        <f>HYPERLINK("https://klasma.github.io/Logging_2021/klagomålsmail/A 58945-2025 FSC-klagomål mail.docx", "A 58945-2025")</f>
        <v/>
      </c>
      <c r="AC5">
        <f>HYPERLINK("https://klasma.github.io/Logging_2021/tillsyn/A 58945-2025 tillsynsbegäran.docx", "A 58945-2025")</f>
        <v/>
      </c>
      <c r="AD5">
        <f>HYPERLINK("https://klasma.github.io/Logging_2021/tillsynsmail/A 58945-2025 tillsynsbegäran mail.docx", "A 58945-2025")</f>
        <v/>
      </c>
      <c r="AE5">
        <f>HYPERLINK("https://klasma.github.io/Logging_2021/fåglar/A 58945-2025 prioriterade fågelarter.docx", "A 58945-2025")</f>
        <v/>
      </c>
    </row>
    <row r="6" ht="15" customHeight="1">
      <c r="A6" t="inlineStr">
        <is>
          <t>A 37715-2025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45880</v>
      </c>
      <c r="E6" s="1" t="n">
        <v>46313</v>
      </c>
      <c r="F6" t="inlineStr">
        <is>
          <t>DALARNAS LÄN</t>
        </is>
      </c>
      <c r="G6" t="inlineStr">
        <is>
          <t>VANSBRO</t>
        </is>
      </c>
      <c r="I6" t="n">
        <v>12.5</v>
      </c>
      <c r="J6" t="n">
        <v>4</v>
      </c>
      <c r="K6" t="n">
        <v>1</v>
      </c>
      <c r="L6" t="n">
        <v>8</v>
      </c>
      <c r="M6" t="n">
        <v>1</v>
      </c>
      <c r="N6" t="n">
        <v>0</v>
      </c>
      <c r="O6" t="n">
        <v>0</v>
      </c>
      <c r="P6" t="n">
        <v>0</v>
      </c>
      <c r="Q6" t="n">
        <v>9</v>
      </c>
      <c r="R6" t="n">
        <v>1</v>
      </c>
      <c r="S6" t="n">
        <v>13</v>
      </c>
      <c r="T6" t="n">
        <v>101</v>
      </c>
      <c r="U6" t="n">
        <v>101</v>
      </c>
      <c r="V6" s="2" t="inlineStr">
        <is>
          <t>Garnlav
Dropptaggsvamp
Kolflarnlav
Lunglav
Mörk kolflarnlav
Tallticka
Tretåig hackspett
Ullticka
Vedskivlav
Mindre märgborre
Spillkråka
Tjäder
Fläcknycklar</t>
        </is>
      </c>
      <c r="W6">
        <f>HYPERLINK("https://klasma.github.io/Logging_2021/artfynd/A 37715-2025 artfynd.xlsx", "A 37715-2025")</f>
        <v/>
      </c>
      <c r="X6">
        <f>HYPERLINK("https://klasma.github.io/Logging_2021/kartor/A 37715-2025 karta.png", "A 37715-2025")</f>
        <v/>
      </c>
      <c r="Y6">
        <f>HYPERLINK("https://klasma.github.io/Logging_2021/kartor_geotiff/A 37715-2025 georefererad karta.tif", "A 37715-2025")</f>
        <v/>
      </c>
      <c r="AA6">
        <f>HYPERLINK("https://klasma.github.io/Logging_2021/klagomål/A 37715-2025 FSC-klagomål.docx", "A 37715-2025")</f>
        <v/>
      </c>
      <c r="AB6">
        <f>HYPERLINK("https://klasma.github.io/Logging_2021/klagomålsmail/A 37715-2025 FSC-klagomål mail.docx", "A 37715-2025")</f>
        <v/>
      </c>
      <c r="AC6">
        <f>HYPERLINK("https://klasma.github.io/Logging_2021/tillsyn/A 37715-2025 tillsynsbegäran.docx", "A 37715-2025")</f>
        <v/>
      </c>
      <c r="AD6">
        <f>HYPERLINK("https://klasma.github.io/Logging_2021/tillsynsmail/A 37715-2025 tillsynsbegäran mail.docx", "A 37715-2025")</f>
        <v/>
      </c>
      <c r="AE6">
        <f>HYPERLINK("https://klasma.github.io/Logging_2021/fåglar/A 37715-2025 prioriterade fågelarter.docx", "A 37715-2025")</f>
        <v/>
      </c>
    </row>
    <row r="7" ht="15" customHeight="1">
      <c r="A7" t="inlineStr">
        <is>
          <t>A 41917-2026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46303</v>
      </c>
      <c r="E7" s="1" t="n">
        <v>46313</v>
      </c>
      <c r="F7" t="inlineStr">
        <is>
          <t>DALARNAS LÄN</t>
        </is>
      </c>
      <c r="G7" t="inlineStr">
        <is>
          <t>VANSBRO</t>
        </is>
      </c>
      <c r="I7" t="n">
        <v>7.5</v>
      </c>
      <c r="J7" t="n">
        <v>6</v>
      </c>
      <c r="K7" t="n">
        <v>3</v>
      </c>
      <c r="L7" t="n">
        <v>5</v>
      </c>
      <c r="M7" t="n">
        <v>1</v>
      </c>
      <c r="N7" t="n">
        <v>0</v>
      </c>
      <c r="O7" t="n">
        <v>0</v>
      </c>
      <c r="P7" t="n">
        <v>0</v>
      </c>
      <c r="Q7" t="n">
        <v>6</v>
      </c>
      <c r="R7" t="n">
        <v>1</v>
      </c>
      <c r="S7" t="n">
        <v>12</v>
      </c>
      <c r="T7" t="n">
        <v>23</v>
      </c>
      <c r="U7" t="n">
        <v>23</v>
      </c>
      <c r="V7" s="2" t="inlineStr">
        <is>
          <t>Garnlav
Rynkskinn
Tallticka
Talltita
Tretåig hackspett
Ullticka
Bollvitmossa
Mindre märgborre
Plattlummer
Mattlummer
Spillkråka
Revlummer</t>
        </is>
      </c>
      <c r="W7">
        <f>HYPERLINK("https://klasma.github.io/Logging_2021/artfynd/A 41917-2026 artfynd.xlsx", "A 41917-2026")</f>
        <v/>
      </c>
      <c r="X7">
        <f>HYPERLINK("https://klasma.github.io/Logging_2021/kartor/A 41917-2026 karta.png", "A 41917-2026")</f>
        <v/>
      </c>
      <c r="Y7">
        <f>HYPERLINK("https://klasma.github.io/Logging_2021/kartor_geotiff/A 41917-2026 georefererad karta.tif", "A 41917-2026")</f>
        <v/>
      </c>
      <c r="AA7">
        <f>HYPERLINK("https://klasma.github.io/Logging_2021/klagomål/A 41917-2026 FSC-klagomål.docx", "A 41917-2026")</f>
        <v/>
      </c>
      <c r="AB7">
        <f>HYPERLINK("https://klasma.github.io/Logging_2021/klagomålsmail/A 41917-2026 FSC-klagomål mail.docx", "A 41917-2026")</f>
        <v/>
      </c>
      <c r="AC7">
        <f>HYPERLINK("https://klasma.github.io/Logging_2021/tillsyn/A 41917-2026 tillsynsbegäran.docx", "A 41917-2026")</f>
        <v/>
      </c>
      <c r="AD7">
        <f>HYPERLINK("https://klasma.github.io/Logging_2021/tillsynsmail/A 41917-2026 tillsynsbegäran mail.docx", "A 41917-2026")</f>
        <v/>
      </c>
      <c r="AE7">
        <f>HYPERLINK("https://klasma.github.io/Logging_2021/fåglar/A 41917-2026 prioriterade fågelarter.docx", "A 41917-2026")</f>
        <v/>
      </c>
    </row>
    <row r="8" ht="15" customHeight="1">
      <c r="A8" t="inlineStr">
        <is>
          <t>A 63676-2025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46014</v>
      </c>
      <c r="E8" s="1" t="n">
        <v>46313</v>
      </c>
      <c r="F8" t="inlineStr">
        <is>
          <t>DALARNAS LÄN</t>
        </is>
      </c>
      <c r="G8" t="inlineStr">
        <is>
          <t>VANSBRO</t>
        </is>
      </c>
      <c r="I8" t="n">
        <v>12.3</v>
      </c>
      <c r="J8" t="n">
        <v>4</v>
      </c>
      <c r="K8" t="n">
        <v>1</v>
      </c>
      <c r="L8" t="n">
        <v>6</v>
      </c>
      <c r="M8" t="n">
        <v>1</v>
      </c>
      <c r="N8" t="n">
        <v>0</v>
      </c>
      <c r="O8" t="n">
        <v>0</v>
      </c>
      <c r="P8" t="n">
        <v>0</v>
      </c>
      <c r="Q8" t="n">
        <v>7</v>
      </c>
      <c r="R8" t="n">
        <v>1</v>
      </c>
      <c r="S8" t="n">
        <v>11</v>
      </c>
      <c r="T8" t="n">
        <v>37</v>
      </c>
      <c r="U8" t="n">
        <v>0</v>
      </c>
      <c r="V8" s="2" t="inlineStr">
        <is>
          <t>Garnlav
Dropptaggsvamp
Kolflarnlav
Mörk kolflarnlav
Tallticka
Tretåig hackspett
Vaddporing
Mindre märgborre
Spillkråka
Tjäder
Revlummer</t>
        </is>
      </c>
      <c r="W8">
        <f>HYPERLINK("https://klasma.github.io/Logging_2021/artfynd/A 63676-2025 artfynd.xlsx", "A 63676-2025")</f>
        <v/>
      </c>
      <c r="X8">
        <f>HYPERLINK("https://klasma.github.io/Logging_2021/kartor/A 63676-2025 karta.png", "A 63676-2025")</f>
        <v/>
      </c>
      <c r="Y8">
        <f>HYPERLINK("https://klasma.github.io/Logging_2021/kartor_geotiff/A 63676-2025 georefererad karta.tif", "A 63676-2025")</f>
        <v/>
      </c>
      <c r="AA8">
        <f>HYPERLINK("https://klasma.github.io/Logging_2021/klagomål/A 63676-2025 FSC-klagomål.docx", "A 63676-2025")</f>
        <v/>
      </c>
      <c r="AB8">
        <f>HYPERLINK("https://klasma.github.io/Logging_2021/klagomålsmail/A 63676-2025 FSC-klagomål mail.docx", "A 63676-2025")</f>
        <v/>
      </c>
      <c r="AC8">
        <f>HYPERLINK("https://klasma.github.io/Logging_2021/tillsyn/A 63676-2025 tillsynsbegäran.docx", "A 63676-2025")</f>
        <v/>
      </c>
      <c r="AD8">
        <f>HYPERLINK("https://klasma.github.io/Logging_2021/tillsynsmail/A 63676-2025 tillsynsbegäran mail.docx", "A 63676-2025")</f>
        <v/>
      </c>
      <c r="AE8">
        <f>HYPERLINK("https://klasma.github.io/Logging_2021/fåglar/A 63676-2025 prioriterade fågelarter.docx", "A 63676-2025")</f>
        <v/>
      </c>
    </row>
    <row r="9" ht="15" customHeight="1">
      <c r="A9" t="inlineStr">
        <is>
          <t>A 57979-2025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45982</v>
      </c>
      <c r="E9" s="1" t="n">
        <v>46313</v>
      </c>
      <c r="F9" t="inlineStr">
        <is>
          <t>DALARNAS LÄN</t>
        </is>
      </c>
      <c r="G9" t="inlineStr">
        <is>
          <t>VANSBRO</t>
        </is>
      </c>
      <c r="I9" t="n">
        <v>1</v>
      </c>
      <c r="J9" t="n">
        <v>1</v>
      </c>
      <c r="K9" t="n">
        <v>8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1</v>
      </c>
      <c r="S9" t="n">
        <v>10</v>
      </c>
      <c r="T9" t="n">
        <v>18</v>
      </c>
      <c r="U9" t="n">
        <v>1</v>
      </c>
      <c r="V9" s="2" t="inlineStr">
        <is>
          <t>Vridfingersvamp
Lutvaxing
Blodvaxing
Gulvaxing
Hagfingersvamp
Honungsvaxing
Kantarellvaxing
Tvåblad
Vitvaxing agg.
Ängsvaxing agg.</t>
        </is>
      </c>
      <c r="W9">
        <f>HYPERLINK("https://klasma.github.io/Logging_2021/artfynd/A 57979-2025 artfynd.xlsx", "A 57979-2025")</f>
        <v/>
      </c>
      <c r="X9">
        <f>HYPERLINK("https://klasma.github.io/Logging_2021/kartor/A 57979-2025 karta.png", "A 57979-2025")</f>
        <v/>
      </c>
      <c r="Y9">
        <f>HYPERLINK("https://klasma.github.io/Logging_2021/kartor_geotiff/A 57979-2025 georefererad karta.tif", "A 57979-2025")</f>
        <v/>
      </c>
      <c r="AA9">
        <f>HYPERLINK("https://klasma.github.io/Logging_2021/klagomål/A 57979-2025 FSC-klagomål.docx", "A 57979-2025")</f>
        <v/>
      </c>
      <c r="AB9">
        <f>HYPERLINK("https://klasma.github.io/Logging_2021/klagomålsmail/A 57979-2025 FSC-klagomål mail.docx", "A 57979-2025")</f>
        <v/>
      </c>
      <c r="AC9">
        <f>HYPERLINK("https://klasma.github.io/Logging_2021/tillsyn/A 57979-2025 tillsynsbegäran.docx", "A 57979-2025")</f>
        <v/>
      </c>
      <c r="AD9">
        <f>HYPERLINK("https://klasma.github.io/Logging_2021/tillsynsmail/A 57979-2025 tillsynsbegäran mail.docx", "A 57979-2025")</f>
        <v/>
      </c>
    </row>
    <row r="10" ht="15" customHeight="1">
      <c r="A10" t="inlineStr">
        <is>
          <t>A 62461-2025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46007</v>
      </c>
      <c r="E10" s="1" t="n">
        <v>46313</v>
      </c>
      <c r="F10" t="inlineStr">
        <is>
          <t>DALARNAS LÄN</t>
        </is>
      </c>
      <c r="G10" t="inlineStr">
        <is>
          <t>VANSBRO</t>
        </is>
      </c>
      <c r="I10" t="n">
        <v>11.9</v>
      </c>
      <c r="J10" t="n">
        <v>4</v>
      </c>
      <c r="K10" t="n">
        <v>1</v>
      </c>
      <c r="L10" t="n">
        <v>5</v>
      </c>
      <c r="M10" t="n">
        <v>2</v>
      </c>
      <c r="N10" t="n">
        <v>0</v>
      </c>
      <c r="O10" t="n">
        <v>0</v>
      </c>
      <c r="P10" t="n">
        <v>0</v>
      </c>
      <c r="Q10" t="n">
        <v>7</v>
      </c>
      <c r="R10" t="n">
        <v>2</v>
      </c>
      <c r="S10" t="n">
        <v>10</v>
      </c>
      <c r="T10" t="n">
        <v>26</v>
      </c>
      <c r="U10" t="n">
        <v>0</v>
      </c>
      <c r="V10" s="2" t="inlineStr">
        <is>
          <t>Garnlav
Knärot
Dropptaggsvamp
Kolflarnlav
Mörk kolflarnlav
Tretåig hackspett
Vaddporing
Bollvitmossa
Spillkråka
Tjäder</t>
        </is>
      </c>
      <c r="W10">
        <f>HYPERLINK("https://klasma.github.io/Logging_2021/artfynd/A 62461-2025 artfynd.xlsx", "A 62461-2025")</f>
        <v/>
      </c>
      <c r="X10">
        <f>HYPERLINK("https://klasma.github.io/Logging_2021/kartor/A 62461-2025 karta.png", "A 62461-2025")</f>
        <v/>
      </c>
      <c r="Y10">
        <f>HYPERLINK("https://klasma.github.io/Logging_2021/kartor_geotiff/A 62461-2025 georefererad karta.tif", "A 62461-2025")</f>
        <v/>
      </c>
      <c r="Z10">
        <f>HYPERLINK("https://klasma.github.io/Logging_2021/knärot/A 62461-2025 karta knärot.png", "A 62461-2025")</f>
        <v/>
      </c>
      <c r="AA10">
        <f>HYPERLINK("https://klasma.github.io/Logging_2021/klagomål/A 62461-2025 FSC-klagomål.docx", "A 62461-2025")</f>
        <v/>
      </c>
      <c r="AB10">
        <f>HYPERLINK("https://klasma.github.io/Logging_2021/klagomålsmail/A 62461-2025 FSC-klagomål mail.docx", "A 62461-2025")</f>
        <v/>
      </c>
      <c r="AC10">
        <f>HYPERLINK("https://klasma.github.io/Logging_2021/tillsyn/A 62461-2025 tillsynsbegäran.docx", "A 62461-2025")</f>
        <v/>
      </c>
      <c r="AD10">
        <f>HYPERLINK("https://klasma.github.io/Logging_2021/tillsynsmail/A 62461-2025 tillsynsbegäran mail.docx", "A 62461-2025")</f>
        <v/>
      </c>
      <c r="AE10">
        <f>HYPERLINK("https://klasma.github.io/Logging_2021/fåglar/A 62461-2025 prioriterade fågelarter.docx", "A 62461-2025")</f>
        <v/>
      </c>
    </row>
    <row r="11" ht="15" customHeight="1">
      <c r="A11" t="inlineStr">
        <is>
          <t>A 11713-2025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45727</v>
      </c>
      <c r="E11" s="1" t="n">
        <v>46313</v>
      </c>
      <c r="F11" t="inlineStr">
        <is>
          <t>DALARNAS LÄN</t>
        </is>
      </c>
      <c r="G11" t="inlineStr">
        <is>
          <t>VANSBRO</t>
        </is>
      </c>
      <c r="I11" t="n">
        <v>10.6</v>
      </c>
      <c r="J11" t="n">
        <v>3</v>
      </c>
      <c r="K11" t="n">
        <v>2</v>
      </c>
      <c r="L11" t="n">
        <v>5</v>
      </c>
      <c r="M11" t="n">
        <v>2</v>
      </c>
      <c r="N11" t="n">
        <v>0</v>
      </c>
      <c r="O11" t="n">
        <v>0</v>
      </c>
      <c r="P11" t="n">
        <v>0</v>
      </c>
      <c r="Q11" t="n">
        <v>7</v>
      </c>
      <c r="R11" t="n">
        <v>2</v>
      </c>
      <c r="S11" t="n">
        <v>10</v>
      </c>
      <c r="T11" t="n">
        <v>65</v>
      </c>
      <c r="U11" t="n">
        <v>65</v>
      </c>
      <c r="V11" s="2" t="inlineStr">
        <is>
          <t>Garnlav
Knärot
Fjällig taggsvamp s.str.
Orange taggsvamp
Rynkskinn
Tretåig hackspett
Ullticka
Trådticka
Vedticka
Tjäder</t>
        </is>
      </c>
      <c r="W11">
        <f>HYPERLINK("https://klasma.github.io/Logging_2021/artfynd/A 11713-2025 artfynd.xlsx", "A 11713-2025")</f>
        <v/>
      </c>
      <c r="X11">
        <f>HYPERLINK("https://klasma.github.io/Logging_2021/kartor/A 11713-2025 karta.png", "A 11713-2025")</f>
        <v/>
      </c>
      <c r="Y11">
        <f>HYPERLINK("https://klasma.github.io/Logging_2021/kartor_geotiff/A 11713-2025 georefererad karta.tif", "A 11713-2025")</f>
        <v/>
      </c>
      <c r="Z11">
        <f>HYPERLINK("https://klasma.github.io/Logging_2021/knärot/A 11713-2025 karta knärot.png", "A 11713-2025")</f>
        <v/>
      </c>
      <c r="AA11">
        <f>HYPERLINK("https://klasma.github.io/Logging_2021/klagomål/A 11713-2025 FSC-klagomål.docx", "A 11713-2025")</f>
        <v/>
      </c>
      <c r="AB11">
        <f>HYPERLINK("https://klasma.github.io/Logging_2021/klagomålsmail/A 11713-2025 FSC-klagomål mail.docx", "A 11713-2025")</f>
        <v/>
      </c>
      <c r="AC11">
        <f>HYPERLINK("https://klasma.github.io/Logging_2021/tillsyn/A 11713-2025 tillsynsbegäran.docx", "A 11713-2025")</f>
        <v/>
      </c>
      <c r="AD11">
        <f>HYPERLINK("https://klasma.github.io/Logging_2021/tillsynsmail/A 11713-2025 tillsynsbegäran mail.docx", "A 11713-2025")</f>
        <v/>
      </c>
      <c r="AE11">
        <f>HYPERLINK("https://klasma.github.io/Logging_2021/fåglar/A 11713-2025 prioriterade fågelarter.docx", "A 11713-2025")</f>
        <v/>
      </c>
    </row>
    <row r="12" ht="15" customHeight="1">
      <c r="A12" t="inlineStr">
        <is>
          <t>A 60229-2025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45994</v>
      </c>
      <c r="E12" s="1" t="n">
        <v>46313</v>
      </c>
      <c r="F12" t="inlineStr">
        <is>
          <t>DALARNAS LÄN</t>
        </is>
      </c>
      <c r="G12" t="inlineStr">
        <is>
          <t>VANSBRO</t>
        </is>
      </c>
      <c r="I12" t="n">
        <v>4.9</v>
      </c>
      <c r="J12" t="n">
        <v>3</v>
      </c>
      <c r="K12" t="n">
        <v>1</v>
      </c>
      <c r="L12" t="n">
        <v>5</v>
      </c>
      <c r="M12" t="n">
        <v>2</v>
      </c>
      <c r="N12" t="n">
        <v>0</v>
      </c>
      <c r="O12" t="n">
        <v>0</v>
      </c>
      <c r="P12" t="n">
        <v>0</v>
      </c>
      <c r="Q12" t="n">
        <v>7</v>
      </c>
      <c r="R12" t="n">
        <v>2</v>
      </c>
      <c r="S12" t="n">
        <v>9</v>
      </c>
      <c r="T12" t="n">
        <v>73</v>
      </c>
      <c r="U12" t="n">
        <v>73</v>
      </c>
      <c r="V12" s="2" t="inlineStr">
        <is>
          <t>Garnlav
Knärot
Kolflarnlav
Mörk kolflarnlav
Tallticka
Tretåig hackspett
Ullticka
Grönpyrola
Spillkråka</t>
        </is>
      </c>
      <c r="W12">
        <f>HYPERLINK("https://klasma.github.io/Logging_2021/artfynd/A 60229-2025 artfynd.xlsx", "A 60229-2025")</f>
        <v/>
      </c>
      <c r="X12">
        <f>HYPERLINK("https://klasma.github.io/Logging_2021/kartor/A 60229-2025 karta.png", "A 60229-2025")</f>
        <v/>
      </c>
      <c r="Y12">
        <f>HYPERLINK("https://klasma.github.io/Logging_2021/kartor_geotiff/A 60229-2025 georefererad karta.tif", "A 60229-2025")</f>
        <v/>
      </c>
      <c r="Z12">
        <f>HYPERLINK("https://klasma.github.io/Logging_2021/knärot/A 60229-2025 karta knärot.png", "A 60229-2025")</f>
        <v/>
      </c>
      <c r="AA12">
        <f>HYPERLINK("https://klasma.github.io/Logging_2021/klagomål/A 60229-2025 FSC-klagomål.docx", "A 60229-2025")</f>
        <v/>
      </c>
      <c r="AB12">
        <f>HYPERLINK("https://klasma.github.io/Logging_2021/klagomålsmail/A 60229-2025 FSC-klagomål mail.docx", "A 60229-2025")</f>
        <v/>
      </c>
      <c r="AC12">
        <f>HYPERLINK("https://klasma.github.io/Logging_2021/tillsyn/A 60229-2025 tillsynsbegäran.docx", "A 60229-2025")</f>
        <v/>
      </c>
      <c r="AD12">
        <f>HYPERLINK("https://klasma.github.io/Logging_2021/tillsynsmail/A 60229-2025 tillsynsbegäran mail.docx", "A 60229-2025")</f>
        <v/>
      </c>
      <c r="AE12">
        <f>HYPERLINK("https://klasma.github.io/Logging_2021/fåglar/A 60229-2025 prioriterade fågelarter.docx", "A 60229-2025")</f>
        <v/>
      </c>
    </row>
    <row r="13" ht="15" customHeight="1">
      <c r="A13" t="inlineStr">
        <is>
          <t>A 18713-2026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46128</v>
      </c>
      <c r="E13" s="1" t="n">
        <v>46313</v>
      </c>
      <c r="F13" t="inlineStr">
        <is>
          <t>DALARNAS LÄN</t>
        </is>
      </c>
      <c r="G13" t="inlineStr">
        <is>
          <t>VANSBRO</t>
        </is>
      </c>
      <c r="I13" t="n">
        <v>21.8</v>
      </c>
      <c r="J13" t="n">
        <v>3</v>
      </c>
      <c r="K13" t="n">
        <v>1</v>
      </c>
      <c r="L13" t="n">
        <v>5</v>
      </c>
      <c r="M13" t="n">
        <v>2</v>
      </c>
      <c r="N13" t="n">
        <v>0</v>
      </c>
      <c r="O13" t="n">
        <v>0</v>
      </c>
      <c r="P13" t="n">
        <v>0</v>
      </c>
      <c r="Q13" t="n">
        <v>7</v>
      </c>
      <c r="R13" t="n">
        <v>2</v>
      </c>
      <c r="S13" t="n">
        <v>9</v>
      </c>
      <c r="T13" t="n">
        <v>135</v>
      </c>
      <c r="U13" t="n">
        <v>134</v>
      </c>
      <c r="V13" s="2" t="inlineStr">
        <is>
          <t>Garnlav
Knärot
Dropptaggsvamp
Kolflarnlav
Mörk kolflarnlav
Tallticka
Tretåig hackspett
Mindre märgborre
Tjäder</t>
        </is>
      </c>
      <c r="W13">
        <f>HYPERLINK("https://klasma.github.io/Logging_2021/artfynd/A 18713-2026 artfynd.xlsx", "A 18713-2026")</f>
        <v/>
      </c>
      <c r="X13">
        <f>HYPERLINK("https://klasma.github.io/Logging_2021/kartor/A 18713-2026 karta.png", "A 18713-2026")</f>
        <v/>
      </c>
      <c r="Y13">
        <f>HYPERLINK("https://klasma.github.io/Logging_2021/kartor_geotiff/A 18713-2026 georefererad karta.tif", "A 18713-2026")</f>
        <v/>
      </c>
      <c r="Z13">
        <f>HYPERLINK("https://klasma.github.io/Logging_2021/knärot/A 18713-2026 karta knärot.png", "A 18713-2026")</f>
        <v/>
      </c>
      <c r="AA13">
        <f>HYPERLINK("https://klasma.github.io/Logging_2021/klagomål/A 18713-2026 FSC-klagomål.docx", "A 18713-2026")</f>
        <v/>
      </c>
      <c r="AB13">
        <f>HYPERLINK("https://klasma.github.io/Logging_2021/klagomålsmail/A 18713-2026 FSC-klagomål mail.docx", "A 18713-2026")</f>
        <v/>
      </c>
      <c r="AC13">
        <f>HYPERLINK("https://klasma.github.io/Logging_2021/tillsyn/A 18713-2026 tillsynsbegäran.docx", "A 18713-2026")</f>
        <v/>
      </c>
      <c r="AD13">
        <f>HYPERLINK("https://klasma.github.io/Logging_2021/tillsynsmail/A 18713-2026 tillsynsbegäran mail.docx", "A 18713-2026")</f>
        <v/>
      </c>
      <c r="AE13">
        <f>HYPERLINK("https://klasma.github.io/Logging_2021/fåglar/A 18713-2026 prioriterade fågelarter.docx", "A 18713-2026")</f>
        <v/>
      </c>
    </row>
    <row r="14" ht="15" customHeight="1">
      <c r="A14" t="inlineStr">
        <is>
          <t>A 6640-2026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46052</v>
      </c>
      <c r="E14" s="1" t="n">
        <v>46313</v>
      </c>
      <c r="F14" t="inlineStr">
        <is>
          <t>DALARNAS LÄN</t>
        </is>
      </c>
      <c r="G14" t="inlineStr">
        <is>
          <t>VANSBRO</t>
        </is>
      </c>
      <c r="I14" t="n">
        <v>5.4</v>
      </c>
      <c r="J14" t="n">
        <v>1</v>
      </c>
      <c r="K14" t="n">
        <v>2</v>
      </c>
      <c r="L14" t="n">
        <v>4</v>
      </c>
      <c r="M14" t="n">
        <v>1</v>
      </c>
      <c r="N14" t="n">
        <v>0</v>
      </c>
      <c r="O14" t="n">
        <v>0</v>
      </c>
      <c r="P14" t="n">
        <v>0</v>
      </c>
      <c r="Q14" t="n">
        <v>5</v>
      </c>
      <c r="R14" t="n">
        <v>1</v>
      </c>
      <c r="S14" t="n">
        <v>8</v>
      </c>
      <c r="T14" t="n">
        <v>35</v>
      </c>
      <c r="U14" t="n">
        <v>0</v>
      </c>
      <c r="V14" s="2" t="inlineStr">
        <is>
          <t>Garnlav
Dvärgbägarlav
Mörk kolflarnlav
Tallticka
Vedskivlav
Mindre märgborre
Nästlav
Tjäder</t>
        </is>
      </c>
      <c r="W14">
        <f>HYPERLINK("https://klasma.github.io/Logging_2021/artfynd/A 6640-2026 artfynd.xlsx", "A 6640-2026")</f>
        <v/>
      </c>
      <c r="X14">
        <f>HYPERLINK("https://klasma.github.io/Logging_2021/kartor/A 6640-2026 karta.png", "A 6640-2026")</f>
        <v/>
      </c>
      <c r="Y14">
        <f>HYPERLINK("https://klasma.github.io/Logging_2021/kartor_geotiff/A 6640-2026 georefererad karta.tif", "A 6640-2026")</f>
        <v/>
      </c>
      <c r="AA14">
        <f>HYPERLINK("https://klasma.github.io/Logging_2021/klagomål/A 6640-2026 FSC-klagomål.docx", "A 6640-2026")</f>
        <v/>
      </c>
      <c r="AB14">
        <f>HYPERLINK("https://klasma.github.io/Logging_2021/klagomålsmail/A 6640-2026 FSC-klagomål mail.docx", "A 6640-2026")</f>
        <v/>
      </c>
      <c r="AC14">
        <f>HYPERLINK("https://klasma.github.io/Logging_2021/tillsyn/A 6640-2026 tillsynsbegäran.docx", "A 6640-2026")</f>
        <v/>
      </c>
      <c r="AD14">
        <f>HYPERLINK("https://klasma.github.io/Logging_2021/tillsynsmail/A 6640-2026 tillsynsbegäran mail.docx", "A 6640-2026")</f>
        <v/>
      </c>
      <c r="AE14">
        <f>HYPERLINK("https://klasma.github.io/Logging_2021/fåglar/A 6640-2026 prioriterade fågelarter.docx", "A 6640-2026")</f>
        <v/>
      </c>
    </row>
    <row r="15" ht="15" customHeight="1">
      <c r="A15" t="inlineStr">
        <is>
          <t>A 33963-2025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45842</v>
      </c>
      <c r="E15" s="1" t="n">
        <v>46313</v>
      </c>
      <c r="F15" t="inlineStr">
        <is>
          <t>DALARNAS LÄN</t>
        </is>
      </c>
      <c r="G15" t="inlineStr">
        <is>
          <t>VANSBRO</t>
        </is>
      </c>
      <c r="I15" t="n">
        <v>3.2</v>
      </c>
      <c r="J15" t="n">
        <v>3</v>
      </c>
      <c r="K15" t="n">
        <v>1</v>
      </c>
      <c r="L15" t="n">
        <v>4</v>
      </c>
      <c r="M15" t="n">
        <v>2</v>
      </c>
      <c r="N15" t="n">
        <v>0</v>
      </c>
      <c r="O15" t="n">
        <v>0</v>
      </c>
      <c r="P15" t="n">
        <v>0</v>
      </c>
      <c r="Q15" t="n">
        <v>6</v>
      </c>
      <c r="R15" t="n">
        <v>2</v>
      </c>
      <c r="S15" t="n">
        <v>8</v>
      </c>
      <c r="T15" t="n">
        <v>18</v>
      </c>
      <c r="U15" t="n">
        <v>18</v>
      </c>
      <c r="V15" s="2" t="inlineStr">
        <is>
          <t>Garnlav
Knärot
Kattfotslav
Tretåig hackspett
Ullticka
Vedskivlav
Vedticka
Spillkråka</t>
        </is>
      </c>
      <c r="W15">
        <f>HYPERLINK("https://klasma.github.io/Logging_2021/artfynd/A 33963-2025 artfynd.xlsx", "A 33963-2025")</f>
        <v/>
      </c>
      <c r="X15">
        <f>HYPERLINK("https://klasma.github.io/Logging_2021/kartor/A 33963-2025 karta.png", "A 33963-2025")</f>
        <v/>
      </c>
      <c r="Y15">
        <f>HYPERLINK("https://klasma.github.io/Logging_2021/kartor_geotiff/A 33963-2025 georefererad karta.tif", "A 33963-2025")</f>
        <v/>
      </c>
      <c r="Z15">
        <f>HYPERLINK("https://klasma.github.io/Logging_2021/knärot/A 33963-2025 karta knärot.png", "A 33963-2025")</f>
        <v/>
      </c>
      <c r="AA15">
        <f>HYPERLINK("https://klasma.github.io/Logging_2021/klagomål/A 33963-2025 FSC-klagomål.docx", "A 33963-2025")</f>
        <v/>
      </c>
      <c r="AB15">
        <f>HYPERLINK("https://klasma.github.io/Logging_2021/klagomålsmail/A 33963-2025 FSC-klagomål mail.docx", "A 33963-2025")</f>
        <v/>
      </c>
      <c r="AC15">
        <f>HYPERLINK("https://klasma.github.io/Logging_2021/tillsyn/A 33963-2025 tillsynsbegäran.docx", "A 33963-2025")</f>
        <v/>
      </c>
      <c r="AD15">
        <f>HYPERLINK("https://klasma.github.io/Logging_2021/tillsynsmail/A 33963-2025 tillsynsbegäran mail.docx", "A 33963-2025")</f>
        <v/>
      </c>
      <c r="AE15">
        <f>HYPERLINK("https://klasma.github.io/Logging_2021/fåglar/A 33963-2025 prioriterade fågelarter.docx", "A 33963-2025")</f>
        <v/>
      </c>
    </row>
    <row r="16" ht="15" customHeight="1">
      <c r="A16" t="inlineStr">
        <is>
          <t>A 6671-2026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46052</v>
      </c>
      <c r="E16" s="1" t="n">
        <v>46313</v>
      </c>
      <c r="F16" t="inlineStr">
        <is>
          <t>DALARNAS LÄN</t>
        </is>
      </c>
      <c r="G16" t="inlineStr">
        <is>
          <t>VANSBRO</t>
        </is>
      </c>
      <c r="I16" t="n">
        <v>13.9</v>
      </c>
      <c r="J16" t="n">
        <v>1</v>
      </c>
      <c r="K16" t="n">
        <v>1</v>
      </c>
      <c r="L16" t="n">
        <v>3</v>
      </c>
      <c r="M16" t="n">
        <v>1</v>
      </c>
      <c r="N16" t="n">
        <v>0</v>
      </c>
      <c r="O16" t="n">
        <v>0</v>
      </c>
      <c r="P16" t="n">
        <v>0</v>
      </c>
      <c r="Q16" t="n">
        <v>4</v>
      </c>
      <c r="R16" t="n">
        <v>1</v>
      </c>
      <c r="S16" t="n">
        <v>6</v>
      </c>
      <c r="T16" t="n">
        <v>27</v>
      </c>
      <c r="U16" t="n">
        <v>0</v>
      </c>
      <c r="V16" s="2" t="inlineStr">
        <is>
          <t>Garnlav
Kolflarnlav
Mörk kolflarnlav
Rynkskinn
Mindre märgborre
Tjäder</t>
        </is>
      </c>
      <c r="W16">
        <f>HYPERLINK("https://klasma.github.io/Logging_2021/artfynd/A 6671-2026 artfynd.xlsx", "A 6671-2026")</f>
        <v/>
      </c>
      <c r="X16">
        <f>HYPERLINK("https://klasma.github.io/Logging_2021/kartor/A 6671-2026 karta.png", "A 6671-2026")</f>
        <v/>
      </c>
      <c r="Y16">
        <f>HYPERLINK("https://klasma.github.io/Logging_2021/kartor_geotiff/A 6671-2026 georefererad karta.tif", "A 6671-2026")</f>
        <v/>
      </c>
      <c r="AA16">
        <f>HYPERLINK("https://klasma.github.io/Logging_2021/klagomål/A 6671-2026 FSC-klagomål.docx", "A 6671-2026")</f>
        <v/>
      </c>
      <c r="AB16">
        <f>HYPERLINK("https://klasma.github.io/Logging_2021/klagomålsmail/A 6671-2026 FSC-klagomål mail.docx", "A 6671-2026")</f>
        <v/>
      </c>
      <c r="AC16">
        <f>HYPERLINK("https://klasma.github.io/Logging_2021/tillsyn/A 6671-2026 tillsynsbegäran.docx", "A 6671-2026")</f>
        <v/>
      </c>
      <c r="AD16">
        <f>HYPERLINK("https://klasma.github.io/Logging_2021/tillsynsmail/A 6671-2026 tillsynsbegäran mail.docx", "A 6671-2026")</f>
        <v/>
      </c>
      <c r="AE16">
        <f>HYPERLINK("https://klasma.github.io/Logging_2021/fåglar/A 6671-2026 prioriterade fågelarter.docx", "A 6671-2026")</f>
        <v/>
      </c>
    </row>
    <row r="17" ht="15" customHeight="1">
      <c r="A17" t="inlineStr">
        <is>
          <t>A 28480-2026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46197</v>
      </c>
      <c r="E17" s="1" t="n">
        <v>46313</v>
      </c>
      <c r="F17" t="inlineStr">
        <is>
          <t>DALARNAS LÄN</t>
        </is>
      </c>
      <c r="G17" t="inlineStr">
        <is>
          <t>VANSBRO</t>
        </is>
      </c>
      <c r="H17" t="inlineStr">
        <is>
          <t>Bergvik skog öst AB</t>
        </is>
      </c>
      <c r="I17" t="n">
        <v>1.1</v>
      </c>
      <c r="J17" t="n">
        <v>2</v>
      </c>
      <c r="K17" t="n">
        <v>0</v>
      </c>
      <c r="L17" t="n">
        <v>4</v>
      </c>
      <c r="M17" t="n">
        <v>1</v>
      </c>
      <c r="N17" t="n">
        <v>0</v>
      </c>
      <c r="O17" t="n">
        <v>0</v>
      </c>
      <c r="P17" t="n">
        <v>0</v>
      </c>
      <c r="Q17" t="n">
        <v>5</v>
      </c>
      <c r="R17" t="n">
        <v>1</v>
      </c>
      <c r="S17" t="n">
        <v>6</v>
      </c>
      <c r="T17" t="n">
        <v>39</v>
      </c>
      <c r="U17" t="n">
        <v>39</v>
      </c>
      <c r="V17" s="2" t="inlineStr">
        <is>
          <t>Garnlav
Dropptaggsvamp
Kolflarnlav
Tallticka
Tretåig hackspett
Tjäder</t>
        </is>
      </c>
      <c r="W17">
        <f>HYPERLINK("https://klasma.github.io/Logging_2021/artfynd/A 28480-2026 artfynd.xlsx", "A 28480-2026")</f>
        <v/>
      </c>
      <c r="X17">
        <f>HYPERLINK("https://klasma.github.io/Logging_2021/kartor/A 28480-2026 karta.png", "A 28480-2026")</f>
        <v/>
      </c>
      <c r="Y17">
        <f>HYPERLINK("https://klasma.github.io/Logging_2021/kartor_geotiff/A 28480-2026 georefererad karta.tif", "A 28480-2026")</f>
        <v/>
      </c>
      <c r="AA17">
        <f>HYPERLINK("https://klasma.github.io/Logging_2021/klagomål/A 28480-2026 FSC-klagomål.docx", "A 28480-2026")</f>
        <v/>
      </c>
      <c r="AB17">
        <f>HYPERLINK("https://klasma.github.io/Logging_2021/klagomålsmail/A 28480-2026 FSC-klagomål mail.docx", "A 28480-2026")</f>
        <v/>
      </c>
      <c r="AC17">
        <f>HYPERLINK("https://klasma.github.io/Logging_2021/tillsyn/A 28480-2026 tillsynsbegäran.docx", "A 28480-2026")</f>
        <v/>
      </c>
      <c r="AD17">
        <f>HYPERLINK("https://klasma.github.io/Logging_2021/tillsynsmail/A 28480-2026 tillsynsbegäran mail.docx", "A 28480-2026")</f>
        <v/>
      </c>
      <c r="AE17">
        <f>HYPERLINK("https://klasma.github.io/Logging_2021/fåglar/A 28480-2026 prioriterade fågelarter.docx", "A 28480-2026")</f>
        <v/>
      </c>
    </row>
    <row r="18" ht="15" customHeight="1">
      <c r="A18" t="inlineStr">
        <is>
          <t>A 33962-2025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45842</v>
      </c>
      <c r="E18" s="1" t="n">
        <v>46313</v>
      </c>
      <c r="F18" t="inlineStr">
        <is>
          <t>DALARNAS LÄN</t>
        </is>
      </c>
      <c r="G18" t="inlineStr">
        <is>
          <t>VANSBRO</t>
        </is>
      </c>
      <c r="I18" t="n">
        <v>7</v>
      </c>
      <c r="J18" t="n">
        <v>3</v>
      </c>
      <c r="K18" t="n">
        <v>1</v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4</v>
      </c>
      <c r="R18" t="n">
        <v>2</v>
      </c>
      <c r="S18" t="n">
        <v>6</v>
      </c>
      <c r="T18" t="n">
        <v>22</v>
      </c>
      <c r="U18" t="n">
        <v>22</v>
      </c>
      <c r="V18" s="2" t="inlineStr">
        <is>
          <t>Garnlav
Knärot
Lunglav
Tretåig hackspett
Vedticka
Spillkråka</t>
        </is>
      </c>
      <c r="W18">
        <f>HYPERLINK("https://klasma.github.io/Logging_2021/artfynd/A 33962-2025 artfynd.xlsx", "A 33962-2025")</f>
        <v/>
      </c>
      <c r="X18">
        <f>HYPERLINK("https://klasma.github.io/Logging_2021/kartor/A 33962-2025 karta.png", "A 33962-2025")</f>
        <v/>
      </c>
      <c r="Y18">
        <f>HYPERLINK("https://klasma.github.io/Logging_2021/kartor_geotiff/A 33962-2025 georefererad karta.tif", "A 33962-2025")</f>
        <v/>
      </c>
      <c r="Z18">
        <f>HYPERLINK("https://klasma.github.io/Logging_2021/knärot/A 33962-2025 karta knärot.png", "A 33962-2025")</f>
        <v/>
      </c>
      <c r="AA18">
        <f>HYPERLINK("https://klasma.github.io/Logging_2021/klagomål/A 33962-2025 FSC-klagomål.docx", "A 33962-2025")</f>
        <v/>
      </c>
      <c r="AB18">
        <f>HYPERLINK("https://klasma.github.io/Logging_2021/klagomålsmail/A 33962-2025 FSC-klagomål mail.docx", "A 33962-2025")</f>
        <v/>
      </c>
      <c r="AC18">
        <f>HYPERLINK("https://klasma.github.io/Logging_2021/tillsyn/A 33962-2025 tillsynsbegäran.docx", "A 33962-2025")</f>
        <v/>
      </c>
      <c r="AD18">
        <f>HYPERLINK("https://klasma.github.io/Logging_2021/tillsynsmail/A 33962-2025 tillsynsbegäran mail.docx", "A 33962-2025")</f>
        <v/>
      </c>
      <c r="AE18">
        <f>HYPERLINK("https://klasma.github.io/Logging_2021/fåglar/A 33962-2025 prioriterade fågelarter.docx", "A 33962-2025")</f>
        <v/>
      </c>
    </row>
    <row r="19" ht="15" customHeight="1">
      <c r="A19" t="inlineStr">
        <is>
          <t>A 3363-2026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46042</v>
      </c>
      <c r="E19" s="1" t="n">
        <v>46313</v>
      </c>
      <c r="F19" t="inlineStr">
        <is>
          <t>DALARNAS LÄN</t>
        </is>
      </c>
      <c r="G19" t="inlineStr">
        <is>
          <t>VANSBRO</t>
        </is>
      </c>
      <c r="I19" t="n">
        <v>5.3</v>
      </c>
      <c r="J19" t="n">
        <v>3</v>
      </c>
      <c r="K19" t="n">
        <v>0</v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4</v>
      </c>
      <c r="R19" t="n">
        <v>2</v>
      </c>
      <c r="S19" t="n">
        <v>5</v>
      </c>
      <c r="T19" t="n">
        <v>39</v>
      </c>
      <c r="U19" t="n">
        <v>39</v>
      </c>
      <c r="V19" s="2" t="inlineStr">
        <is>
          <t>Garnlav
Knärot
Tretåig hackspett
Ullticka
Tjäder</t>
        </is>
      </c>
      <c r="W19">
        <f>HYPERLINK("https://klasma.github.io/Logging_2021/artfynd/A 3363-2026 artfynd.xlsx", "A 3363-2026")</f>
        <v/>
      </c>
      <c r="X19">
        <f>HYPERLINK("https://klasma.github.io/Logging_2021/kartor/A 3363-2026 karta.png", "A 3363-2026")</f>
        <v/>
      </c>
      <c r="Y19">
        <f>HYPERLINK("https://klasma.github.io/Logging_2021/kartor_geotiff/A 3363-2026 georefererad karta.tif", "A 3363-2026")</f>
        <v/>
      </c>
      <c r="Z19">
        <f>HYPERLINK("https://klasma.github.io/Logging_2021/knärot/A 3363-2026 karta knärot.png", "A 3363-2026")</f>
        <v/>
      </c>
      <c r="AA19">
        <f>HYPERLINK("https://klasma.github.io/Logging_2021/klagomål/A 3363-2026 FSC-klagomål.docx", "A 3363-2026")</f>
        <v/>
      </c>
      <c r="AB19">
        <f>HYPERLINK("https://klasma.github.io/Logging_2021/klagomålsmail/A 3363-2026 FSC-klagomål mail.docx", "A 3363-2026")</f>
        <v/>
      </c>
      <c r="AC19">
        <f>HYPERLINK("https://klasma.github.io/Logging_2021/tillsyn/A 3363-2026 tillsynsbegäran.docx", "A 3363-2026")</f>
        <v/>
      </c>
      <c r="AD19">
        <f>HYPERLINK("https://klasma.github.io/Logging_2021/tillsynsmail/A 3363-2026 tillsynsbegäran mail.docx", "A 3363-2026")</f>
        <v/>
      </c>
      <c r="AE19">
        <f>HYPERLINK("https://klasma.github.io/Logging_2021/fåglar/A 3363-2026 prioriterade fågelarter.docx", "A 3363-2026")</f>
        <v/>
      </c>
    </row>
    <row r="20" ht="15" customHeight="1">
      <c r="A20" t="inlineStr">
        <is>
          <t>A 33005-2025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45840</v>
      </c>
      <c r="E20" s="1" t="n">
        <v>46313</v>
      </c>
      <c r="F20" t="inlineStr">
        <is>
          <t>DALARNAS LÄN</t>
        </is>
      </c>
      <c r="G20" t="inlineStr">
        <is>
          <t>VANSBRO</t>
        </is>
      </c>
      <c r="I20" t="n">
        <v>5.5</v>
      </c>
      <c r="J20" t="n">
        <v>2</v>
      </c>
      <c r="K20" t="n">
        <v>1</v>
      </c>
      <c r="L20" t="n">
        <v>3</v>
      </c>
      <c r="M20" t="n">
        <v>1</v>
      </c>
      <c r="N20" t="n">
        <v>0</v>
      </c>
      <c r="O20" t="n">
        <v>0</v>
      </c>
      <c r="P20" t="n">
        <v>0</v>
      </c>
      <c r="Q20" t="n">
        <v>4</v>
      </c>
      <c r="R20" t="n">
        <v>1</v>
      </c>
      <c r="S20" t="n">
        <v>5</v>
      </c>
      <c r="T20" t="n">
        <v>17</v>
      </c>
      <c r="U20" t="n">
        <v>17</v>
      </c>
      <c r="V20" s="2" t="inlineStr">
        <is>
          <t>Knärot
Kolflarnlav
Mörk kolflarnlav
Tretåig hackspett
Mindre märgborre</t>
        </is>
      </c>
      <c r="W20">
        <f>HYPERLINK("https://klasma.github.io/Logging_2021/artfynd/A 33005-2025 artfynd.xlsx", "A 33005-2025")</f>
        <v/>
      </c>
      <c r="X20">
        <f>HYPERLINK("https://klasma.github.io/Logging_2021/kartor/A 33005-2025 karta.png", "A 33005-2025")</f>
        <v/>
      </c>
      <c r="Y20">
        <f>HYPERLINK("https://klasma.github.io/Logging_2021/kartor_geotiff/A 33005-2025 georefererad karta.tif", "A 33005-2025")</f>
        <v/>
      </c>
      <c r="Z20">
        <f>HYPERLINK("https://klasma.github.io/Logging_2021/knärot/A 33005-2025 karta knärot.png", "A 33005-2025")</f>
        <v/>
      </c>
      <c r="AA20">
        <f>HYPERLINK("https://klasma.github.io/Logging_2021/klagomål/A 33005-2025 FSC-klagomål.docx", "A 33005-2025")</f>
        <v/>
      </c>
      <c r="AB20">
        <f>HYPERLINK("https://klasma.github.io/Logging_2021/klagomålsmail/A 33005-2025 FSC-klagomål mail.docx", "A 33005-2025")</f>
        <v/>
      </c>
      <c r="AC20">
        <f>HYPERLINK("https://klasma.github.io/Logging_2021/tillsyn/A 33005-2025 tillsynsbegäran.docx", "A 33005-2025")</f>
        <v/>
      </c>
      <c r="AD20">
        <f>HYPERLINK("https://klasma.github.io/Logging_2021/tillsynsmail/A 33005-2025 tillsynsbegäran mail.docx", "A 33005-2025")</f>
        <v/>
      </c>
      <c r="AE20">
        <f>HYPERLINK("https://klasma.github.io/Logging_2021/fåglar/A 33005-2025 prioriterade fågelarter.docx", "A 33005-2025")</f>
        <v/>
      </c>
    </row>
    <row r="21" ht="15" customHeight="1">
      <c r="A21" t="inlineStr">
        <is>
          <t>A 62734-2021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44504</v>
      </c>
      <c r="E21" s="1" t="n">
        <v>46313</v>
      </c>
      <c r="F21" t="inlineStr">
        <is>
          <t>DALARNAS LÄN</t>
        </is>
      </c>
      <c r="G21" t="inlineStr">
        <is>
          <t>VANSBRO</t>
        </is>
      </c>
      <c r="H21" t="inlineStr">
        <is>
          <t>Bergvik skog öst AB</t>
        </is>
      </c>
      <c r="I21" t="n">
        <v>5.6</v>
      </c>
      <c r="J21" t="n">
        <v>0</v>
      </c>
      <c r="K21" t="n">
        <v>1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4</v>
      </c>
      <c r="T21" t="n">
        <v>4</v>
      </c>
      <c r="U21" t="n">
        <v>4</v>
      </c>
      <c r="V21" s="2" t="inlineStr">
        <is>
          <t>Doftskinn
Ullticka
Violettgrå tagellav
Stuplav</t>
        </is>
      </c>
      <c r="W21">
        <f>HYPERLINK("https://klasma.github.io/Logging_2021/artfynd/A 62734-2021 artfynd.xlsx", "A 62734-2021")</f>
        <v/>
      </c>
      <c r="X21">
        <f>HYPERLINK("https://klasma.github.io/Logging_2021/kartor/A 62734-2021 karta.png", "A 62734-2021")</f>
        <v/>
      </c>
      <c r="Y21">
        <f>HYPERLINK("https://klasma.github.io/Logging_2021/kartor_geotiff/A 62734-2021 georefererad karta.tif", "A 62734-2021")</f>
        <v/>
      </c>
      <c r="AA21">
        <f>HYPERLINK("https://klasma.github.io/Logging_2021/klagomål/A 62734-2021 FSC-klagomål.docx", "A 62734-2021")</f>
        <v/>
      </c>
      <c r="AB21">
        <f>HYPERLINK("https://klasma.github.io/Logging_2021/klagomålsmail/A 62734-2021 FSC-klagomål mail.docx", "A 62734-2021")</f>
        <v/>
      </c>
      <c r="AC21">
        <f>HYPERLINK("https://klasma.github.io/Logging_2021/tillsyn/A 62734-2021 tillsynsbegäran.docx", "A 62734-2021")</f>
        <v/>
      </c>
      <c r="AD21">
        <f>HYPERLINK("https://klasma.github.io/Logging_2021/tillsynsmail/A 62734-2021 tillsynsbegäran mail.docx", "A 62734-2021")</f>
        <v/>
      </c>
    </row>
    <row r="22" ht="15" customHeight="1">
      <c r="A22" t="inlineStr">
        <is>
          <t>A 3854-2024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45322</v>
      </c>
      <c r="E22" s="1" t="n">
        <v>46313</v>
      </c>
      <c r="F22" t="inlineStr">
        <is>
          <t>DALARNAS LÄN</t>
        </is>
      </c>
      <c r="G22" t="inlineStr">
        <is>
          <t>VANSBRO</t>
        </is>
      </c>
      <c r="H22" t="inlineStr">
        <is>
          <t>Kyrkan</t>
        </is>
      </c>
      <c r="I22" t="n">
        <v>4.6</v>
      </c>
      <c r="J22" t="n">
        <v>2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4</v>
      </c>
      <c r="T22" t="n">
        <v>4</v>
      </c>
      <c r="U22" t="n">
        <v>3</v>
      </c>
      <c r="V22" s="2" t="inlineStr">
        <is>
          <t>Garnlav
Tretåig hackspett
Björksplintborre
Utter</t>
        </is>
      </c>
      <c r="W22">
        <f>HYPERLINK("https://klasma.github.io/Logging_2021/artfynd/A 3854-2024 artfynd.xlsx", "A 3854-2024")</f>
        <v/>
      </c>
      <c r="X22">
        <f>HYPERLINK("https://klasma.github.io/Logging_2021/kartor/A 3854-2024 karta.png", "A 3854-2024")</f>
        <v/>
      </c>
      <c r="Y22">
        <f>HYPERLINK("https://klasma.github.io/Logging_2021/kartor_geotiff/A 3854-2024 georefererad karta.tif", "A 3854-2024")</f>
        <v/>
      </c>
      <c r="AA22">
        <f>HYPERLINK("https://klasma.github.io/Logging_2021/klagomål/A 3854-2024 FSC-klagomål.docx", "A 3854-2024")</f>
        <v/>
      </c>
      <c r="AB22">
        <f>HYPERLINK("https://klasma.github.io/Logging_2021/klagomålsmail/A 3854-2024 FSC-klagomål mail.docx", "A 3854-2024")</f>
        <v/>
      </c>
      <c r="AC22">
        <f>HYPERLINK("https://klasma.github.io/Logging_2021/tillsyn/A 3854-2024 tillsynsbegäran.docx", "A 3854-2024")</f>
        <v/>
      </c>
      <c r="AD22">
        <f>HYPERLINK("https://klasma.github.io/Logging_2021/tillsynsmail/A 3854-2024 tillsynsbegäran mail.docx", "A 3854-2024")</f>
        <v/>
      </c>
      <c r="AE22">
        <f>HYPERLINK("https://klasma.github.io/Logging_2021/fåglar/A 3854-2024 prioriterade fågelarter.docx", "A 3854-2024")</f>
        <v/>
      </c>
    </row>
    <row r="23" ht="15" customHeight="1">
      <c r="A23" t="inlineStr">
        <is>
          <t>A 45350-2024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45576</v>
      </c>
      <c r="E23" s="1" t="n">
        <v>46313</v>
      </c>
      <c r="F23" t="inlineStr">
        <is>
          <t>DALARNAS LÄN</t>
        </is>
      </c>
      <c r="G23" t="inlineStr">
        <is>
          <t>VANSBRO</t>
        </is>
      </c>
      <c r="I23" t="n">
        <v>13.4</v>
      </c>
      <c r="J23" t="n">
        <v>0</v>
      </c>
      <c r="K23" t="n">
        <v>1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1</v>
      </c>
      <c r="S23" t="n">
        <v>4</v>
      </c>
      <c r="T23" t="n">
        <v>8</v>
      </c>
      <c r="U23" t="n">
        <v>8</v>
      </c>
      <c r="V23" s="2" t="inlineStr">
        <is>
          <t>Garnlav
Dropptaggsvamp
Kolflarnlav
Mindre märgborre</t>
        </is>
      </c>
      <c r="W23">
        <f>HYPERLINK("https://klasma.github.io/Logging_2021/artfynd/A 45350-2024 artfynd.xlsx", "A 45350-2024")</f>
        <v/>
      </c>
      <c r="X23">
        <f>HYPERLINK("https://klasma.github.io/Logging_2021/kartor/A 45350-2024 karta.png", "A 45350-2024")</f>
        <v/>
      </c>
      <c r="Y23">
        <f>HYPERLINK("https://klasma.github.io/Logging_2021/kartor_geotiff/A 45350-2024 georefererad karta.tif", "A 45350-2024")</f>
        <v/>
      </c>
      <c r="AA23">
        <f>HYPERLINK("https://klasma.github.io/Logging_2021/klagomål/A 45350-2024 FSC-klagomål.docx", "A 45350-2024")</f>
        <v/>
      </c>
      <c r="AB23">
        <f>HYPERLINK("https://klasma.github.io/Logging_2021/klagomålsmail/A 45350-2024 FSC-klagomål mail.docx", "A 45350-2024")</f>
        <v/>
      </c>
      <c r="AC23">
        <f>HYPERLINK("https://klasma.github.io/Logging_2021/tillsyn/A 45350-2024 tillsynsbegäran.docx", "A 45350-2024")</f>
        <v/>
      </c>
      <c r="AD23">
        <f>HYPERLINK("https://klasma.github.io/Logging_2021/tillsynsmail/A 45350-2024 tillsynsbegäran mail.docx", "A 45350-2024")</f>
        <v/>
      </c>
    </row>
    <row r="24" ht="15" customHeight="1">
      <c r="A24" t="inlineStr">
        <is>
          <t>A 11477-2026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46083</v>
      </c>
      <c r="E24" s="1" t="n">
        <v>46313</v>
      </c>
      <c r="F24" t="inlineStr">
        <is>
          <t>DALARNAS LÄN</t>
        </is>
      </c>
      <c r="G24" t="inlineStr">
        <is>
          <t>VANSBRO</t>
        </is>
      </c>
      <c r="I24" t="n">
        <v>14.5</v>
      </c>
      <c r="J24" t="n">
        <v>0</v>
      </c>
      <c r="K24" t="n">
        <v>0</v>
      </c>
      <c r="L24" t="n">
        <v>3</v>
      </c>
      <c r="M24" t="n">
        <v>1</v>
      </c>
      <c r="N24" t="n">
        <v>0</v>
      </c>
      <c r="O24" t="n">
        <v>0</v>
      </c>
      <c r="P24" t="n">
        <v>0</v>
      </c>
      <c r="Q24" t="n">
        <v>4</v>
      </c>
      <c r="R24" t="n">
        <v>1</v>
      </c>
      <c r="S24" t="n">
        <v>4</v>
      </c>
      <c r="T24" t="n">
        <v>5</v>
      </c>
      <c r="U24" t="n">
        <v>0</v>
      </c>
      <c r="V24" s="2" t="inlineStr">
        <is>
          <t>Garnlav
Dvärgbägarlav
Nordtagging
Vedskivlav</t>
        </is>
      </c>
      <c r="W24">
        <f>HYPERLINK("https://klasma.github.io/Logging_2021/artfynd/A 11477-2026 artfynd.xlsx", "A 11477-2026")</f>
        <v/>
      </c>
      <c r="X24">
        <f>HYPERLINK("https://klasma.github.io/Logging_2021/kartor/A 11477-2026 karta.png", "A 11477-2026")</f>
        <v/>
      </c>
      <c r="Y24">
        <f>HYPERLINK("https://klasma.github.io/Logging_2021/kartor_geotiff/A 11477-2026 georefererad karta.tif", "A 11477-2026")</f>
        <v/>
      </c>
      <c r="AA24">
        <f>HYPERLINK("https://klasma.github.io/Logging_2021/klagomål/A 11477-2026 FSC-klagomål.docx", "A 11477-2026")</f>
        <v/>
      </c>
      <c r="AB24">
        <f>HYPERLINK("https://klasma.github.io/Logging_2021/klagomålsmail/A 11477-2026 FSC-klagomål mail.docx", "A 11477-2026")</f>
        <v/>
      </c>
      <c r="AC24">
        <f>HYPERLINK("https://klasma.github.io/Logging_2021/tillsyn/A 11477-2026 tillsynsbegäran.docx", "A 11477-2026")</f>
        <v/>
      </c>
      <c r="AD24">
        <f>HYPERLINK("https://klasma.github.io/Logging_2021/tillsynsmail/A 11477-2026 tillsynsbegäran mail.docx", "A 11477-2026")</f>
        <v/>
      </c>
    </row>
    <row r="25" ht="15" customHeight="1">
      <c r="A25" t="inlineStr">
        <is>
          <t>A 13339-2025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45735</v>
      </c>
      <c r="E25" s="1" t="n">
        <v>46313</v>
      </c>
      <c r="F25" t="inlineStr">
        <is>
          <t>DALARNAS LÄN</t>
        </is>
      </c>
      <c r="G25" t="inlineStr">
        <is>
          <t>VANSBRO</t>
        </is>
      </c>
      <c r="I25" t="n">
        <v>0.4</v>
      </c>
      <c r="J25" t="n">
        <v>1</v>
      </c>
      <c r="K25" t="n">
        <v>0</v>
      </c>
      <c r="L25" t="n">
        <v>2</v>
      </c>
      <c r="M25" t="n">
        <v>2</v>
      </c>
      <c r="N25" t="n">
        <v>0</v>
      </c>
      <c r="O25" t="n">
        <v>0</v>
      </c>
      <c r="P25" t="n">
        <v>0</v>
      </c>
      <c r="Q25" t="n">
        <v>4</v>
      </c>
      <c r="R25" t="n">
        <v>2</v>
      </c>
      <c r="S25" t="n">
        <v>4</v>
      </c>
      <c r="T25" t="n">
        <v>5</v>
      </c>
      <c r="U25" t="n">
        <v>5</v>
      </c>
      <c r="V25" s="2" t="inlineStr">
        <is>
          <t>Garnlav
Knärot
Dropptaggsvamp
Mörk kolflarnlav</t>
        </is>
      </c>
      <c r="W25">
        <f>HYPERLINK("https://klasma.github.io/Logging_2021/artfynd/A 13339-2025 artfynd.xlsx", "A 13339-2025")</f>
        <v/>
      </c>
      <c r="X25">
        <f>HYPERLINK("https://klasma.github.io/Logging_2021/kartor/A 13339-2025 karta.png", "A 13339-2025")</f>
        <v/>
      </c>
      <c r="Y25">
        <f>HYPERLINK("https://klasma.github.io/Logging_2021/kartor_geotiff/A 13339-2025 georefererad karta.tif", "A 13339-2025")</f>
        <v/>
      </c>
      <c r="Z25">
        <f>HYPERLINK("https://klasma.github.io/Logging_2021/knärot/A 13339-2025 karta knärot.png", "A 13339-2025")</f>
        <v/>
      </c>
      <c r="AA25">
        <f>HYPERLINK("https://klasma.github.io/Logging_2021/klagomål/A 13339-2025 FSC-klagomål.docx", "A 13339-2025")</f>
        <v/>
      </c>
      <c r="AB25">
        <f>HYPERLINK("https://klasma.github.io/Logging_2021/klagomålsmail/A 13339-2025 FSC-klagomål mail.docx", "A 13339-2025")</f>
        <v/>
      </c>
      <c r="AC25">
        <f>HYPERLINK("https://klasma.github.io/Logging_2021/tillsyn/A 13339-2025 tillsynsbegäran.docx", "A 13339-2025")</f>
        <v/>
      </c>
      <c r="AD25">
        <f>HYPERLINK("https://klasma.github.io/Logging_2021/tillsynsmail/A 13339-2025 tillsynsbegäran mail.docx", "A 13339-2025")</f>
        <v/>
      </c>
    </row>
    <row r="26" ht="15" customHeight="1">
      <c r="A26" t="inlineStr">
        <is>
          <t>A 13344-2025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45735</v>
      </c>
      <c r="E26" s="1" t="n">
        <v>46313</v>
      </c>
      <c r="F26" t="inlineStr">
        <is>
          <t>DALARNAS LÄN</t>
        </is>
      </c>
      <c r="G26" t="inlineStr">
        <is>
          <t>VANSBRO</t>
        </is>
      </c>
      <c r="I26" t="n">
        <v>0.5</v>
      </c>
      <c r="J26" t="n">
        <v>2</v>
      </c>
      <c r="K26" t="n">
        <v>0</v>
      </c>
      <c r="L26" t="n">
        <v>2</v>
      </c>
      <c r="M26" t="n">
        <v>1</v>
      </c>
      <c r="N26" t="n">
        <v>0</v>
      </c>
      <c r="O26" t="n">
        <v>0</v>
      </c>
      <c r="P26" t="n">
        <v>0</v>
      </c>
      <c r="Q26" t="n">
        <v>3</v>
      </c>
      <c r="R26" t="n">
        <v>1</v>
      </c>
      <c r="S26" t="n">
        <v>4</v>
      </c>
      <c r="T26" t="n">
        <v>6</v>
      </c>
      <c r="U26" t="n">
        <v>6</v>
      </c>
      <c r="V26" s="2" t="inlineStr">
        <is>
          <t>Knärot
Mörk kolflarnlav
Ullticka
Tjäder</t>
        </is>
      </c>
      <c r="W26">
        <f>HYPERLINK("https://klasma.github.io/Logging_2021/artfynd/A 13344-2025 artfynd.xlsx", "A 13344-2025")</f>
        <v/>
      </c>
      <c r="X26">
        <f>HYPERLINK("https://klasma.github.io/Logging_2021/kartor/A 13344-2025 karta.png", "A 13344-2025")</f>
        <v/>
      </c>
      <c r="Y26">
        <f>HYPERLINK("https://klasma.github.io/Logging_2021/kartor_geotiff/A 13344-2025 georefererad karta.tif", "A 13344-2025")</f>
        <v/>
      </c>
      <c r="Z26">
        <f>HYPERLINK("https://klasma.github.io/Logging_2021/knärot/A 13344-2025 karta knärot.png", "A 13344-2025")</f>
        <v/>
      </c>
      <c r="AA26">
        <f>HYPERLINK("https://klasma.github.io/Logging_2021/klagomål/A 13344-2025 FSC-klagomål.docx", "A 13344-2025")</f>
        <v/>
      </c>
      <c r="AB26">
        <f>HYPERLINK("https://klasma.github.io/Logging_2021/klagomålsmail/A 13344-2025 FSC-klagomål mail.docx", "A 13344-2025")</f>
        <v/>
      </c>
      <c r="AC26">
        <f>HYPERLINK("https://klasma.github.io/Logging_2021/tillsyn/A 13344-2025 tillsynsbegäran.docx", "A 13344-2025")</f>
        <v/>
      </c>
      <c r="AD26">
        <f>HYPERLINK("https://klasma.github.io/Logging_2021/tillsynsmail/A 13344-2025 tillsynsbegäran mail.docx", "A 13344-2025")</f>
        <v/>
      </c>
      <c r="AE26">
        <f>HYPERLINK("https://klasma.github.io/Logging_2021/fåglar/A 13344-2025 prioriterade fågelarter.docx", "A 13344-2025")</f>
        <v/>
      </c>
    </row>
    <row r="27" ht="15" customHeight="1">
      <c r="A27" t="inlineStr">
        <is>
          <t>A 33003-2025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45840</v>
      </c>
      <c r="E27" s="1" t="n">
        <v>46313</v>
      </c>
      <c r="F27" t="inlineStr">
        <is>
          <t>DALARNAS LÄN</t>
        </is>
      </c>
      <c r="G27" t="inlineStr">
        <is>
          <t>VANSBRO</t>
        </is>
      </c>
      <c r="I27" t="n">
        <v>2.3</v>
      </c>
      <c r="J27" t="n">
        <v>2</v>
      </c>
      <c r="K27" t="n">
        <v>0</v>
      </c>
      <c r="L27" t="n">
        <v>2</v>
      </c>
      <c r="M27" t="n">
        <v>2</v>
      </c>
      <c r="N27" t="n">
        <v>0</v>
      </c>
      <c r="O27" t="n">
        <v>0</v>
      </c>
      <c r="P27" t="n">
        <v>0</v>
      </c>
      <c r="Q27" t="n">
        <v>4</v>
      </c>
      <c r="R27" t="n">
        <v>2</v>
      </c>
      <c r="S27" t="n">
        <v>4</v>
      </c>
      <c r="T27" t="n">
        <v>12</v>
      </c>
      <c r="U27" t="n">
        <v>12</v>
      </c>
      <c r="V27" s="2" t="inlineStr">
        <is>
          <t>Garnlav
Knärot
Kolflarnlav
Tretåig hackspett</t>
        </is>
      </c>
      <c r="W27">
        <f>HYPERLINK("https://klasma.github.io/Logging_2021/artfynd/A 33003-2025 artfynd.xlsx", "A 33003-2025")</f>
        <v/>
      </c>
      <c r="X27">
        <f>HYPERLINK("https://klasma.github.io/Logging_2021/kartor/A 33003-2025 karta.png", "A 33003-2025")</f>
        <v/>
      </c>
      <c r="Y27">
        <f>HYPERLINK("https://klasma.github.io/Logging_2021/kartor_geotiff/A 33003-2025 georefererad karta.tif", "A 33003-2025")</f>
        <v/>
      </c>
      <c r="Z27">
        <f>HYPERLINK("https://klasma.github.io/Logging_2021/knärot/A 33003-2025 karta knärot.png", "A 33003-2025")</f>
        <v/>
      </c>
      <c r="AA27">
        <f>HYPERLINK("https://klasma.github.io/Logging_2021/klagomål/A 33003-2025 FSC-klagomål.docx", "A 33003-2025")</f>
        <v/>
      </c>
      <c r="AB27">
        <f>HYPERLINK("https://klasma.github.io/Logging_2021/klagomålsmail/A 33003-2025 FSC-klagomål mail.docx", "A 33003-2025")</f>
        <v/>
      </c>
      <c r="AC27">
        <f>HYPERLINK("https://klasma.github.io/Logging_2021/tillsyn/A 33003-2025 tillsynsbegäran.docx", "A 33003-2025")</f>
        <v/>
      </c>
      <c r="AD27">
        <f>HYPERLINK("https://klasma.github.io/Logging_2021/tillsynsmail/A 33003-2025 tillsynsbegäran mail.docx", "A 33003-2025")</f>
        <v/>
      </c>
      <c r="AE27">
        <f>HYPERLINK("https://klasma.github.io/Logging_2021/fåglar/A 33003-2025 prioriterade fågelarter.docx", "A 33003-2025")</f>
        <v/>
      </c>
    </row>
    <row r="28" ht="15" customHeight="1">
      <c r="A28" t="inlineStr">
        <is>
          <t>A 16725-2024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45409</v>
      </c>
      <c r="E28" s="1" t="n">
        <v>46313</v>
      </c>
      <c r="F28" t="inlineStr">
        <is>
          <t>DALARNAS LÄN</t>
        </is>
      </c>
      <c r="G28" t="inlineStr">
        <is>
          <t>VANSBRO</t>
        </is>
      </c>
      <c r="I28" t="n">
        <v>3.1</v>
      </c>
      <c r="J28" t="n">
        <v>0</v>
      </c>
      <c r="K28" t="n">
        <v>1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3</v>
      </c>
      <c r="T28" t="n">
        <v>3</v>
      </c>
      <c r="U28" t="n">
        <v>0</v>
      </c>
      <c r="V28" s="2" t="inlineStr">
        <is>
          <t>Dropptaggsvamp
Skuggblåslav
Bollvitmossa</t>
        </is>
      </c>
      <c r="W28">
        <f>HYPERLINK("https://klasma.github.io/Logging_2021/artfynd/A 16725-2024 artfynd.xlsx", "A 16725-2024")</f>
        <v/>
      </c>
      <c r="X28">
        <f>HYPERLINK("https://klasma.github.io/Logging_2021/kartor/A 16725-2024 karta.png", "A 16725-2024")</f>
        <v/>
      </c>
      <c r="Y28">
        <f>HYPERLINK("https://klasma.github.io/Logging_2021/kartor_geotiff/A 16725-2024 georefererad karta.tif", "A 16725-2024")</f>
        <v/>
      </c>
      <c r="AA28">
        <f>HYPERLINK("https://klasma.github.io/Logging_2021/klagomål/A 16725-2024 FSC-klagomål.docx", "A 16725-2024")</f>
        <v/>
      </c>
      <c r="AB28">
        <f>HYPERLINK("https://klasma.github.io/Logging_2021/klagomålsmail/A 16725-2024 FSC-klagomål mail.docx", "A 16725-2024")</f>
        <v/>
      </c>
      <c r="AC28">
        <f>HYPERLINK("https://klasma.github.io/Logging_2021/tillsyn/A 16725-2024 tillsynsbegäran.docx", "A 16725-2024")</f>
        <v/>
      </c>
      <c r="AD28">
        <f>HYPERLINK("https://klasma.github.io/Logging_2021/tillsynsmail/A 16725-2024 tillsynsbegäran mail.docx", "A 16725-2024")</f>
        <v/>
      </c>
    </row>
    <row r="29" ht="15" customHeight="1">
      <c r="A29" t="inlineStr">
        <is>
          <t>A 27504-2025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45813</v>
      </c>
      <c r="E29" s="1" t="n">
        <v>46313</v>
      </c>
      <c r="F29" t="inlineStr">
        <is>
          <t>DALARNAS LÄN</t>
        </is>
      </c>
      <c r="G29" t="inlineStr">
        <is>
          <t>VANSBRO</t>
        </is>
      </c>
      <c r="H29" t="inlineStr">
        <is>
          <t>Bergvik skog väst AB</t>
        </is>
      </c>
      <c r="I29" t="n">
        <v>3.4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2</v>
      </c>
      <c r="R29" t="n">
        <v>1</v>
      </c>
      <c r="S29" t="n">
        <v>3</v>
      </c>
      <c r="T29" t="n">
        <v>5</v>
      </c>
      <c r="U29" t="n">
        <v>0</v>
      </c>
      <c r="V29" s="2" t="inlineStr">
        <is>
          <t>Garnlav
Kortskaftad ärgspik
Vedticka</t>
        </is>
      </c>
      <c r="W29">
        <f>HYPERLINK("https://klasma.github.io/Logging_2021/artfynd/A 27504-2025 artfynd.xlsx", "A 27504-2025")</f>
        <v/>
      </c>
      <c r="X29">
        <f>HYPERLINK("https://klasma.github.io/Logging_2021/kartor/A 27504-2025 karta.png", "A 27504-2025")</f>
        <v/>
      </c>
      <c r="Y29">
        <f>HYPERLINK("https://klasma.github.io/Logging_2021/kartor_geotiff/A 27504-2025 georefererad karta.tif", "A 27504-2025")</f>
        <v/>
      </c>
      <c r="AA29">
        <f>HYPERLINK("https://klasma.github.io/Logging_2021/klagomål/A 27504-2025 FSC-klagomål.docx", "A 27504-2025")</f>
        <v/>
      </c>
      <c r="AB29">
        <f>HYPERLINK("https://klasma.github.io/Logging_2021/klagomålsmail/A 27504-2025 FSC-klagomål mail.docx", "A 27504-2025")</f>
        <v/>
      </c>
      <c r="AC29">
        <f>HYPERLINK("https://klasma.github.io/Logging_2021/tillsyn/A 27504-2025 tillsynsbegäran.docx", "A 27504-2025")</f>
        <v/>
      </c>
      <c r="AD29">
        <f>HYPERLINK("https://klasma.github.io/Logging_2021/tillsynsmail/A 27504-2025 tillsynsbegäran mail.docx", "A 27504-2025")</f>
        <v/>
      </c>
    </row>
    <row r="30" ht="15" customHeight="1">
      <c r="A30" t="inlineStr">
        <is>
          <t>A 11433-2025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45726</v>
      </c>
      <c r="E30" s="1" t="n">
        <v>46313</v>
      </c>
      <c r="F30" t="inlineStr">
        <is>
          <t>DALARNAS LÄN</t>
        </is>
      </c>
      <c r="G30" t="inlineStr">
        <is>
          <t>VANSBRO</t>
        </is>
      </c>
      <c r="I30" t="n">
        <v>7.5</v>
      </c>
      <c r="J30" t="n">
        <v>1</v>
      </c>
      <c r="K30" t="n">
        <v>1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2</v>
      </c>
      <c r="R30" t="n">
        <v>2</v>
      </c>
      <c r="S30" t="n">
        <v>3</v>
      </c>
      <c r="T30" t="n">
        <v>24</v>
      </c>
      <c r="U30" t="n">
        <v>24</v>
      </c>
      <c r="V30" s="2" t="inlineStr">
        <is>
          <t>Garnlav
Knärot
Bollvitmossa</t>
        </is>
      </c>
      <c r="W30">
        <f>HYPERLINK("https://klasma.github.io/Logging_2021/artfynd/A 11433-2025 artfynd.xlsx", "A 11433-2025")</f>
        <v/>
      </c>
      <c r="X30">
        <f>HYPERLINK("https://klasma.github.io/Logging_2021/kartor/A 11433-2025 karta.png", "A 11433-2025")</f>
        <v/>
      </c>
      <c r="Y30">
        <f>HYPERLINK("https://klasma.github.io/Logging_2021/kartor_geotiff/A 11433-2025 georefererad karta.tif", "A 11433-2025")</f>
        <v/>
      </c>
      <c r="Z30">
        <f>HYPERLINK("https://klasma.github.io/Logging_2021/knärot/A 11433-2025 karta knärot.png", "A 11433-2025")</f>
        <v/>
      </c>
      <c r="AA30">
        <f>HYPERLINK("https://klasma.github.io/Logging_2021/klagomål/A 11433-2025 FSC-klagomål.docx", "A 11433-2025")</f>
        <v/>
      </c>
      <c r="AB30">
        <f>HYPERLINK("https://klasma.github.io/Logging_2021/klagomålsmail/A 11433-2025 FSC-klagomål mail.docx", "A 11433-2025")</f>
        <v/>
      </c>
      <c r="AC30">
        <f>HYPERLINK("https://klasma.github.io/Logging_2021/tillsyn/A 11433-2025 tillsynsbegäran.docx", "A 11433-2025")</f>
        <v/>
      </c>
      <c r="AD30">
        <f>HYPERLINK("https://klasma.github.io/Logging_2021/tillsynsmail/A 11433-2025 tillsynsbegäran mail.docx", "A 11433-2025")</f>
        <v/>
      </c>
    </row>
    <row r="31" ht="15" customHeight="1">
      <c r="A31" t="inlineStr">
        <is>
          <t>A 41377-2026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46301</v>
      </c>
      <c r="E31" s="1" t="n">
        <v>46313</v>
      </c>
      <c r="F31" t="inlineStr">
        <is>
          <t>DALARNAS LÄN</t>
        </is>
      </c>
      <c r="G31" t="inlineStr">
        <is>
          <t>VANSBRO</t>
        </is>
      </c>
      <c r="I31" t="n">
        <v>0.6</v>
      </c>
      <c r="J31" t="n">
        <v>1</v>
      </c>
      <c r="K31" t="n">
        <v>0</v>
      </c>
      <c r="L31" t="n">
        <v>1</v>
      </c>
      <c r="M31" t="n">
        <v>2</v>
      </c>
      <c r="N31" t="n">
        <v>0</v>
      </c>
      <c r="O31" t="n">
        <v>0</v>
      </c>
      <c r="P31" t="n">
        <v>0</v>
      </c>
      <c r="Q31" t="n">
        <v>3</v>
      </c>
      <c r="R31" t="n">
        <v>2</v>
      </c>
      <c r="S31" t="n">
        <v>3</v>
      </c>
      <c r="T31" t="n">
        <v>4</v>
      </c>
      <c r="U31" t="n">
        <v>0</v>
      </c>
      <c r="V31" s="2" t="inlineStr">
        <is>
          <t>Garnlav
Knärot
Ullticka</t>
        </is>
      </c>
      <c r="W31">
        <f>HYPERLINK("https://klasma.github.io/Logging_2021/artfynd/A 41377-2026 artfynd.xlsx", "A 41377-2026")</f>
        <v/>
      </c>
      <c r="X31">
        <f>HYPERLINK("https://klasma.github.io/Logging_2021/kartor/A 41377-2026 karta.png", "A 41377-2026")</f>
        <v/>
      </c>
      <c r="Y31">
        <f>HYPERLINK("https://klasma.github.io/Logging_2021/kartor_geotiff/A 41377-2026 georefererad karta.tif", "A 41377-2026")</f>
        <v/>
      </c>
      <c r="Z31">
        <f>HYPERLINK("https://klasma.github.io/Logging_2021/knärot/A 41377-2026 karta knärot.png", "A 41377-2026")</f>
        <v/>
      </c>
      <c r="AA31">
        <f>HYPERLINK("https://klasma.github.io/Logging_2021/klagomål/A 41377-2026 FSC-klagomål.docx", "A 41377-2026")</f>
        <v/>
      </c>
      <c r="AB31">
        <f>HYPERLINK("https://klasma.github.io/Logging_2021/klagomålsmail/A 41377-2026 FSC-klagomål mail.docx", "A 41377-2026")</f>
        <v/>
      </c>
      <c r="AC31">
        <f>HYPERLINK("https://klasma.github.io/Logging_2021/tillsyn/A 41377-2026 tillsynsbegäran.docx", "A 41377-2026")</f>
        <v/>
      </c>
      <c r="AD31">
        <f>HYPERLINK("https://klasma.github.io/Logging_2021/tillsynsmail/A 41377-2026 tillsynsbegäran mail.docx", "A 41377-2026")</f>
        <v/>
      </c>
    </row>
    <row r="32" ht="15" customHeight="1">
      <c r="A32" t="inlineStr">
        <is>
          <t>A 41690-2026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46302</v>
      </c>
      <c r="E32" s="1" t="n">
        <v>46313</v>
      </c>
      <c r="F32" t="inlineStr">
        <is>
          <t>DALARNAS LÄN</t>
        </is>
      </c>
      <c r="G32" t="inlineStr">
        <is>
          <t>VANSBRO</t>
        </is>
      </c>
      <c r="I32" t="n">
        <v>2.4</v>
      </c>
      <c r="J32" t="n">
        <v>1</v>
      </c>
      <c r="K32" t="n">
        <v>0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3</v>
      </c>
      <c r="T32" t="n">
        <v>3</v>
      </c>
      <c r="U32" t="n">
        <v>0</v>
      </c>
      <c r="V32" s="2" t="inlineStr">
        <is>
          <t>Drillsnäppa
Ullticka
Älg</t>
        </is>
      </c>
      <c r="W32">
        <f>HYPERLINK("https://klasma.github.io/Logging_2021/artfynd/A 41690-2026 artfynd.xlsx", "A 41690-2026")</f>
        <v/>
      </c>
      <c r="X32">
        <f>HYPERLINK("https://klasma.github.io/Logging_2021/kartor/A 41690-2026 karta.png", "A 41690-2026")</f>
        <v/>
      </c>
      <c r="Y32">
        <f>HYPERLINK("https://klasma.github.io/Logging_2021/kartor_geotiff/A 41690-2026 georefererad karta.tif", "A 41690-2026")</f>
        <v/>
      </c>
      <c r="AA32">
        <f>HYPERLINK("https://klasma.github.io/Logging_2021/klagomål/A 41690-2026 FSC-klagomål.docx", "A 41690-2026")</f>
        <v/>
      </c>
      <c r="AB32">
        <f>HYPERLINK("https://klasma.github.io/Logging_2021/klagomålsmail/A 41690-2026 FSC-klagomål mail.docx", "A 41690-2026")</f>
        <v/>
      </c>
      <c r="AC32">
        <f>HYPERLINK("https://klasma.github.io/Logging_2021/tillsyn/A 41690-2026 tillsynsbegäran.docx", "A 41690-2026")</f>
        <v/>
      </c>
      <c r="AD32">
        <f>HYPERLINK("https://klasma.github.io/Logging_2021/tillsynsmail/A 41690-2026 tillsynsbegäran mail.docx", "A 41690-2026")</f>
        <v/>
      </c>
      <c r="AE32">
        <f>HYPERLINK("https://klasma.github.io/Logging_2021/fåglar/A 41690-2026 prioriterade fågelarter.docx", "A 41690-2026")</f>
        <v/>
      </c>
    </row>
    <row r="33" ht="15" customHeight="1">
      <c r="A33" t="inlineStr">
        <is>
          <t>A 33000-2025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45840</v>
      </c>
      <c r="E33" s="1" t="n">
        <v>46313</v>
      </c>
      <c r="F33" t="inlineStr">
        <is>
          <t>DALARNAS LÄN</t>
        </is>
      </c>
      <c r="G33" t="inlineStr">
        <is>
          <t>VANSBRO</t>
        </is>
      </c>
      <c r="I33" t="n">
        <v>0.7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3</v>
      </c>
      <c r="T33" t="n">
        <v>8</v>
      </c>
      <c r="U33" t="n">
        <v>8</v>
      </c>
      <c r="V33" s="2" t="inlineStr">
        <is>
          <t>Kolflarnlav
Mörk kolflarnlav
Tjäder</t>
        </is>
      </c>
      <c r="W33">
        <f>HYPERLINK("https://klasma.github.io/Logging_2021/artfynd/A 33000-2025 artfynd.xlsx", "A 33000-2025")</f>
        <v/>
      </c>
      <c r="X33">
        <f>HYPERLINK("https://klasma.github.io/Logging_2021/kartor/A 33000-2025 karta.png", "A 33000-2025")</f>
        <v/>
      </c>
      <c r="Y33">
        <f>HYPERLINK("https://klasma.github.io/Logging_2021/kartor_geotiff/A 33000-2025 georefererad karta.tif", "A 33000-2025")</f>
        <v/>
      </c>
      <c r="AA33">
        <f>HYPERLINK("https://klasma.github.io/Logging_2021/klagomål/A 33000-2025 FSC-klagomål.docx", "A 33000-2025")</f>
        <v/>
      </c>
      <c r="AB33">
        <f>HYPERLINK("https://klasma.github.io/Logging_2021/klagomålsmail/A 33000-2025 FSC-klagomål mail.docx", "A 33000-2025")</f>
        <v/>
      </c>
      <c r="AC33">
        <f>HYPERLINK("https://klasma.github.io/Logging_2021/tillsyn/A 33000-2025 tillsynsbegäran.docx", "A 33000-2025")</f>
        <v/>
      </c>
      <c r="AD33">
        <f>HYPERLINK("https://klasma.github.io/Logging_2021/tillsynsmail/A 33000-2025 tillsynsbegäran mail.docx", "A 33000-2025")</f>
        <v/>
      </c>
      <c r="AE33">
        <f>HYPERLINK("https://klasma.github.io/Logging_2021/fåglar/A 33000-2025 prioriterade fågelarter.docx", "A 33000-2025")</f>
        <v/>
      </c>
    </row>
    <row r="34" ht="15" customHeight="1">
      <c r="A34" t="inlineStr">
        <is>
          <t>A 33898-2022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44790</v>
      </c>
      <c r="E34" s="1" t="n">
        <v>46313</v>
      </c>
      <c r="F34" t="inlineStr">
        <is>
          <t>DALARNAS LÄN</t>
        </is>
      </c>
      <c r="G34" t="inlineStr">
        <is>
          <t>VANSBRO</t>
        </is>
      </c>
      <c r="I34" t="n">
        <v>2.8</v>
      </c>
      <c r="J34" t="n">
        <v>2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2</v>
      </c>
      <c r="T34" t="n">
        <v>2</v>
      </c>
      <c r="U34" t="n">
        <v>2</v>
      </c>
      <c r="V34" s="2" t="inlineStr">
        <is>
          <t>Knärot
Kungsfågel</t>
        </is>
      </c>
      <c r="W34">
        <f>HYPERLINK("https://klasma.github.io/Logging_2021/artfynd/A 33898-2022 artfynd.xlsx", "A 33898-2022")</f>
        <v/>
      </c>
      <c r="X34">
        <f>HYPERLINK("https://klasma.github.io/Logging_2021/kartor/A 33898-2022 karta.png", "A 33898-2022")</f>
        <v/>
      </c>
      <c r="Y34">
        <f>HYPERLINK("https://klasma.github.io/Logging_2021/kartor_geotiff/A 33898-2022 georefererad karta.tif", "A 33898-2022")</f>
        <v/>
      </c>
      <c r="Z34">
        <f>HYPERLINK("https://klasma.github.io/Logging_2021/knärot/A 33898-2022 karta knärot.png", "A 33898-2022")</f>
        <v/>
      </c>
      <c r="AA34">
        <f>HYPERLINK("https://klasma.github.io/Logging_2021/klagomål/A 33898-2022 FSC-klagomål.docx", "A 33898-2022")</f>
        <v/>
      </c>
      <c r="AB34">
        <f>HYPERLINK("https://klasma.github.io/Logging_2021/klagomålsmail/A 33898-2022 FSC-klagomål mail.docx", "A 33898-2022")</f>
        <v/>
      </c>
      <c r="AC34">
        <f>HYPERLINK("https://klasma.github.io/Logging_2021/tillsyn/A 33898-2022 tillsynsbegäran.docx", "A 33898-2022")</f>
        <v/>
      </c>
      <c r="AD34">
        <f>HYPERLINK("https://klasma.github.io/Logging_2021/tillsynsmail/A 33898-2022 tillsynsbegäran mail.docx", "A 33898-2022")</f>
        <v/>
      </c>
    </row>
    <row r="35" ht="15" customHeight="1">
      <c r="A35" t="inlineStr">
        <is>
          <t>A 13323-2025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45735</v>
      </c>
      <c r="E35" s="1" t="n">
        <v>46313</v>
      </c>
      <c r="F35" t="inlineStr">
        <is>
          <t>DALARNAS LÄN</t>
        </is>
      </c>
      <c r="G35" t="inlineStr">
        <is>
          <t>VANSBRO</t>
        </is>
      </c>
      <c r="I35" t="n">
        <v>2.1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2</v>
      </c>
      <c r="T35" t="n">
        <v>4</v>
      </c>
      <c r="U35" t="n">
        <v>4</v>
      </c>
      <c r="V35" s="2" t="inlineStr">
        <is>
          <t>Knärot
Ullticka</t>
        </is>
      </c>
      <c r="W35">
        <f>HYPERLINK("https://klasma.github.io/Logging_2021/artfynd/A 13323-2025 artfynd.xlsx", "A 13323-2025")</f>
        <v/>
      </c>
      <c r="X35">
        <f>HYPERLINK("https://klasma.github.io/Logging_2021/kartor/A 13323-2025 karta.png", "A 13323-2025")</f>
        <v/>
      </c>
      <c r="Y35">
        <f>HYPERLINK("https://klasma.github.io/Logging_2021/kartor_geotiff/A 13323-2025 georefererad karta.tif", "A 13323-2025")</f>
        <v/>
      </c>
      <c r="Z35">
        <f>HYPERLINK("https://klasma.github.io/Logging_2021/knärot/A 13323-2025 karta knärot.png", "A 13323-2025")</f>
        <v/>
      </c>
      <c r="AA35">
        <f>HYPERLINK("https://klasma.github.io/Logging_2021/klagomål/A 13323-2025 FSC-klagomål.docx", "A 13323-2025")</f>
        <v/>
      </c>
      <c r="AB35">
        <f>HYPERLINK("https://klasma.github.io/Logging_2021/klagomålsmail/A 13323-2025 FSC-klagomål mail.docx", "A 13323-2025")</f>
        <v/>
      </c>
      <c r="AC35">
        <f>HYPERLINK("https://klasma.github.io/Logging_2021/tillsyn/A 13323-2025 tillsynsbegäran.docx", "A 13323-2025")</f>
        <v/>
      </c>
      <c r="AD35">
        <f>HYPERLINK("https://klasma.github.io/Logging_2021/tillsynsmail/A 13323-2025 tillsynsbegäran mail.docx", "A 13323-2025")</f>
        <v/>
      </c>
    </row>
    <row r="36" ht="15" customHeight="1">
      <c r="A36" t="inlineStr">
        <is>
          <t>A 1691-2026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46034</v>
      </c>
      <c r="E36" s="1" t="n">
        <v>46313</v>
      </c>
      <c r="F36" t="inlineStr">
        <is>
          <t>DALARNAS LÄN</t>
        </is>
      </c>
      <c r="G36" t="inlineStr">
        <is>
          <t>VANSBRO</t>
        </is>
      </c>
      <c r="I36" t="n">
        <v>6.3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2</v>
      </c>
      <c r="T36" t="n">
        <v>3</v>
      </c>
      <c r="U36" t="n">
        <v>0</v>
      </c>
      <c r="V36" s="2" t="inlineStr">
        <is>
          <t>Dropptaggsvamp
Motaggsvamp</t>
        </is>
      </c>
      <c r="W36">
        <f>HYPERLINK("https://klasma.github.io/Logging_2021/artfynd/A 1691-2026 artfynd.xlsx", "A 1691-2026")</f>
        <v/>
      </c>
      <c r="X36">
        <f>HYPERLINK("https://klasma.github.io/Logging_2021/kartor/A 1691-2026 karta.png", "A 1691-2026")</f>
        <v/>
      </c>
      <c r="Y36">
        <f>HYPERLINK("https://klasma.github.io/Logging_2021/kartor_geotiff/A 1691-2026 georefererad karta.tif", "A 1691-2026")</f>
        <v/>
      </c>
      <c r="AA36">
        <f>HYPERLINK("https://klasma.github.io/Logging_2021/klagomål/A 1691-2026 FSC-klagomål.docx", "A 1691-2026")</f>
        <v/>
      </c>
      <c r="AB36">
        <f>HYPERLINK("https://klasma.github.io/Logging_2021/klagomålsmail/A 1691-2026 FSC-klagomål mail.docx", "A 1691-2026")</f>
        <v/>
      </c>
      <c r="AC36">
        <f>HYPERLINK("https://klasma.github.io/Logging_2021/tillsyn/A 1691-2026 tillsynsbegäran.docx", "A 1691-2026")</f>
        <v/>
      </c>
      <c r="AD36">
        <f>HYPERLINK("https://klasma.github.io/Logging_2021/tillsynsmail/A 1691-2026 tillsynsbegäran mail.docx", "A 1691-2026")</f>
        <v/>
      </c>
    </row>
    <row r="37" ht="15" customHeight="1">
      <c r="A37" t="inlineStr">
        <is>
          <t>A 58009-2023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45247</v>
      </c>
      <c r="E37" s="1" t="n">
        <v>46313</v>
      </c>
      <c r="F37" t="inlineStr">
        <is>
          <t>DALARNAS LÄN</t>
        </is>
      </c>
      <c r="G37" t="inlineStr">
        <is>
          <t>VANSBRO</t>
        </is>
      </c>
      <c r="I37" t="n">
        <v>0.5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2</v>
      </c>
      <c r="U37" t="n">
        <v>2</v>
      </c>
      <c r="V37" s="2" t="inlineStr">
        <is>
          <t>Sädesärla
Orre</t>
        </is>
      </c>
      <c r="W37">
        <f>HYPERLINK("https://klasma.github.io/Logging_2021/artfynd/A 58009-2023 artfynd.xlsx", "A 58009-2023")</f>
        <v/>
      </c>
      <c r="X37">
        <f>HYPERLINK("https://klasma.github.io/Logging_2021/kartor/A 58009-2023 karta.png", "A 58009-2023")</f>
        <v/>
      </c>
      <c r="Y37">
        <f>HYPERLINK("https://klasma.github.io/Logging_2021/kartor_geotiff/A 58009-2023 georefererad karta.tif", "A 58009-2023")</f>
        <v/>
      </c>
      <c r="AA37">
        <f>HYPERLINK("https://klasma.github.io/Logging_2021/klagomål/A 58009-2023 FSC-klagomål.docx", "A 58009-2023")</f>
        <v/>
      </c>
      <c r="AB37">
        <f>HYPERLINK("https://klasma.github.io/Logging_2021/klagomålsmail/A 58009-2023 FSC-klagomål mail.docx", "A 58009-2023")</f>
        <v/>
      </c>
      <c r="AC37">
        <f>HYPERLINK("https://klasma.github.io/Logging_2021/tillsyn/A 58009-2023 tillsynsbegäran.docx", "A 58009-2023")</f>
        <v/>
      </c>
      <c r="AD37">
        <f>HYPERLINK("https://klasma.github.io/Logging_2021/tillsynsmail/A 58009-2023 tillsynsbegäran mail.docx", "A 58009-2023")</f>
        <v/>
      </c>
      <c r="AE37">
        <f>HYPERLINK("https://klasma.github.io/Logging_2021/fåglar/A 58009-2023 prioriterade fågelarter.docx", "A 58009-2023")</f>
        <v/>
      </c>
    </row>
    <row r="38" ht="15" customHeight="1">
      <c r="A38" t="inlineStr">
        <is>
          <t>A 19656-2026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46134</v>
      </c>
      <c r="E38" s="1" t="n">
        <v>46313</v>
      </c>
      <c r="F38" t="inlineStr">
        <is>
          <t>DALARNAS LÄN</t>
        </is>
      </c>
      <c r="G38" t="inlineStr">
        <is>
          <t>VANSBRO</t>
        </is>
      </c>
      <c r="H38" t="inlineStr">
        <is>
          <t>Bergvik skog väst AB</t>
        </is>
      </c>
      <c r="I38" t="n">
        <v>18.2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2</v>
      </c>
      <c r="T38" t="n">
        <v>2</v>
      </c>
      <c r="U38" t="n">
        <v>0</v>
      </c>
      <c r="V38" s="2" t="inlineStr">
        <is>
          <t>Ängsblåvinge
Berggräsfjäril</t>
        </is>
      </c>
      <c r="W38">
        <f>HYPERLINK("https://klasma.github.io/Logging_2021/artfynd/A 19656-2026 artfynd.xlsx", "A 19656-2026")</f>
        <v/>
      </c>
      <c r="X38">
        <f>HYPERLINK("https://klasma.github.io/Logging_2021/kartor/A 19656-2026 karta.png", "A 19656-2026")</f>
        <v/>
      </c>
      <c r="Y38">
        <f>HYPERLINK("https://klasma.github.io/Logging_2021/kartor_geotiff/A 19656-2026 georefererad karta.tif", "A 19656-2026")</f>
        <v/>
      </c>
      <c r="AA38">
        <f>HYPERLINK("https://klasma.github.io/Logging_2021/klagomål/A 19656-2026 FSC-klagomål.docx", "A 19656-2026")</f>
        <v/>
      </c>
      <c r="AB38">
        <f>HYPERLINK("https://klasma.github.io/Logging_2021/klagomålsmail/A 19656-2026 FSC-klagomål mail.docx", "A 19656-2026")</f>
        <v/>
      </c>
      <c r="AC38">
        <f>HYPERLINK("https://klasma.github.io/Logging_2021/tillsyn/A 19656-2026 tillsynsbegäran.docx", "A 19656-2026")</f>
        <v/>
      </c>
      <c r="AD38">
        <f>HYPERLINK("https://klasma.github.io/Logging_2021/tillsynsmail/A 19656-2026 tillsynsbegäran mail.docx", "A 19656-2026")</f>
        <v/>
      </c>
    </row>
    <row r="39" ht="15" customHeight="1">
      <c r="A39" t="inlineStr">
        <is>
          <t>A 14475-2024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45394</v>
      </c>
      <c r="E39" s="1" t="n">
        <v>46313</v>
      </c>
      <c r="F39" t="inlineStr">
        <is>
          <t>DALARNAS LÄN</t>
        </is>
      </c>
      <c r="G39" t="inlineStr">
        <is>
          <t>VANSBRO</t>
        </is>
      </c>
      <c r="I39" t="n">
        <v>20.4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2</v>
      </c>
      <c r="T39" t="n">
        <v>3</v>
      </c>
      <c r="U39" t="n">
        <v>3</v>
      </c>
      <c r="V39" s="2" t="inlineStr">
        <is>
          <t>Garnlav
Dropptaggsvamp</t>
        </is>
      </c>
      <c r="W39">
        <f>HYPERLINK("https://klasma.github.io/Logging_2021/artfynd/A 14475-2024 artfynd.xlsx", "A 14475-2024")</f>
        <v/>
      </c>
      <c r="X39">
        <f>HYPERLINK("https://klasma.github.io/Logging_2021/kartor/A 14475-2024 karta.png", "A 14475-2024")</f>
        <v/>
      </c>
      <c r="Y39">
        <f>HYPERLINK("https://klasma.github.io/Logging_2021/kartor_geotiff/A 14475-2024 georefererad karta.tif", "A 14475-2024")</f>
        <v/>
      </c>
      <c r="AA39">
        <f>HYPERLINK("https://klasma.github.io/Logging_2021/klagomål/A 14475-2024 FSC-klagomål.docx", "A 14475-2024")</f>
        <v/>
      </c>
      <c r="AB39">
        <f>HYPERLINK("https://klasma.github.io/Logging_2021/klagomålsmail/A 14475-2024 FSC-klagomål mail.docx", "A 14475-2024")</f>
        <v/>
      </c>
      <c r="AC39">
        <f>HYPERLINK("https://klasma.github.io/Logging_2021/tillsyn/A 14475-2024 tillsynsbegäran.docx", "A 14475-2024")</f>
        <v/>
      </c>
      <c r="AD39">
        <f>HYPERLINK("https://klasma.github.io/Logging_2021/tillsynsmail/A 14475-2024 tillsynsbegäran mail.docx", "A 14475-2024")</f>
        <v/>
      </c>
    </row>
    <row r="40" ht="15" customHeight="1">
      <c r="A40" t="inlineStr">
        <is>
          <t>A 33793-2026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46251</v>
      </c>
      <c r="E40" s="1" t="n">
        <v>46313</v>
      </c>
      <c r="F40" t="inlineStr">
        <is>
          <t>DALARNAS LÄN</t>
        </is>
      </c>
      <c r="G40" t="inlineStr">
        <is>
          <t>VANSBRO</t>
        </is>
      </c>
      <c r="H40" t="inlineStr">
        <is>
          <t>Bergvik skog öst AB</t>
        </is>
      </c>
      <c r="I40" t="n">
        <v>0.9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2</v>
      </c>
      <c r="T40" t="n">
        <v>2</v>
      </c>
      <c r="U40" t="n">
        <v>0</v>
      </c>
      <c r="V40" s="2" t="inlineStr">
        <is>
          <t>Garnlav
Nästlav</t>
        </is>
      </c>
      <c r="W40">
        <f>HYPERLINK("https://klasma.github.io/Logging_2021/artfynd/A 33793-2026 artfynd.xlsx", "A 33793-2026")</f>
        <v/>
      </c>
      <c r="X40">
        <f>HYPERLINK("https://klasma.github.io/Logging_2021/kartor/A 33793-2026 karta.png", "A 33793-2026")</f>
        <v/>
      </c>
      <c r="Y40">
        <f>HYPERLINK("https://klasma.github.io/Logging_2021/kartor_geotiff/A 33793-2026 georefererad karta.tif", "A 33793-2026")</f>
        <v/>
      </c>
      <c r="AA40">
        <f>HYPERLINK("https://klasma.github.io/Logging_2021/klagomål/A 33793-2026 FSC-klagomål.docx", "A 33793-2026")</f>
        <v/>
      </c>
      <c r="AB40">
        <f>HYPERLINK("https://klasma.github.io/Logging_2021/klagomålsmail/A 33793-2026 FSC-klagomål mail.docx", "A 33793-2026")</f>
        <v/>
      </c>
      <c r="AC40">
        <f>HYPERLINK("https://klasma.github.io/Logging_2021/tillsyn/A 33793-2026 tillsynsbegäran.docx", "A 33793-2026")</f>
        <v/>
      </c>
      <c r="AD40">
        <f>HYPERLINK("https://klasma.github.io/Logging_2021/tillsynsmail/A 33793-2026 tillsynsbegäran mail.docx", "A 33793-2026")</f>
        <v/>
      </c>
    </row>
    <row r="41" ht="15" customHeight="1">
      <c r="A41" t="inlineStr">
        <is>
          <t>A 52675-2025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45956</v>
      </c>
      <c r="E41" s="1" t="n">
        <v>46313</v>
      </c>
      <c r="F41" t="inlineStr">
        <is>
          <t>DALARNAS LÄN</t>
        </is>
      </c>
      <c r="G41" t="inlineStr">
        <is>
          <t>VANSBRO</t>
        </is>
      </c>
      <c r="H41" t="inlineStr">
        <is>
          <t>Bergvik skog väst AB</t>
        </is>
      </c>
      <c r="I41" t="n">
        <v>4.5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2</v>
      </c>
      <c r="U41" t="n">
        <v>0</v>
      </c>
      <c r="V41" s="2" t="inlineStr">
        <is>
          <t>Motaggsvamp</t>
        </is>
      </c>
      <c r="W41">
        <f>HYPERLINK("https://klasma.github.io/Logging_2021/artfynd/A 52675-2025 artfynd.xlsx", "A 52675-2025")</f>
        <v/>
      </c>
      <c r="X41">
        <f>HYPERLINK("https://klasma.github.io/Logging_2021/kartor/A 52675-2025 karta.png", "A 52675-2025")</f>
        <v/>
      </c>
      <c r="Y41">
        <f>HYPERLINK("https://klasma.github.io/Logging_2021/kartor_geotiff/A 52675-2025 georefererad karta.tif", "A 52675-2025")</f>
        <v/>
      </c>
      <c r="AA41">
        <f>HYPERLINK("https://klasma.github.io/Logging_2021/klagomål/A 52675-2025 FSC-klagomål.docx", "A 52675-2025")</f>
        <v/>
      </c>
      <c r="AB41">
        <f>HYPERLINK("https://klasma.github.io/Logging_2021/klagomålsmail/A 52675-2025 FSC-klagomål mail.docx", "A 52675-2025")</f>
        <v/>
      </c>
      <c r="AC41">
        <f>HYPERLINK("https://klasma.github.io/Logging_2021/tillsyn/A 52675-2025 tillsynsbegäran.docx", "A 52675-2025")</f>
        <v/>
      </c>
      <c r="AD41">
        <f>HYPERLINK("https://klasma.github.io/Logging_2021/tillsynsmail/A 52675-2025 tillsynsbegäran mail.docx", "A 52675-2025")</f>
        <v/>
      </c>
    </row>
    <row r="42" ht="15" customHeight="1">
      <c r="A42" t="inlineStr">
        <is>
          <t>A 20076-2026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46136</v>
      </c>
      <c r="E42" s="1" t="n">
        <v>46313</v>
      </c>
      <c r="F42" t="inlineStr">
        <is>
          <t>DALARNAS LÄN</t>
        </is>
      </c>
      <c r="G42" t="inlineStr">
        <is>
          <t>VANSBRO</t>
        </is>
      </c>
      <c r="H42" t="inlineStr">
        <is>
          <t>Bergvik skog öst AB</t>
        </is>
      </c>
      <c r="I42" t="n">
        <v>13.2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s="2" t="inlineStr">
        <is>
          <t>Kransrams</t>
        </is>
      </c>
      <c r="W42">
        <f>HYPERLINK("https://klasma.github.io/Logging_2021/artfynd/A 20076-2026 artfynd.xlsx", "A 20076-2026")</f>
        <v/>
      </c>
      <c r="X42">
        <f>HYPERLINK("https://klasma.github.io/Logging_2021/kartor/A 20076-2026 karta.png", "A 20076-2026")</f>
        <v/>
      </c>
      <c r="Y42">
        <f>HYPERLINK("https://klasma.github.io/Logging_2021/kartor_geotiff/A 20076-2026 georefererad karta.tif", "A 20076-2026")</f>
        <v/>
      </c>
      <c r="AA42">
        <f>HYPERLINK("https://klasma.github.io/Logging_2021/klagomål/A 20076-2026 FSC-klagomål.docx", "A 20076-2026")</f>
        <v/>
      </c>
      <c r="AB42">
        <f>HYPERLINK("https://klasma.github.io/Logging_2021/klagomålsmail/A 20076-2026 FSC-klagomål mail.docx", "A 20076-2026")</f>
        <v/>
      </c>
      <c r="AC42">
        <f>HYPERLINK("https://klasma.github.io/Logging_2021/tillsyn/A 20076-2026 tillsynsbegäran.docx", "A 20076-2026")</f>
        <v/>
      </c>
      <c r="AD42">
        <f>HYPERLINK("https://klasma.github.io/Logging_2021/tillsynsmail/A 20076-2026 tillsynsbegäran mail.docx", "A 20076-2026")</f>
        <v/>
      </c>
    </row>
    <row r="43" ht="15" customHeight="1">
      <c r="A43" t="inlineStr">
        <is>
          <t>A 48109-2025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45933</v>
      </c>
      <c r="E43" s="1" t="n">
        <v>46313</v>
      </c>
      <c r="F43" t="inlineStr">
        <is>
          <t>DALARNAS LÄN</t>
        </is>
      </c>
      <c r="G43" t="inlineStr">
        <is>
          <t>VANSBRO</t>
        </is>
      </c>
      <c r="I43" t="n">
        <v>0.8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s="2" t="inlineStr">
        <is>
          <t>Gränsticka</t>
        </is>
      </c>
      <c r="W43">
        <f>HYPERLINK("https://klasma.github.io/Logging_2021/artfynd/A 48109-2025 artfynd.xlsx", "A 48109-2025")</f>
        <v/>
      </c>
      <c r="X43">
        <f>HYPERLINK("https://klasma.github.io/Logging_2021/kartor/A 48109-2025 karta.png", "A 48109-2025")</f>
        <v/>
      </c>
      <c r="Y43">
        <f>HYPERLINK("https://klasma.github.io/Logging_2021/kartor_geotiff/A 48109-2025 georefererad karta.tif", "A 48109-2025")</f>
        <v/>
      </c>
      <c r="AA43">
        <f>HYPERLINK("https://klasma.github.io/Logging_2021/klagomål/A 48109-2025 FSC-klagomål.docx", "A 48109-2025")</f>
        <v/>
      </c>
      <c r="AB43">
        <f>HYPERLINK("https://klasma.github.io/Logging_2021/klagomålsmail/A 48109-2025 FSC-klagomål mail.docx", "A 48109-2025")</f>
        <v/>
      </c>
      <c r="AC43">
        <f>HYPERLINK("https://klasma.github.io/Logging_2021/tillsyn/A 48109-2025 tillsynsbegäran.docx", "A 48109-2025")</f>
        <v/>
      </c>
      <c r="AD43">
        <f>HYPERLINK("https://klasma.github.io/Logging_2021/tillsynsmail/A 48109-2025 tillsynsbegäran mail.docx", "A 48109-2025")</f>
        <v/>
      </c>
    </row>
    <row r="44" ht="15" customHeight="1">
      <c r="A44" t="inlineStr">
        <is>
          <t>A 3918-2026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46043</v>
      </c>
      <c r="E44" s="1" t="n">
        <v>46313</v>
      </c>
      <c r="F44" t="inlineStr">
        <is>
          <t>DALARNAS LÄN</t>
        </is>
      </c>
      <c r="G44" t="inlineStr">
        <is>
          <t>VANSBRO</t>
        </is>
      </c>
      <c r="I44" t="n">
        <v>6.2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0</v>
      </c>
      <c r="V44" s="2" t="inlineStr">
        <is>
          <t>Duvhök</t>
        </is>
      </c>
      <c r="W44">
        <f>HYPERLINK("https://klasma.github.io/Logging_2021/artfynd/A 3918-2026 artfynd.xlsx", "A 3918-2026")</f>
        <v/>
      </c>
      <c r="X44">
        <f>HYPERLINK("https://klasma.github.io/Logging_2021/kartor/A 3918-2026 karta.png", "A 3918-2026")</f>
        <v/>
      </c>
      <c r="Y44">
        <f>HYPERLINK("https://klasma.github.io/Logging_2021/kartor_geotiff/A 3918-2026 georefererad karta.tif", "A 3918-2026")</f>
        <v/>
      </c>
      <c r="AA44">
        <f>HYPERLINK("https://klasma.github.io/Logging_2021/klagomål/A 3918-2026 FSC-klagomål.docx", "A 3918-2026")</f>
        <v/>
      </c>
      <c r="AB44">
        <f>HYPERLINK("https://klasma.github.io/Logging_2021/klagomålsmail/A 3918-2026 FSC-klagomål mail.docx", "A 3918-2026")</f>
        <v/>
      </c>
      <c r="AC44">
        <f>HYPERLINK("https://klasma.github.io/Logging_2021/tillsyn/A 3918-2026 tillsynsbegäran.docx", "A 3918-2026")</f>
        <v/>
      </c>
      <c r="AD44">
        <f>HYPERLINK("https://klasma.github.io/Logging_2021/tillsynsmail/A 3918-2026 tillsynsbegäran mail.docx", "A 3918-2026")</f>
        <v/>
      </c>
      <c r="AE44">
        <f>HYPERLINK("https://klasma.github.io/Logging_2021/fåglar/A 3918-2026 prioriterade fågelarter.docx", "A 3918-2026")</f>
        <v/>
      </c>
    </row>
    <row r="45" ht="15" customHeight="1">
      <c r="A45" t="inlineStr">
        <is>
          <t>A 5659-2026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46051</v>
      </c>
      <c r="E45" s="1" t="n">
        <v>46313</v>
      </c>
      <c r="F45" t="inlineStr">
        <is>
          <t>DALARNAS LÄN</t>
        </is>
      </c>
      <c r="G45" t="inlineStr">
        <is>
          <t>VANSBRO</t>
        </is>
      </c>
      <c r="I45" t="n">
        <v>5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s="2" t="inlineStr">
        <is>
          <t>Vanlig rörsvepemossa</t>
        </is>
      </c>
      <c r="W45">
        <f>HYPERLINK("https://klasma.github.io/Logging_2021/artfynd/A 5659-2026 artfynd.xlsx", "A 5659-2026")</f>
        <v/>
      </c>
      <c r="X45">
        <f>HYPERLINK("https://klasma.github.io/Logging_2021/kartor/A 5659-2026 karta.png", "A 5659-2026")</f>
        <v/>
      </c>
      <c r="Y45">
        <f>HYPERLINK("https://klasma.github.io/Logging_2021/kartor_geotiff/A 5659-2026 georefererad karta.tif", "A 5659-2026")</f>
        <v/>
      </c>
      <c r="Z45">
        <f>HYPERLINK("https://klasma.github.io/Logging_2021/knärot/A 5659-2026 karta knärot.png", "A 5659-2026")</f>
        <v/>
      </c>
      <c r="AA45">
        <f>HYPERLINK("https://klasma.github.io/Logging_2021/klagomål/A 5659-2026 FSC-klagomål.docx", "A 5659-2026")</f>
        <v/>
      </c>
      <c r="AB45">
        <f>HYPERLINK("https://klasma.github.io/Logging_2021/klagomålsmail/A 5659-2026 FSC-klagomål mail.docx", "A 5659-2026")</f>
        <v/>
      </c>
      <c r="AC45">
        <f>HYPERLINK("https://klasma.github.io/Logging_2021/tillsyn/A 5659-2026 tillsynsbegäran.docx", "A 5659-2026")</f>
        <v/>
      </c>
      <c r="AD45">
        <f>HYPERLINK("https://klasma.github.io/Logging_2021/tillsynsmail/A 5659-2026 tillsynsbegäran mail.docx", "A 5659-2026")</f>
        <v/>
      </c>
    </row>
    <row r="46" ht="15" customHeight="1">
      <c r="A46" t="inlineStr">
        <is>
          <t>A 26756-2026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46184</v>
      </c>
      <c r="E46" s="1" t="n">
        <v>46313</v>
      </c>
      <c r="F46" t="inlineStr">
        <is>
          <t>DALARNAS LÄN</t>
        </is>
      </c>
      <c r="G46" t="inlineStr">
        <is>
          <t>VANSBRO</t>
        </is>
      </c>
      <c r="H46" t="inlineStr">
        <is>
          <t>Bergvik skog väst AB</t>
        </is>
      </c>
      <c r="I46" t="n">
        <v>11.4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0</v>
      </c>
      <c r="V46" s="2" t="inlineStr">
        <is>
          <t>Talltita</t>
        </is>
      </c>
      <c r="W46">
        <f>HYPERLINK("https://klasma.github.io/Logging_2021/artfynd/A 26756-2026 artfynd.xlsx", "A 26756-2026")</f>
        <v/>
      </c>
      <c r="X46">
        <f>HYPERLINK("https://klasma.github.io/Logging_2021/kartor/A 26756-2026 karta.png", "A 26756-2026")</f>
        <v/>
      </c>
      <c r="Y46">
        <f>HYPERLINK("https://klasma.github.io/Logging_2021/kartor_geotiff/A 26756-2026 georefererad karta.tif", "A 26756-2026")</f>
        <v/>
      </c>
      <c r="AA46">
        <f>HYPERLINK("https://klasma.github.io/Logging_2021/klagomål/A 26756-2026 FSC-klagomål.docx", "A 26756-2026")</f>
        <v/>
      </c>
      <c r="AB46">
        <f>HYPERLINK("https://klasma.github.io/Logging_2021/klagomålsmail/A 26756-2026 FSC-klagomål mail.docx", "A 26756-2026")</f>
        <v/>
      </c>
      <c r="AC46">
        <f>HYPERLINK("https://klasma.github.io/Logging_2021/tillsyn/A 26756-2026 tillsynsbegäran.docx", "A 26756-2026")</f>
        <v/>
      </c>
      <c r="AD46">
        <f>HYPERLINK("https://klasma.github.io/Logging_2021/tillsynsmail/A 26756-2026 tillsynsbegäran mail.docx", "A 26756-2026")</f>
        <v/>
      </c>
      <c r="AE46">
        <f>HYPERLINK("https://klasma.github.io/Logging_2021/fåglar/A 26756-2026 prioriterade fågelarter.docx", "A 26756-2026")</f>
        <v/>
      </c>
    </row>
    <row r="47" ht="15" customHeight="1">
      <c r="A47" t="inlineStr">
        <is>
          <t>A 37219-2024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45539</v>
      </c>
      <c r="E47" s="1" t="n">
        <v>46313</v>
      </c>
      <c r="F47" t="inlineStr">
        <is>
          <t>DALARNAS LÄN</t>
        </is>
      </c>
      <c r="G47" t="inlineStr">
        <is>
          <t>VANSBRO</t>
        </is>
      </c>
      <c r="I47" t="n">
        <v>5.3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4</v>
      </c>
      <c r="U47" t="n">
        <v>4</v>
      </c>
      <c r="V47" s="2" t="inlineStr">
        <is>
          <t>Tjäder</t>
        </is>
      </c>
      <c r="W47">
        <f>HYPERLINK("https://klasma.github.io/Logging_2021/artfynd/A 37219-2024 artfynd.xlsx", "A 37219-2024")</f>
        <v/>
      </c>
      <c r="X47">
        <f>HYPERLINK("https://klasma.github.io/Logging_2021/kartor/A 37219-2024 karta.png", "A 37219-2024")</f>
        <v/>
      </c>
      <c r="Y47">
        <f>HYPERLINK("https://klasma.github.io/Logging_2021/kartor_geotiff/A 37219-2024 georefererad karta.tif", "A 37219-2024")</f>
        <v/>
      </c>
      <c r="AA47">
        <f>HYPERLINK("https://klasma.github.io/Logging_2021/klagomål/A 37219-2024 FSC-klagomål.docx", "A 37219-2024")</f>
        <v/>
      </c>
      <c r="AB47">
        <f>HYPERLINK("https://klasma.github.io/Logging_2021/klagomålsmail/A 37219-2024 FSC-klagomål mail.docx", "A 37219-2024")</f>
        <v/>
      </c>
      <c r="AC47">
        <f>HYPERLINK("https://klasma.github.io/Logging_2021/tillsyn/A 37219-2024 tillsynsbegäran.docx", "A 37219-2024")</f>
        <v/>
      </c>
      <c r="AD47">
        <f>HYPERLINK("https://klasma.github.io/Logging_2021/tillsynsmail/A 37219-2024 tillsynsbegäran mail.docx", "A 37219-2024")</f>
        <v/>
      </c>
      <c r="AE47">
        <f>HYPERLINK("https://klasma.github.io/Logging_2021/fåglar/A 37219-2024 prioriterade fågelarter.docx", "A 37219-2024")</f>
        <v/>
      </c>
    </row>
    <row r="48" ht="15" customHeight="1">
      <c r="A48" t="inlineStr">
        <is>
          <t>A 54453-2024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45617</v>
      </c>
      <c r="E48" s="1" t="n">
        <v>46313</v>
      </c>
      <c r="F48" t="inlineStr">
        <is>
          <t>DALARNAS LÄN</t>
        </is>
      </c>
      <c r="G48" t="inlineStr">
        <is>
          <t>VANSBRO</t>
        </is>
      </c>
      <c r="I48" t="n">
        <v>0.4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1</v>
      </c>
      <c r="U48" t="n">
        <v>0</v>
      </c>
      <c r="V48" s="2" t="inlineStr">
        <is>
          <t>Skarp dropptaggsvamp</t>
        </is>
      </c>
      <c r="W48">
        <f>HYPERLINK("https://klasma.github.io/Logging_2021/artfynd/A 54453-2024 artfynd.xlsx", "A 54453-2024")</f>
        <v/>
      </c>
      <c r="X48">
        <f>HYPERLINK("https://klasma.github.io/Logging_2021/kartor/A 54453-2024 karta.png", "A 54453-2024")</f>
        <v/>
      </c>
      <c r="Y48">
        <f>HYPERLINK("https://klasma.github.io/Logging_2021/kartor_geotiff/A 54453-2024 georefererad karta.tif", "A 54453-2024")</f>
        <v/>
      </c>
      <c r="AA48">
        <f>HYPERLINK("https://klasma.github.io/Logging_2021/klagomål/A 54453-2024 FSC-klagomål.docx", "A 54453-2024")</f>
        <v/>
      </c>
      <c r="AB48">
        <f>HYPERLINK("https://klasma.github.io/Logging_2021/klagomålsmail/A 54453-2024 FSC-klagomål mail.docx", "A 54453-2024")</f>
        <v/>
      </c>
      <c r="AC48">
        <f>HYPERLINK("https://klasma.github.io/Logging_2021/tillsyn/A 54453-2024 tillsynsbegäran.docx", "A 54453-2024")</f>
        <v/>
      </c>
      <c r="AD48">
        <f>HYPERLINK("https://klasma.github.io/Logging_2021/tillsynsmail/A 54453-2024 tillsynsbegäran mail.docx", "A 54453-2024")</f>
        <v/>
      </c>
    </row>
    <row r="49" ht="15" customHeight="1">
      <c r="A49" t="inlineStr">
        <is>
          <t>A 57810-2023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45247</v>
      </c>
      <c r="E49" s="1" t="n">
        <v>46313</v>
      </c>
      <c r="F49" t="inlineStr">
        <is>
          <t>DALARNAS LÄN</t>
        </is>
      </c>
      <c r="G49" t="inlineStr">
        <is>
          <t>VANSBRO</t>
        </is>
      </c>
      <c r="I49" t="n">
        <v>0.6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1</v>
      </c>
      <c r="V49" s="2" t="inlineStr">
        <is>
          <t>Järnsparv</t>
        </is>
      </c>
      <c r="W49">
        <f>HYPERLINK("https://klasma.github.io/Logging_2021/artfynd/A 57810-2023 artfynd.xlsx", "A 57810-2023")</f>
        <v/>
      </c>
      <c r="X49">
        <f>HYPERLINK("https://klasma.github.io/Logging_2021/kartor/A 57810-2023 karta.png", "A 57810-2023")</f>
        <v/>
      </c>
      <c r="Y49">
        <f>HYPERLINK("https://klasma.github.io/Logging_2021/kartor_geotiff/A 57810-2023 georefererad karta.tif", "A 57810-2023")</f>
        <v/>
      </c>
      <c r="AA49">
        <f>HYPERLINK("https://klasma.github.io/Logging_2021/klagomål/A 57810-2023 FSC-klagomål.docx", "A 57810-2023")</f>
        <v/>
      </c>
      <c r="AB49">
        <f>HYPERLINK("https://klasma.github.io/Logging_2021/klagomålsmail/A 57810-2023 FSC-klagomål mail.docx", "A 57810-2023")</f>
        <v/>
      </c>
      <c r="AC49">
        <f>HYPERLINK("https://klasma.github.io/Logging_2021/tillsyn/A 57810-2023 tillsynsbegäran.docx", "A 57810-2023")</f>
        <v/>
      </c>
      <c r="AD49">
        <f>HYPERLINK("https://klasma.github.io/Logging_2021/tillsynsmail/A 57810-2023 tillsynsbegäran mail.docx", "A 57810-2023")</f>
        <v/>
      </c>
      <c r="AE49">
        <f>HYPERLINK("https://klasma.github.io/Logging_2021/fåglar/A 57810-2023 prioriterade fågelarter.docx", "A 57810-2023")</f>
        <v/>
      </c>
    </row>
    <row r="50" ht="15" customHeight="1">
      <c r="A50" t="inlineStr">
        <is>
          <t>A 33250-2024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45518</v>
      </c>
      <c r="E50" s="1" t="n">
        <v>46313</v>
      </c>
      <c r="F50" t="inlineStr">
        <is>
          <t>DALARNAS LÄN</t>
        </is>
      </c>
      <c r="G50" t="inlineStr">
        <is>
          <t>VANSBRO</t>
        </is>
      </c>
      <c r="I50" t="n">
        <v>6.8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2</v>
      </c>
      <c r="U50" t="n">
        <v>0</v>
      </c>
      <c r="V50" s="2" t="inlineStr">
        <is>
          <t>Reliktbock</t>
        </is>
      </c>
      <c r="W50">
        <f>HYPERLINK("https://klasma.github.io/Logging_2021/artfynd/A 33250-2024 artfynd.xlsx", "A 33250-2024")</f>
        <v/>
      </c>
      <c r="X50">
        <f>HYPERLINK("https://klasma.github.io/Logging_2021/kartor/A 33250-2024 karta.png", "A 33250-2024")</f>
        <v/>
      </c>
      <c r="Y50">
        <f>HYPERLINK("https://klasma.github.io/Logging_2021/kartor_geotiff/A 33250-2024 georefererad karta.tif", "A 33250-2024")</f>
        <v/>
      </c>
      <c r="AA50">
        <f>HYPERLINK("https://klasma.github.io/Logging_2021/klagomål/A 33250-2024 FSC-klagomål.docx", "A 33250-2024")</f>
        <v/>
      </c>
      <c r="AB50">
        <f>HYPERLINK("https://klasma.github.io/Logging_2021/klagomålsmail/A 33250-2024 FSC-klagomål mail.docx", "A 33250-2024")</f>
        <v/>
      </c>
      <c r="AC50">
        <f>HYPERLINK("https://klasma.github.io/Logging_2021/tillsyn/A 33250-2024 tillsynsbegäran.docx", "A 33250-2024")</f>
        <v/>
      </c>
      <c r="AD50">
        <f>HYPERLINK("https://klasma.github.io/Logging_2021/tillsynsmail/A 33250-2024 tillsynsbegäran mail.docx", "A 33250-2024")</f>
        <v/>
      </c>
    </row>
    <row r="51" ht="15" customHeight="1">
      <c r="A51" t="inlineStr">
        <is>
          <t>A 35533-2026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46262</v>
      </c>
      <c r="E51" s="1" t="n">
        <v>46313</v>
      </c>
      <c r="F51" t="inlineStr">
        <is>
          <t>DALARNAS LÄN</t>
        </is>
      </c>
      <c r="G51" t="inlineStr">
        <is>
          <t>VANSBRO</t>
        </is>
      </c>
      <c r="I51" t="n">
        <v>1.3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</v>
      </c>
      <c r="U51" t="n">
        <v>0</v>
      </c>
      <c r="V51" s="2" t="inlineStr">
        <is>
          <t>Ullticka</t>
        </is>
      </c>
      <c r="W51">
        <f>HYPERLINK("https://klasma.github.io/Logging_2021/artfynd/A 35533-2026 artfynd.xlsx", "A 35533-2026")</f>
        <v/>
      </c>
      <c r="X51">
        <f>HYPERLINK("https://klasma.github.io/Logging_2021/kartor/A 35533-2026 karta.png", "A 35533-2026")</f>
        <v/>
      </c>
      <c r="Y51">
        <f>HYPERLINK("https://klasma.github.io/Logging_2021/kartor_geotiff/A 35533-2026 georefererad karta.tif", "A 35533-2026")</f>
        <v/>
      </c>
      <c r="Z51">
        <f>HYPERLINK("https://klasma.github.io/Logging_2021/knärot/A 35533-2026 karta knärot.png", "A 35533-2026")</f>
        <v/>
      </c>
      <c r="AA51">
        <f>HYPERLINK("https://klasma.github.io/Logging_2021/klagomål/A 35533-2026 FSC-klagomål.docx", "A 35533-2026")</f>
        <v/>
      </c>
      <c r="AB51">
        <f>HYPERLINK("https://klasma.github.io/Logging_2021/klagomålsmail/A 35533-2026 FSC-klagomål mail.docx", "A 35533-2026")</f>
        <v/>
      </c>
      <c r="AC51">
        <f>HYPERLINK("https://klasma.github.io/Logging_2021/tillsyn/A 35533-2026 tillsynsbegäran.docx", "A 35533-2026")</f>
        <v/>
      </c>
      <c r="AD51">
        <f>HYPERLINK("https://klasma.github.io/Logging_2021/tillsynsmail/A 35533-2026 tillsynsbegäran mail.docx", "A 35533-2026")</f>
        <v/>
      </c>
    </row>
    <row r="52" ht="15" customHeight="1">
      <c r="A52" t="inlineStr">
        <is>
          <t>A 27052-2025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45811</v>
      </c>
      <c r="E52" s="1" t="n">
        <v>46313</v>
      </c>
      <c r="F52" t="inlineStr">
        <is>
          <t>DALARNAS LÄN</t>
        </is>
      </c>
      <c r="G52" t="inlineStr">
        <is>
          <t>VANSBRO</t>
        </is>
      </c>
      <c r="H52" t="inlineStr">
        <is>
          <t>Bergvik skog väst AB</t>
        </is>
      </c>
      <c r="I52" t="n">
        <v>1.9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s="2" t="inlineStr">
        <is>
          <t>Tjäder</t>
        </is>
      </c>
      <c r="W52">
        <f>HYPERLINK("https://klasma.github.io/Logging_2021/artfynd/A 27052-2025 artfynd.xlsx", "A 27052-2025")</f>
        <v/>
      </c>
      <c r="X52">
        <f>HYPERLINK("https://klasma.github.io/Logging_2021/kartor/A 27052-2025 karta.png", "A 27052-2025")</f>
        <v/>
      </c>
      <c r="Y52">
        <f>HYPERLINK("https://klasma.github.io/Logging_2021/kartor_geotiff/A 27052-2025 georefererad karta.tif", "A 27052-2025")</f>
        <v/>
      </c>
      <c r="AA52">
        <f>HYPERLINK("https://klasma.github.io/Logging_2021/klagomål/A 27052-2025 FSC-klagomål.docx", "A 27052-2025")</f>
        <v/>
      </c>
      <c r="AB52">
        <f>HYPERLINK("https://klasma.github.io/Logging_2021/klagomålsmail/A 27052-2025 FSC-klagomål mail.docx", "A 27052-2025")</f>
        <v/>
      </c>
      <c r="AC52">
        <f>HYPERLINK("https://klasma.github.io/Logging_2021/tillsyn/A 27052-2025 tillsynsbegäran.docx", "A 27052-2025")</f>
        <v/>
      </c>
      <c r="AD52">
        <f>HYPERLINK("https://klasma.github.io/Logging_2021/tillsynsmail/A 27052-2025 tillsynsbegäran mail.docx", "A 27052-2025")</f>
        <v/>
      </c>
      <c r="AE52">
        <f>HYPERLINK("https://klasma.github.io/Logging_2021/fåglar/A 27052-2025 prioriterade fågelarter.docx", "A 27052-2025")</f>
        <v/>
      </c>
    </row>
    <row r="53" ht="15" customHeight="1">
      <c r="A53" t="inlineStr">
        <is>
          <t>A 32917-2025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45839</v>
      </c>
      <c r="E53" s="1" t="n">
        <v>46313</v>
      </c>
      <c r="F53" t="inlineStr">
        <is>
          <t>DALARNAS LÄN</t>
        </is>
      </c>
      <c r="G53" t="inlineStr">
        <is>
          <t>VANSBRO</t>
        </is>
      </c>
      <c r="I53" t="n">
        <v>6.6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2</v>
      </c>
      <c r="U53" t="n">
        <v>2</v>
      </c>
      <c r="V53" s="2" t="inlineStr">
        <is>
          <t>Garnlav</t>
        </is>
      </c>
      <c r="W53">
        <f>HYPERLINK("https://klasma.github.io/Logging_2021/artfynd/A 32917-2025 artfynd.xlsx", "A 32917-2025")</f>
        <v/>
      </c>
      <c r="X53">
        <f>HYPERLINK("https://klasma.github.io/Logging_2021/kartor/A 32917-2025 karta.png", "A 32917-2025")</f>
        <v/>
      </c>
      <c r="Y53">
        <f>HYPERLINK("https://klasma.github.io/Logging_2021/kartor_geotiff/A 32917-2025 georefererad karta.tif", "A 32917-2025")</f>
        <v/>
      </c>
      <c r="AA53">
        <f>HYPERLINK("https://klasma.github.io/Logging_2021/klagomål/A 32917-2025 FSC-klagomål.docx", "A 32917-2025")</f>
        <v/>
      </c>
      <c r="AB53">
        <f>HYPERLINK("https://klasma.github.io/Logging_2021/klagomålsmail/A 32917-2025 FSC-klagomål mail.docx", "A 32917-2025")</f>
        <v/>
      </c>
      <c r="AC53">
        <f>HYPERLINK("https://klasma.github.io/Logging_2021/tillsyn/A 32917-2025 tillsynsbegäran.docx", "A 32917-2025")</f>
        <v/>
      </c>
      <c r="AD53">
        <f>HYPERLINK("https://klasma.github.io/Logging_2021/tillsynsmail/A 32917-2025 tillsynsbegäran mail.docx", "A 32917-2025")</f>
        <v/>
      </c>
    </row>
    <row r="54" ht="15" customHeight="1">
      <c r="A54" t="inlineStr">
        <is>
          <t>S 146-2023</t>
        </is>
      </c>
      <c r="B54" t="inlineStr">
        <is>
          <t>samrådsanmälan</t>
        </is>
      </c>
      <c r="C54" t="inlineStr">
        <is>
          <t>Annan skogsbruksåtgärd</t>
        </is>
      </c>
      <c r="D54" s="1" t="n">
        <v>44942</v>
      </c>
      <c r="E54" s="1" t="n">
        <v>46313</v>
      </c>
      <c r="F54" t="inlineStr">
        <is>
          <t>DALARNAS LÄN</t>
        </is>
      </c>
      <c r="G54" t="inlineStr">
        <is>
          <t>VANSBRO</t>
        </is>
      </c>
      <c r="H54" t="inlineStr">
        <is>
          <t>Bergvik skog öst AB</t>
        </is>
      </c>
      <c r="I54" t="n">
        <v>8.9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1</v>
      </c>
      <c r="T54" t="n">
        <v>2</v>
      </c>
      <c r="U54" t="n">
        <v>0</v>
      </c>
      <c r="V54" s="2" t="inlineStr">
        <is>
          <t>Garnlav</t>
        </is>
      </c>
      <c r="W54">
        <f>HYPERLINK("https://klasma.github.io/Logging_2021/artfynd/S 146-2023 artfynd.xlsx", "S 146-2023")</f>
        <v/>
      </c>
      <c r="X54">
        <f>HYPERLINK("https://klasma.github.io/Logging_2021/kartor/S 146-2023 karta.png", "S 146-2023")</f>
        <v/>
      </c>
      <c r="Y54">
        <f>HYPERLINK("https://klasma.github.io/Logging_2021/kartor_geotiff/S 146-2023 georefererad karta.tif", "S 146-2023")</f>
        <v/>
      </c>
      <c r="AA54">
        <f>HYPERLINK("https://klasma.github.io/Logging_2021/klagomål/S 146-2023 FSC-klagomål.docx", "S 146-2023")</f>
        <v/>
      </c>
      <c r="AB54">
        <f>HYPERLINK("https://klasma.github.io/Logging_2021/klagomålsmail/S 146-2023 FSC-klagomål mail.docx", "S 146-2023")</f>
        <v/>
      </c>
      <c r="AC54">
        <f>HYPERLINK("https://klasma.github.io/Logging_2021/tillsyn/S 146-2023 tillsynsbegäran.docx", "S 146-2023")</f>
        <v/>
      </c>
      <c r="AD54">
        <f>HYPERLINK("https://klasma.github.io/Logging_2021/tillsynsmail/S 146-2023 tillsynsbegäran mail.docx", "S 146-2023")</f>
        <v/>
      </c>
    </row>
    <row r="55" ht="15" customHeight="1">
      <c r="A55" t="inlineStr">
        <is>
          <t>S 940-2024</t>
        </is>
      </c>
      <c r="B55" t="inlineStr">
        <is>
          <t>samrådsanmälan</t>
        </is>
      </c>
      <c r="C55" t="inlineStr">
        <is>
          <t>Skogsgödsling</t>
        </is>
      </c>
      <c r="D55" s="1" t="n">
        <v>45377</v>
      </c>
      <c r="E55" s="1" t="n">
        <v>46313</v>
      </c>
      <c r="F55" t="inlineStr">
        <is>
          <t>DALARNAS LÄN</t>
        </is>
      </c>
      <c r="G55" t="inlineStr">
        <is>
          <t>VANSBRO</t>
        </is>
      </c>
      <c r="H55" t="inlineStr">
        <is>
          <t>Bergvik skog väst AB</t>
        </is>
      </c>
      <c r="I55" t="n">
        <v>158.9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0</v>
      </c>
      <c r="V55" s="2" t="inlineStr">
        <is>
          <t>Lunglav</t>
        </is>
      </c>
      <c r="W55">
        <f>HYPERLINK("https://klasma.github.io/Logging_2021/artfynd/S 940-2024 artfynd.xlsx", "S 940-2024")</f>
        <v/>
      </c>
      <c r="X55">
        <f>HYPERLINK("https://klasma.github.io/Logging_2021/kartor/S 940-2024 karta.png", "S 940-2024")</f>
        <v/>
      </c>
      <c r="Y55">
        <f>HYPERLINK("https://klasma.github.io/Logging_2021/kartor_geotiff/S 940-2024 georefererad karta.tif", "S 940-2024")</f>
        <v/>
      </c>
      <c r="AA55">
        <f>HYPERLINK("https://klasma.github.io/Logging_2021/klagomål/S 940-2024 FSC-klagomål.docx", "S 940-2024")</f>
        <v/>
      </c>
      <c r="AB55">
        <f>HYPERLINK("https://klasma.github.io/Logging_2021/klagomålsmail/S 940-2024 FSC-klagomål mail.docx", "S 940-2024")</f>
        <v/>
      </c>
      <c r="AC55">
        <f>HYPERLINK("https://klasma.github.io/Logging_2021/tillsyn/S 940-2024 tillsynsbegäran.docx", "S 940-2024")</f>
        <v/>
      </c>
      <c r="AD55">
        <f>HYPERLINK("https://klasma.github.io/Logging_2021/tillsynsmail/S 940-2024 tillsynsbegäran mail.docx", "S 940-2024")</f>
        <v/>
      </c>
    </row>
    <row r="56" ht="15" customHeight="1">
      <c r="A56" t="inlineStr">
        <is>
          <t>A 54023-2022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44881</v>
      </c>
      <c r="E56" s="1" t="n">
        <v>46313</v>
      </c>
      <c r="F56" t="inlineStr">
        <is>
          <t>DALARNAS LÄN</t>
        </is>
      </c>
      <c r="G56" t="inlineStr">
        <is>
          <t>VANSBRO</t>
        </is>
      </c>
      <c r="H56" t="inlineStr">
        <is>
          <t>Bergvik skog öst AB</t>
        </is>
      </c>
      <c r="I56" t="n">
        <v>9.1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29497-2022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44753</v>
      </c>
      <c r="E57" s="1" t="n">
        <v>46313</v>
      </c>
      <c r="F57" t="inlineStr">
        <is>
          <t>DALARNAS LÄN</t>
        </is>
      </c>
      <c r="G57" t="inlineStr">
        <is>
          <t>VANSBRO</t>
        </is>
      </c>
      <c r="I57" t="n">
        <v>3.2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42055-2022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44830</v>
      </c>
      <c r="E58" s="1" t="n">
        <v>46313</v>
      </c>
      <c r="F58" t="inlineStr">
        <is>
          <t>DALARNAS LÄN</t>
        </is>
      </c>
      <c r="G58" t="inlineStr">
        <is>
          <t>VANSBRO</t>
        </is>
      </c>
      <c r="H58" t="inlineStr">
        <is>
          <t>Bergvik skog väst AB</t>
        </is>
      </c>
      <c r="I58" t="n">
        <v>7.3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66705-2021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44519</v>
      </c>
      <c r="E59" s="1" t="n">
        <v>46313</v>
      </c>
      <c r="F59" t="inlineStr">
        <is>
          <t>DALARNAS LÄN</t>
        </is>
      </c>
      <c r="G59" t="inlineStr">
        <is>
          <t>VANSBRO</t>
        </is>
      </c>
      <c r="I59" t="n">
        <v>3.5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66717-2021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44519</v>
      </c>
      <c r="E60" s="1" t="n">
        <v>46313</v>
      </c>
      <c r="F60" t="inlineStr">
        <is>
          <t>DALARNAS LÄN</t>
        </is>
      </c>
      <c r="G60" t="inlineStr">
        <is>
          <t>VANSBRO</t>
        </is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21752-2022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44708</v>
      </c>
      <c r="E61" s="1" t="n">
        <v>46313</v>
      </c>
      <c r="F61" t="inlineStr">
        <is>
          <t>DALARNAS LÄN</t>
        </is>
      </c>
      <c r="G61" t="inlineStr">
        <is>
          <t>VANSBRO</t>
        </is>
      </c>
      <c r="I61" t="n">
        <v>7.2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17804-2022</t>
        </is>
      </c>
      <c r="B62" t="inlineStr">
        <is>
          <t>avverkningsanmälan</t>
        </is>
      </c>
      <c r="C62" t="inlineStr">
        <is>
          <t>Avverkning för annat ändamål</t>
        </is>
      </c>
      <c r="D62" s="1" t="n">
        <v>44673</v>
      </c>
      <c r="E62" s="1" t="n">
        <v>46313</v>
      </c>
      <c r="F62" t="inlineStr">
        <is>
          <t>DALARNAS LÄN</t>
        </is>
      </c>
      <c r="G62" t="inlineStr">
        <is>
          <t>VANSBRO</t>
        </is>
      </c>
      <c r="I62" t="n">
        <v>0.6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26690-2022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44739</v>
      </c>
      <c r="E63" s="1" t="n">
        <v>46313</v>
      </c>
      <c r="F63" t="inlineStr">
        <is>
          <t>DALARNAS LÄN</t>
        </is>
      </c>
      <c r="G63" t="inlineStr">
        <is>
          <t>VANSBRO</t>
        </is>
      </c>
      <c r="H63" t="inlineStr">
        <is>
          <t>Kyrkan</t>
        </is>
      </c>
      <c r="I63" t="n">
        <v>2.1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27465-2022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44742</v>
      </c>
      <c r="E64" s="1" t="n">
        <v>46313</v>
      </c>
      <c r="F64" t="inlineStr">
        <is>
          <t>DALARNAS LÄN</t>
        </is>
      </c>
      <c r="G64" t="inlineStr">
        <is>
          <t>VANSBRO</t>
        </is>
      </c>
      <c r="H64" t="inlineStr">
        <is>
          <t>Bergvik skog öst AB</t>
        </is>
      </c>
      <c r="I64" t="n">
        <v>0.7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33899-2022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44790</v>
      </c>
      <c r="E65" s="1" t="n">
        <v>46313</v>
      </c>
      <c r="F65" t="inlineStr">
        <is>
          <t>DALARNAS LÄN</t>
        </is>
      </c>
      <c r="G65" t="inlineStr">
        <is>
          <t>VANSBRO</t>
        </is>
      </c>
      <c r="I65" t="n">
        <v>5.5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53850-2022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44880</v>
      </c>
      <c r="E66" s="1" t="n">
        <v>46313</v>
      </c>
      <c r="F66" t="inlineStr">
        <is>
          <t>DALARNAS LÄN</t>
        </is>
      </c>
      <c r="G66" t="inlineStr">
        <is>
          <t>VANSBRO</t>
        </is>
      </c>
      <c r="H66" t="inlineStr">
        <is>
          <t>Bergvik skog öst AB</t>
        </is>
      </c>
      <c r="I66" t="n">
        <v>1.4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41216-2022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44826</v>
      </c>
      <c r="E67" s="1" t="n">
        <v>46313</v>
      </c>
      <c r="F67" t="inlineStr">
        <is>
          <t>DALARNAS LÄN</t>
        </is>
      </c>
      <c r="G67" t="inlineStr">
        <is>
          <t>VANSBRO</t>
        </is>
      </c>
      <c r="I67" t="n">
        <v>1.5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16640-2022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44672</v>
      </c>
      <c r="E68" s="1" t="n">
        <v>46313</v>
      </c>
      <c r="F68" t="inlineStr">
        <is>
          <t>DALARNAS LÄN</t>
        </is>
      </c>
      <c r="G68" t="inlineStr">
        <is>
          <t>VANSBRO</t>
        </is>
      </c>
      <c r="H68" t="inlineStr">
        <is>
          <t>Kyrkan</t>
        </is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26571-2022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44739</v>
      </c>
      <c r="E69" s="1" t="n">
        <v>46313</v>
      </c>
      <c r="F69" t="inlineStr">
        <is>
          <t>DALARNAS LÄN</t>
        </is>
      </c>
      <c r="G69" t="inlineStr">
        <is>
          <t>VANSBRO</t>
        </is>
      </c>
      <c r="H69" t="inlineStr">
        <is>
          <t>Kommuner</t>
        </is>
      </c>
      <c r="I69" t="n">
        <v>1.1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33917-2022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44790</v>
      </c>
      <c r="E70" s="1" t="n">
        <v>46313</v>
      </c>
      <c r="F70" t="inlineStr">
        <is>
          <t>DALARNAS LÄN</t>
        </is>
      </c>
      <c r="G70" t="inlineStr">
        <is>
          <t>VANSBRO</t>
        </is>
      </c>
      <c r="H70" t="inlineStr">
        <is>
          <t>Bergvik skog öst AB</t>
        </is>
      </c>
      <c r="I70" t="n">
        <v>0.7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31383-2022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44774</v>
      </c>
      <c r="E71" s="1" t="n">
        <v>46313</v>
      </c>
      <c r="F71" t="inlineStr">
        <is>
          <t>DALARNAS LÄN</t>
        </is>
      </c>
      <c r="G71" t="inlineStr">
        <is>
          <t>VANSBRO</t>
        </is>
      </c>
      <c r="I71" t="n">
        <v>1.4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8890-2022</t>
        </is>
      </c>
      <c r="B72" t="inlineStr">
        <is>
          <t>avverkningsanmälan</t>
        </is>
      </c>
      <c r="C72" t="inlineStr">
        <is>
          <t>Avverkning för annat ändamål</t>
        </is>
      </c>
      <c r="D72" s="1" t="n">
        <v>44614</v>
      </c>
      <c r="E72" s="1" t="n">
        <v>46313</v>
      </c>
      <c r="F72" t="inlineStr">
        <is>
          <t>DALARNAS LÄN</t>
        </is>
      </c>
      <c r="G72" t="inlineStr">
        <is>
          <t>VANSBRO</t>
        </is>
      </c>
      <c r="I72" t="n">
        <v>0.3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39043-2022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44817</v>
      </c>
      <c r="E73" s="1" t="n">
        <v>46313</v>
      </c>
      <c r="F73" t="inlineStr">
        <is>
          <t>DALARNAS LÄN</t>
        </is>
      </c>
      <c r="G73" t="inlineStr">
        <is>
          <t>VANSBRO</t>
        </is>
      </c>
      <c r="H73" t="inlineStr">
        <is>
          <t>Övriga statliga verk och myndigheter</t>
        </is>
      </c>
      <c r="I73" t="n">
        <v>0.6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33929-2022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44790</v>
      </c>
      <c r="E74" s="1" t="n">
        <v>46313</v>
      </c>
      <c r="F74" t="inlineStr">
        <is>
          <t>DALARNAS LÄN</t>
        </is>
      </c>
      <c r="G74" t="inlineStr">
        <is>
          <t>VANSBRO</t>
        </is>
      </c>
      <c r="H74" t="inlineStr">
        <is>
          <t>Bergvik skog öst AB</t>
        </is>
      </c>
      <c r="I74" t="n">
        <v>1.1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25624-2022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44732</v>
      </c>
      <c r="E75" s="1" t="n">
        <v>46313</v>
      </c>
      <c r="F75" t="inlineStr">
        <is>
          <t>DALARNAS LÄN</t>
        </is>
      </c>
      <c r="G75" t="inlineStr">
        <is>
          <t>VANSBRO</t>
        </is>
      </c>
      <c r="H75" t="inlineStr">
        <is>
          <t>Kyrkan</t>
        </is>
      </c>
      <c r="I75" t="n">
        <v>1.3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41709-2022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44827</v>
      </c>
      <c r="E76" s="1" t="n">
        <v>46313</v>
      </c>
      <c r="F76" t="inlineStr">
        <is>
          <t>DALARNAS LÄN</t>
        </is>
      </c>
      <c r="G76" t="inlineStr">
        <is>
          <t>VANSBRO</t>
        </is>
      </c>
      <c r="H76" t="inlineStr">
        <is>
          <t>Bergvik skog väst AB</t>
        </is>
      </c>
      <c r="I76" t="n">
        <v>6.9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28657-2022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44748</v>
      </c>
      <c r="E77" s="1" t="n">
        <v>46313</v>
      </c>
      <c r="F77" t="inlineStr">
        <is>
          <t>DALARNAS LÄN</t>
        </is>
      </c>
      <c r="G77" t="inlineStr">
        <is>
          <t>VANSBRO</t>
        </is>
      </c>
      <c r="I77" t="n">
        <v>0.9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13094-2022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44643</v>
      </c>
      <c r="E78" s="1" t="n">
        <v>46313</v>
      </c>
      <c r="F78" t="inlineStr">
        <is>
          <t>DALARNAS LÄN</t>
        </is>
      </c>
      <c r="G78" t="inlineStr">
        <is>
          <t>VANSBRO</t>
        </is>
      </c>
      <c r="H78" t="inlineStr">
        <is>
          <t>Kyrkan</t>
        </is>
      </c>
      <c r="I78" t="n">
        <v>0.8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29574-2022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44754</v>
      </c>
      <c r="E79" s="1" t="n">
        <v>46313</v>
      </c>
      <c r="F79" t="inlineStr">
        <is>
          <t>DALARNAS LÄN</t>
        </is>
      </c>
      <c r="G79" t="inlineStr">
        <is>
          <t>VANSBRO</t>
        </is>
      </c>
      <c r="H79" t="inlineStr">
        <is>
          <t>Bergvik skog öst AB</t>
        </is>
      </c>
      <c r="I79" t="n">
        <v>1.9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29575-2022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44754</v>
      </c>
      <c r="E80" s="1" t="n">
        <v>46313</v>
      </c>
      <c r="F80" t="inlineStr">
        <is>
          <t>DALARNAS LÄN</t>
        </is>
      </c>
      <c r="G80" t="inlineStr">
        <is>
          <t>VANSBRO</t>
        </is>
      </c>
      <c r="H80" t="inlineStr">
        <is>
          <t>Bergvik skog öst AB</t>
        </is>
      </c>
      <c r="I80" t="n">
        <v>2.4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38773-2022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44816</v>
      </c>
      <c r="E81" s="1" t="n">
        <v>46313</v>
      </c>
      <c r="F81" t="inlineStr">
        <is>
          <t>DALARNAS LÄN</t>
        </is>
      </c>
      <c r="G81" t="inlineStr">
        <is>
          <t>VANSBRO</t>
        </is>
      </c>
      <c r="I81" t="n">
        <v>0.5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38253-2022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44812</v>
      </c>
      <c r="E82" s="1" t="n">
        <v>46313</v>
      </c>
      <c r="F82" t="inlineStr">
        <is>
          <t>DALARNAS LÄN</t>
        </is>
      </c>
      <c r="G82" t="inlineStr">
        <is>
          <t>VANSBRO</t>
        </is>
      </c>
      <c r="H82" t="inlineStr">
        <is>
          <t>Bergvik skog väst AB</t>
        </is>
      </c>
      <c r="I82" t="n">
        <v>0.6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35288-2024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45530</v>
      </c>
      <c r="E83" s="1" t="n">
        <v>46313</v>
      </c>
      <c r="F83" t="inlineStr">
        <is>
          <t>DALARNAS LÄN</t>
        </is>
      </c>
      <c r="G83" t="inlineStr">
        <is>
          <t>VANSBRO</t>
        </is>
      </c>
      <c r="I83" t="n">
        <v>0.9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30889-2024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45498</v>
      </c>
      <c r="E84" s="1" t="n">
        <v>46313</v>
      </c>
      <c r="F84" t="inlineStr">
        <is>
          <t>DALARNAS LÄN</t>
        </is>
      </c>
      <c r="G84" t="inlineStr">
        <is>
          <t>VANSBRO</t>
        </is>
      </c>
      <c r="H84" t="inlineStr">
        <is>
          <t>Bergvik skog öst AB</t>
        </is>
      </c>
      <c r="I84" t="n">
        <v>1.6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4680-2023</t>
        </is>
      </c>
      <c r="B85" t="inlineStr">
        <is>
          <t>avverkningsanmälan</t>
        </is>
      </c>
      <c r="C85" t="inlineStr">
        <is>
          <t>Avverkning för att bevara och utveckla /försöksver</t>
        </is>
      </c>
      <c r="D85" s="1" t="n">
        <v>44957</v>
      </c>
      <c r="E85" s="1" t="n">
        <v>46313</v>
      </c>
      <c r="F85" t="inlineStr">
        <is>
          <t>DALARNAS LÄN</t>
        </is>
      </c>
      <c r="G85" t="inlineStr">
        <is>
          <t>VANSBRO</t>
        </is>
      </c>
      <c r="H85" t="inlineStr">
        <is>
          <t>Bergvik skog öst AB</t>
        </is>
      </c>
      <c r="I85" t="n">
        <v>3.6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55078-2022</t>
        </is>
      </c>
      <c r="B86" t="inlineStr">
        <is>
          <t>avverkningsanmälan</t>
        </is>
      </c>
      <c r="C86" t="inlineStr">
        <is>
          <t>Avverkning för annat ändamål</t>
        </is>
      </c>
      <c r="D86" s="1" t="n">
        <v>44886</v>
      </c>
      <c r="E86" s="1" t="n">
        <v>46313</v>
      </c>
      <c r="F86" t="inlineStr">
        <is>
          <t>DALARNAS LÄN</t>
        </is>
      </c>
      <c r="G86" t="inlineStr">
        <is>
          <t>VANSBRO</t>
        </is>
      </c>
      <c r="I86" t="n">
        <v>0.3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21973-2024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45443</v>
      </c>
      <c r="E87" s="1" t="n">
        <v>46313</v>
      </c>
      <c r="F87" t="inlineStr">
        <is>
          <t>DALARNAS LÄN</t>
        </is>
      </c>
      <c r="G87" t="inlineStr">
        <is>
          <t>VANSBRO</t>
        </is>
      </c>
      <c r="H87" t="inlineStr">
        <is>
          <t>Bergvik skog väst AB</t>
        </is>
      </c>
      <c r="I87" t="n">
        <v>0.9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34738-2023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45141</v>
      </c>
      <c r="E88" s="1" t="n">
        <v>46313</v>
      </c>
      <c r="F88" t="inlineStr">
        <is>
          <t>DALARNAS LÄN</t>
        </is>
      </c>
      <c r="G88" t="inlineStr">
        <is>
          <t>VANSBRO</t>
        </is>
      </c>
      <c r="H88" t="inlineStr">
        <is>
          <t>Bergvik skog väst AB</t>
        </is>
      </c>
      <c r="I88" t="n">
        <v>3.5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54423-2024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45617</v>
      </c>
      <c r="E89" s="1" t="n">
        <v>46313</v>
      </c>
      <c r="F89" t="inlineStr">
        <is>
          <t>DALARNAS LÄN</t>
        </is>
      </c>
      <c r="G89" t="inlineStr">
        <is>
          <t>VANSBRO</t>
        </is>
      </c>
      <c r="H89" t="inlineStr">
        <is>
          <t>Bergvik skog väst AB</t>
        </is>
      </c>
      <c r="I89" t="n">
        <v>0.6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11408-2025</t>
        </is>
      </c>
      <c r="B90" t="inlineStr">
        <is>
          <t>avverkningsanmälan</t>
        </is>
      </c>
      <c r="C90" t="inlineStr">
        <is>
          <t>Avverkning för annat ändamål</t>
        </is>
      </c>
      <c r="D90" s="1" t="n">
        <v>45726</v>
      </c>
      <c r="E90" s="1" t="n">
        <v>46313</v>
      </c>
      <c r="F90" t="inlineStr">
        <is>
          <t>DALARNAS LÄN</t>
        </is>
      </c>
      <c r="G90" t="inlineStr">
        <is>
          <t>VANSBRO</t>
        </is>
      </c>
      <c r="I90" t="n">
        <v>0.5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23899-2023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45078</v>
      </c>
      <c r="E91" s="1" t="n">
        <v>46313</v>
      </c>
      <c r="F91" t="inlineStr">
        <is>
          <t>DALARNAS LÄN</t>
        </is>
      </c>
      <c r="G91" t="inlineStr">
        <is>
          <t>VANSBRO</t>
        </is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45608-2023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45194</v>
      </c>
      <c r="E92" s="1" t="n">
        <v>46313</v>
      </c>
      <c r="F92" t="inlineStr">
        <is>
          <t>DALARNAS LÄN</t>
        </is>
      </c>
      <c r="G92" t="inlineStr">
        <is>
          <t>VANSBRO</t>
        </is>
      </c>
      <c r="I92" t="n">
        <v>2.5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34277-2022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44791</v>
      </c>
      <c r="E93" s="1" t="n">
        <v>46313</v>
      </c>
      <c r="F93" t="inlineStr">
        <is>
          <t>DALARNAS LÄN</t>
        </is>
      </c>
      <c r="G93" t="inlineStr">
        <is>
          <t>VANSBRO</t>
        </is>
      </c>
      <c r="I93" t="n">
        <v>3.1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43254-2023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45183</v>
      </c>
      <c r="E94" s="1" t="n">
        <v>46313</v>
      </c>
      <c r="F94" t="inlineStr">
        <is>
          <t>DALARNAS LÄN</t>
        </is>
      </c>
      <c r="G94" t="inlineStr">
        <is>
          <t>VANSBRO</t>
        </is>
      </c>
      <c r="H94" t="inlineStr">
        <is>
          <t>Bergvik skog öst AB</t>
        </is>
      </c>
      <c r="I94" t="n">
        <v>0.8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41371-2022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44826</v>
      </c>
      <c r="E95" s="1" t="n">
        <v>46313</v>
      </c>
      <c r="F95" t="inlineStr">
        <is>
          <t>DALARNAS LÄN</t>
        </is>
      </c>
      <c r="G95" t="inlineStr">
        <is>
          <t>VANSBRO</t>
        </is>
      </c>
      <c r="H95" t="inlineStr">
        <is>
          <t>Bergvik skog öst AB</t>
        </is>
      </c>
      <c r="I95" t="n">
        <v>0.9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38034-2024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45544</v>
      </c>
      <c r="E96" s="1" t="n">
        <v>46313</v>
      </c>
      <c r="F96" t="inlineStr">
        <is>
          <t>DALARNAS LÄN</t>
        </is>
      </c>
      <c r="G96" t="inlineStr">
        <is>
          <t>VANSBRO</t>
        </is>
      </c>
      <c r="H96" t="inlineStr">
        <is>
          <t>Övriga statliga verk och myndigheter</t>
        </is>
      </c>
      <c r="I96" t="n">
        <v>1.4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2941-2024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45315</v>
      </c>
      <c r="E97" s="1" t="n">
        <v>46313</v>
      </c>
      <c r="F97" t="inlineStr">
        <is>
          <t>DALARNAS LÄN</t>
        </is>
      </c>
      <c r="G97" t="inlineStr">
        <is>
          <t>VANSBRO</t>
        </is>
      </c>
      <c r="I97" t="n">
        <v>0.8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59142-2024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45637</v>
      </c>
      <c r="E98" s="1" t="n">
        <v>46313</v>
      </c>
      <c r="F98" t="inlineStr">
        <is>
          <t>DALARNAS LÄN</t>
        </is>
      </c>
      <c r="G98" t="inlineStr">
        <is>
          <t>VANSBRO</t>
        </is>
      </c>
      <c r="I98" t="n">
        <v>0.9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13639-2022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44648</v>
      </c>
      <c r="E99" s="1" t="n">
        <v>46313</v>
      </c>
      <c r="F99" t="inlineStr">
        <is>
          <t>DALARNAS LÄN</t>
        </is>
      </c>
      <c r="G99" t="inlineStr">
        <is>
          <t>VANSBRO</t>
        </is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34882-2022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44796</v>
      </c>
      <c r="E100" s="1" t="n">
        <v>46313</v>
      </c>
      <c r="F100" t="inlineStr">
        <is>
          <t>DALARNAS LÄN</t>
        </is>
      </c>
      <c r="G100" t="inlineStr">
        <is>
          <t>VANSBRO</t>
        </is>
      </c>
      <c r="I100" t="n">
        <v>3.6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4955-2025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45689</v>
      </c>
      <c r="E101" s="1" t="n">
        <v>46313</v>
      </c>
      <c r="F101" t="inlineStr">
        <is>
          <t>DALARNAS LÄN</t>
        </is>
      </c>
      <c r="G101" t="inlineStr">
        <is>
          <t>VANSBRO</t>
        </is>
      </c>
      <c r="I101" t="n">
        <v>3.7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32383-2024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45512</v>
      </c>
      <c r="E102" s="1" t="n">
        <v>46313</v>
      </c>
      <c r="F102" t="inlineStr">
        <is>
          <t>DALARNAS LÄN</t>
        </is>
      </c>
      <c r="G102" t="inlineStr">
        <is>
          <t>VANSBRO</t>
        </is>
      </c>
      <c r="I102" t="n">
        <v>0.4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44679-2023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45189</v>
      </c>
      <c r="E103" s="1" t="n">
        <v>46313</v>
      </c>
      <c r="F103" t="inlineStr">
        <is>
          <t>DALARNAS LÄN</t>
        </is>
      </c>
      <c r="G103" t="inlineStr">
        <is>
          <t>VANSBRO</t>
        </is>
      </c>
      <c r="I103" t="n">
        <v>2.1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16827-2025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45754</v>
      </c>
      <c r="E104" s="1" t="n">
        <v>46313</v>
      </c>
      <c r="F104" t="inlineStr">
        <is>
          <t>DALARNAS LÄN</t>
        </is>
      </c>
      <c r="G104" t="inlineStr">
        <is>
          <t>VANSBRO</t>
        </is>
      </c>
      <c r="I104" t="n">
        <v>0.3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12016-2024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45377</v>
      </c>
      <c r="E105" s="1" t="n">
        <v>46313</v>
      </c>
      <c r="F105" t="inlineStr">
        <is>
          <t>DALARNAS LÄN</t>
        </is>
      </c>
      <c r="G105" t="inlineStr">
        <is>
          <t>VANSBRO</t>
        </is>
      </c>
      <c r="I105" t="n">
        <v>1.4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4953-2025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45689</v>
      </c>
      <c r="E106" s="1" t="n">
        <v>46313</v>
      </c>
      <c r="F106" t="inlineStr">
        <is>
          <t>DALARNAS LÄN</t>
        </is>
      </c>
      <c r="G106" t="inlineStr">
        <is>
          <t>VANSBRO</t>
        </is>
      </c>
      <c r="I106" t="n">
        <v>4.2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35299-2024</t>
        </is>
      </c>
      <c r="B107" t="inlineStr">
        <is>
          <t>avverkningsanmälan</t>
        </is>
      </c>
      <c r="C107" t="inlineStr">
        <is>
          <t>Avverkning för att bevara och utveckla /försöksver</t>
        </is>
      </c>
      <c r="D107" s="1" t="n">
        <v>45530</v>
      </c>
      <c r="E107" s="1" t="n">
        <v>46313</v>
      </c>
      <c r="F107" t="inlineStr">
        <is>
          <t>DALARNAS LÄN</t>
        </is>
      </c>
      <c r="G107" t="inlineStr">
        <is>
          <t>VANSBRO</t>
        </is>
      </c>
      <c r="I107" t="n">
        <v>1.8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62622-2022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44925</v>
      </c>
      <c r="E108" s="1" t="n">
        <v>46313</v>
      </c>
      <c r="F108" t="inlineStr">
        <is>
          <t>DALARNAS LÄN</t>
        </is>
      </c>
      <c r="G108" t="inlineStr">
        <is>
          <t>VANSBRO</t>
        </is>
      </c>
      <c r="H108" t="inlineStr">
        <is>
          <t>Bergvik skog väst AB</t>
        </is>
      </c>
      <c r="I108" t="n">
        <v>1.3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49565-2022</t>
        </is>
      </c>
      <c r="B109" t="inlineStr">
        <is>
          <t>avverkningsanmälan</t>
        </is>
      </c>
      <c r="C109" t="inlineStr">
        <is>
          <t>Avverkning för annat ändamål</t>
        </is>
      </c>
      <c r="D109" s="1" t="n">
        <v>44862</v>
      </c>
      <c r="E109" s="1" t="n">
        <v>46313</v>
      </c>
      <c r="F109" t="inlineStr">
        <is>
          <t>DALARNAS LÄN</t>
        </is>
      </c>
      <c r="G109" t="inlineStr">
        <is>
          <t>VANSBRO</t>
        </is>
      </c>
      <c r="H109" t="inlineStr">
        <is>
          <t>Bergvik skog väst AB</t>
        </is>
      </c>
      <c r="I109" t="n">
        <v>3.2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30342-2023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45111</v>
      </c>
      <c r="E110" s="1" t="n">
        <v>46313</v>
      </c>
      <c r="F110" t="inlineStr">
        <is>
          <t>DALARNAS LÄN</t>
        </is>
      </c>
      <c r="G110" t="inlineStr">
        <is>
          <t>VANSBRO</t>
        </is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45356-2024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45576</v>
      </c>
      <c r="E111" s="1" t="n">
        <v>46313</v>
      </c>
      <c r="F111" t="inlineStr">
        <is>
          <t>DALARNAS LÄN</t>
        </is>
      </c>
      <c r="G111" t="inlineStr">
        <is>
          <t>VANSBRO</t>
        </is>
      </c>
      <c r="I111" t="n">
        <v>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51601-2023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45222</v>
      </c>
      <c r="E112" s="1" t="n">
        <v>46313</v>
      </c>
      <c r="F112" t="inlineStr">
        <is>
          <t>DALARNAS LÄN</t>
        </is>
      </c>
      <c r="G112" t="inlineStr">
        <is>
          <t>VANSBRO</t>
        </is>
      </c>
      <c r="H112" t="inlineStr">
        <is>
          <t>Bergvik skog väst AB</t>
        </is>
      </c>
      <c r="I112" t="n">
        <v>2.5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24827-2022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44728</v>
      </c>
      <c r="E113" s="1" t="n">
        <v>46313</v>
      </c>
      <c r="F113" t="inlineStr">
        <is>
          <t>DALARNAS LÄN</t>
        </is>
      </c>
      <c r="G113" t="inlineStr">
        <is>
          <t>VANSBRO</t>
        </is>
      </c>
      <c r="H113" t="inlineStr">
        <is>
          <t>Bergvik skog öst AB</t>
        </is>
      </c>
      <c r="I113" t="n">
        <v>0.7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24839-2022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44728</v>
      </c>
      <c r="E114" s="1" t="n">
        <v>46313</v>
      </c>
      <c r="F114" t="inlineStr">
        <is>
          <t>DALARNAS LÄN</t>
        </is>
      </c>
      <c r="G114" t="inlineStr">
        <is>
          <t>VANSBRO</t>
        </is>
      </c>
      <c r="H114" t="inlineStr">
        <is>
          <t>Bergvik skog öst AB</t>
        </is>
      </c>
      <c r="I114" t="n">
        <v>2.2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15088-2025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45744</v>
      </c>
      <c r="E115" s="1" t="n">
        <v>46313</v>
      </c>
      <c r="F115" t="inlineStr">
        <is>
          <t>DALARNAS LÄN</t>
        </is>
      </c>
      <c r="G115" t="inlineStr">
        <is>
          <t>VANSBRO</t>
        </is>
      </c>
      <c r="I115" t="n">
        <v>0.9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60036-2023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45258</v>
      </c>
      <c r="E116" s="1" t="n">
        <v>46313</v>
      </c>
      <c r="F116" t="inlineStr">
        <is>
          <t>DALARNAS LÄN</t>
        </is>
      </c>
      <c r="G116" t="inlineStr">
        <is>
          <t>VANSBRO</t>
        </is>
      </c>
      <c r="I116" t="n">
        <v>3.9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18859-2025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45764</v>
      </c>
      <c r="E117" s="1" t="n">
        <v>46313</v>
      </c>
      <c r="F117" t="inlineStr">
        <is>
          <t>DALARNAS LÄN</t>
        </is>
      </c>
      <c r="G117" t="inlineStr">
        <is>
          <t>VANSBRO</t>
        </is>
      </c>
      <c r="H117" t="inlineStr">
        <is>
          <t>Bergvik skog väst AB</t>
        </is>
      </c>
      <c r="I117" t="n">
        <v>0.6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43258-2023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45183</v>
      </c>
      <c r="E118" s="1" t="n">
        <v>46313</v>
      </c>
      <c r="F118" t="inlineStr">
        <is>
          <t>DALARNAS LÄN</t>
        </is>
      </c>
      <c r="G118" t="inlineStr">
        <is>
          <t>VANSBRO</t>
        </is>
      </c>
      <c r="H118" t="inlineStr">
        <is>
          <t>Bergvik skog öst AB</t>
        </is>
      </c>
      <c r="I118" t="n">
        <v>1.7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823-2025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45665</v>
      </c>
      <c r="E119" s="1" t="n">
        <v>46313</v>
      </c>
      <c r="F119" t="inlineStr">
        <is>
          <t>DALARNAS LÄN</t>
        </is>
      </c>
      <c r="G119" t="inlineStr">
        <is>
          <t>VANSBRO</t>
        </is>
      </c>
      <c r="H119" t="inlineStr">
        <is>
          <t>Bergvik skog väst AB</t>
        </is>
      </c>
      <c r="I119" t="n">
        <v>2.9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39974-2022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44820</v>
      </c>
      <c r="E120" s="1" t="n">
        <v>46313</v>
      </c>
      <c r="F120" t="inlineStr">
        <is>
          <t>DALARNAS LÄN</t>
        </is>
      </c>
      <c r="G120" t="inlineStr">
        <is>
          <t>VANSBRO</t>
        </is>
      </c>
      <c r="I120" t="n">
        <v>7.3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35537-2024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45531</v>
      </c>
      <c r="E121" s="1" t="n">
        <v>46313</v>
      </c>
      <c r="F121" t="inlineStr">
        <is>
          <t>DALARNAS LÄN</t>
        </is>
      </c>
      <c r="G121" t="inlineStr">
        <is>
          <t>VANSBRO</t>
        </is>
      </c>
      <c r="H121" t="inlineStr">
        <is>
          <t>Övriga statliga verk och myndigheter</t>
        </is>
      </c>
      <c r="I121" t="n">
        <v>0.4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61653-2024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45646</v>
      </c>
      <c r="E122" s="1" t="n">
        <v>46313</v>
      </c>
      <c r="F122" t="inlineStr">
        <is>
          <t>DALARNAS LÄN</t>
        </is>
      </c>
      <c r="G122" t="inlineStr">
        <is>
          <t>VANSBRO</t>
        </is>
      </c>
      <c r="I122" t="n">
        <v>3.7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25496-2024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45463</v>
      </c>
      <c r="E123" s="1" t="n">
        <v>46313</v>
      </c>
      <c r="F123" t="inlineStr">
        <is>
          <t>DALARNAS LÄN</t>
        </is>
      </c>
      <c r="G123" t="inlineStr">
        <is>
          <t>VANSBRO</t>
        </is>
      </c>
      <c r="I123" t="n">
        <v>4.7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1050-2025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45666</v>
      </c>
      <c r="E124" s="1" t="n">
        <v>46313</v>
      </c>
      <c r="F124" t="inlineStr">
        <is>
          <t>DALARNAS LÄN</t>
        </is>
      </c>
      <c r="G124" t="inlineStr">
        <is>
          <t>VANSBRO</t>
        </is>
      </c>
      <c r="H124" t="inlineStr">
        <is>
          <t>Övriga statliga verk och myndigheter</t>
        </is>
      </c>
      <c r="I124" t="n">
        <v>4.4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35780-2024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45532</v>
      </c>
      <c r="E125" s="1" t="n">
        <v>46313</v>
      </c>
      <c r="F125" t="inlineStr">
        <is>
          <t>DALARNAS LÄN</t>
        </is>
      </c>
      <c r="G125" t="inlineStr">
        <is>
          <t>VANSBRO</t>
        </is>
      </c>
      <c r="I125" t="n">
        <v>2.3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21117-2024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45440</v>
      </c>
      <c r="E126" s="1" t="n">
        <v>46313</v>
      </c>
      <c r="F126" t="inlineStr">
        <is>
          <t>DALARNAS LÄN</t>
        </is>
      </c>
      <c r="G126" t="inlineStr">
        <is>
          <t>VANSBRO</t>
        </is>
      </c>
      <c r="I126" t="n">
        <v>1.5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27000-2025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45811</v>
      </c>
      <c r="E127" s="1" t="n">
        <v>46313</v>
      </c>
      <c r="F127" t="inlineStr">
        <is>
          <t>DALARNAS LÄN</t>
        </is>
      </c>
      <c r="G127" t="inlineStr">
        <is>
          <t>VANSBRO</t>
        </is>
      </c>
      <c r="I127" t="n">
        <v>0.9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11598-2025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45727</v>
      </c>
      <c r="E128" s="1" t="n">
        <v>46313</v>
      </c>
      <c r="F128" t="inlineStr">
        <is>
          <t>DALARNAS LÄN</t>
        </is>
      </c>
      <c r="G128" t="inlineStr">
        <is>
          <t>VANSBRO</t>
        </is>
      </c>
      <c r="I128" t="n">
        <v>1.5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55942-2023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45240</v>
      </c>
      <c r="E129" s="1" t="n">
        <v>46313</v>
      </c>
      <c r="F129" t="inlineStr">
        <is>
          <t>DALARNAS LÄN</t>
        </is>
      </c>
      <c r="G129" t="inlineStr">
        <is>
          <t>VANSBRO</t>
        </is>
      </c>
      <c r="I129" t="n">
        <v>4.4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37970-2022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44811</v>
      </c>
      <c r="E130" s="1" t="n">
        <v>46313</v>
      </c>
      <c r="F130" t="inlineStr">
        <is>
          <t>DALARNAS LÄN</t>
        </is>
      </c>
      <c r="G130" t="inlineStr">
        <is>
          <t>VANSBRO</t>
        </is>
      </c>
      <c r="H130" t="inlineStr">
        <is>
          <t>Bergvik skog väst AB</t>
        </is>
      </c>
      <c r="I130" t="n">
        <v>1.9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38670-2025</t>
        </is>
      </c>
      <c r="B131" t="inlineStr">
        <is>
          <t>avverkningsanmälan</t>
        </is>
      </c>
      <c r="C131" t="inlineStr">
        <is>
          <t>Avverkning för annat ändamål</t>
        </is>
      </c>
      <c r="D131" s="1" t="n">
        <v>45884</v>
      </c>
      <c r="E131" s="1" t="n">
        <v>46313</v>
      </c>
      <c r="F131" t="inlineStr">
        <is>
          <t>DALARNAS LÄN</t>
        </is>
      </c>
      <c r="G131" t="inlineStr">
        <is>
          <t>VANSBRO</t>
        </is>
      </c>
      <c r="H131" t="inlineStr">
        <is>
          <t>Bergvik skog väst AB</t>
        </is>
      </c>
      <c r="I131" t="n">
        <v>1.4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20669-2025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45776</v>
      </c>
      <c r="E132" s="1" t="n">
        <v>46313</v>
      </c>
      <c r="F132" t="inlineStr">
        <is>
          <t>DALARNAS LÄN</t>
        </is>
      </c>
      <c r="G132" t="inlineStr">
        <is>
          <t>VANSBRO</t>
        </is>
      </c>
      <c r="H132" t="inlineStr">
        <is>
          <t>Bergvik skog väst AB</t>
        </is>
      </c>
      <c r="I132" t="n">
        <v>3.6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59435-2023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45254</v>
      </c>
      <c r="E133" s="1" t="n">
        <v>46313</v>
      </c>
      <c r="F133" t="inlineStr">
        <is>
          <t>DALARNAS LÄN</t>
        </is>
      </c>
      <c r="G133" t="inlineStr">
        <is>
          <t>VANSBRO</t>
        </is>
      </c>
      <c r="I133" t="n">
        <v>3.9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26387-2025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45806</v>
      </c>
      <c r="E134" s="1" t="n">
        <v>46313</v>
      </c>
      <c r="F134" t="inlineStr">
        <is>
          <t>DALARNAS LÄN</t>
        </is>
      </c>
      <c r="G134" t="inlineStr">
        <is>
          <t>VANSBRO</t>
        </is>
      </c>
      <c r="H134" t="inlineStr">
        <is>
          <t>Bergvik skog väst AB</t>
        </is>
      </c>
      <c r="I134" t="n">
        <v>3.1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21418-2023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45063</v>
      </c>
      <c r="E135" s="1" t="n">
        <v>46313</v>
      </c>
      <c r="F135" t="inlineStr">
        <is>
          <t>DALARNAS LÄN</t>
        </is>
      </c>
      <c r="G135" t="inlineStr">
        <is>
          <t>VANSBRO</t>
        </is>
      </c>
      <c r="H135" t="inlineStr">
        <is>
          <t>Bergvik skog öst AB</t>
        </is>
      </c>
      <c r="I135" t="n">
        <v>2.6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5019-2025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45691</v>
      </c>
      <c r="E136" s="1" t="n">
        <v>46313</v>
      </c>
      <c r="F136" t="inlineStr">
        <is>
          <t>DALARNAS LÄN</t>
        </is>
      </c>
      <c r="G136" t="inlineStr">
        <is>
          <t>VANSBRO</t>
        </is>
      </c>
      <c r="I136" t="n">
        <v>0.5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53839-2022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44880</v>
      </c>
      <c r="E137" s="1" t="n">
        <v>46313</v>
      </c>
      <c r="F137" t="inlineStr">
        <is>
          <t>DALARNAS LÄN</t>
        </is>
      </c>
      <c r="G137" t="inlineStr">
        <is>
          <t>VANSBRO</t>
        </is>
      </c>
      <c r="H137" t="inlineStr">
        <is>
          <t>Bergvik skog öst AB</t>
        </is>
      </c>
      <c r="I137" t="n">
        <v>1.1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39173-2025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45888</v>
      </c>
      <c r="E138" s="1" t="n">
        <v>46313</v>
      </c>
      <c r="F138" t="inlineStr">
        <is>
          <t>DALARNAS LÄN</t>
        </is>
      </c>
      <c r="G138" t="inlineStr">
        <is>
          <t>VANSBRO</t>
        </is>
      </c>
      <c r="I138" t="n">
        <v>2.2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39177-2025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45888</v>
      </c>
      <c r="E139" s="1" t="n">
        <v>46313</v>
      </c>
      <c r="F139" t="inlineStr">
        <is>
          <t>DALARNAS LÄN</t>
        </is>
      </c>
      <c r="G139" t="inlineStr">
        <is>
          <t>VANSBRO</t>
        </is>
      </c>
      <c r="I139" t="n">
        <v>6.1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39179-2025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45888</v>
      </c>
      <c r="E140" s="1" t="n">
        <v>46313</v>
      </c>
      <c r="F140" t="inlineStr">
        <is>
          <t>DALARNAS LÄN</t>
        </is>
      </c>
      <c r="G140" t="inlineStr">
        <is>
          <t>VANSBRO</t>
        </is>
      </c>
      <c r="I140" t="n">
        <v>0.8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5648-2026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46051</v>
      </c>
      <c r="E141" s="1" t="n">
        <v>46313</v>
      </c>
      <c r="F141" t="inlineStr">
        <is>
          <t>DALARNAS LÄN</t>
        </is>
      </c>
      <c r="G141" t="inlineStr">
        <is>
          <t>VANSBRO</t>
        </is>
      </c>
      <c r="I141" t="n">
        <v>13.9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9145-2025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45714</v>
      </c>
      <c r="E142" s="1" t="n">
        <v>46313</v>
      </c>
      <c r="F142" t="inlineStr">
        <is>
          <t>DALARNAS LÄN</t>
        </is>
      </c>
      <c r="G142" t="inlineStr">
        <is>
          <t>VANSBRO</t>
        </is>
      </c>
      <c r="I142" t="n">
        <v>4.6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42824-2023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45182</v>
      </c>
      <c r="E143" s="1" t="n">
        <v>46313</v>
      </c>
      <c r="F143" t="inlineStr">
        <is>
          <t>DALARNAS LÄN</t>
        </is>
      </c>
      <c r="G143" t="inlineStr">
        <is>
          <t>VANSBRO</t>
        </is>
      </c>
      <c r="I143" t="n">
        <v>5.5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40884-2025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45897</v>
      </c>
      <c r="E144" s="1" t="n">
        <v>46313</v>
      </c>
      <c r="F144" t="inlineStr">
        <is>
          <t>DALARNAS LÄN</t>
        </is>
      </c>
      <c r="G144" t="inlineStr">
        <is>
          <t>VANSBRO</t>
        </is>
      </c>
      <c r="H144" t="inlineStr">
        <is>
          <t>Bergvik skog öst AB</t>
        </is>
      </c>
      <c r="I144" t="n">
        <v>2.6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21966-2024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45443</v>
      </c>
      <c r="E145" s="1" t="n">
        <v>46313</v>
      </c>
      <c r="F145" t="inlineStr">
        <is>
          <t>DALARNAS LÄN</t>
        </is>
      </c>
      <c r="G145" t="inlineStr">
        <is>
          <t>VANSBRO</t>
        </is>
      </c>
      <c r="H145" t="inlineStr">
        <is>
          <t>Bergvik skog väst AB</t>
        </is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4954-2025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45689</v>
      </c>
      <c r="E146" s="1" t="n">
        <v>46313</v>
      </c>
      <c r="F146" t="inlineStr">
        <is>
          <t>DALARNAS LÄN</t>
        </is>
      </c>
      <c r="G146" t="inlineStr">
        <is>
          <t>VANSBRO</t>
        </is>
      </c>
      <c r="I146" t="n">
        <v>0.7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10013-2024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45363</v>
      </c>
      <c r="E147" s="1" t="n">
        <v>46313</v>
      </c>
      <c r="F147" t="inlineStr">
        <is>
          <t>DALARNAS LÄN</t>
        </is>
      </c>
      <c r="G147" t="inlineStr">
        <is>
          <t>VANSBRO</t>
        </is>
      </c>
      <c r="I147" t="n">
        <v>6.6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28011-2025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45817</v>
      </c>
      <c r="E148" s="1" t="n">
        <v>46313</v>
      </c>
      <c r="F148" t="inlineStr">
        <is>
          <t>DALARNAS LÄN</t>
        </is>
      </c>
      <c r="G148" t="inlineStr">
        <is>
          <t>VANSBRO</t>
        </is>
      </c>
      <c r="I148" t="n">
        <v>15.8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20732-2026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46141</v>
      </c>
      <c r="E149" s="1" t="n">
        <v>46313</v>
      </c>
      <c r="F149" t="inlineStr">
        <is>
          <t>DALARNAS LÄN</t>
        </is>
      </c>
      <c r="G149" t="inlineStr">
        <is>
          <t>VANSBRO</t>
        </is>
      </c>
      <c r="H149" t="inlineStr">
        <is>
          <t>Bergvik skog öst AB</t>
        </is>
      </c>
      <c r="I149" t="n">
        <v>6.7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32820-2024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45516</v>
      </c>
      <c r="E150" s="1" t="n">
        <v>46313</v>
      </c>
      <c r="F150" t="inlineStr">
        <is>
          <t>DALARNAS LÄN</t>
        </is>
      </c>
      <c r="G150" t="inlineStr">
        <is>
          <t>VANSBRO</t>
        </is>
      </c>
      <c r="I150" t="n">
        <v>7.1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35365-2022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44798</v>
      </c>
      <c r="E151" s="1" t="n">
        <v>46313</v>
      </c>
      <c r="F151" t="inlineStr">
        <is>
          <t>DALARNAS LÄN</t>
        </is>
      </c>
      <c r="G151" t="inlineStr">
        <is>
          <t>VANSBRO</t>
        </is>
      </c>
      <c r="H151" t="inlineStr">
        <is>
          <t>Kommuner</t>
        </is>
      </c>
      <c r="I151" t="n">
        <v>2.5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64071-2025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46021</v>
      </c>
      <c r="E152" s="1" t="n">
        <v>46313</v>
      </c>
      <c r="F152" t="inlineStr">
        <is>
          <t>DALARNAS LÄN</t>
        </is>
      </c>
      <c r="G152" t="inlineStr">
        <is>
          <t>VANSBRO</t>
        </is>
      </c>
      <c r="I152" t="n">
        <v>4.2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42209-2025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45904</v>
      </c>
      <c r="E153" s="1" t="n">
        <v>46313</v>
      </c>
      <c r="F153" t="inlineStr">
        <is>
          <t>DALARNAS LÄN</t>
        </is>
      </c>
      <c r="G153" t="inlineStr">
        <is>
          <t>VANSBRO</t>
        </is>
      </c>
      <c r="I153" t="n">
        <v>0.5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49921-2023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45214</v>
      </c>
      <c r="E154" s="1" t="n">
        <v>46313</v>
      </c>
      <c r="F154" t="inlineStr">
        <is>
          <t>DALARNAS LÄN</t>
        </is>
      </c>
      <c r="G154" t="inlineStr">
        <is>
          <t>VANSBRO</t>
        </is>
      </c>
      <c r="I154" t="n">
        <v>1.9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11007-2026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46079</v>
      </c>
      <c r="E155" s="1" t="n">
        <v>46313</v>
      </c>
      <c r="F155" t="inlineStr">
        <is>
          <t>DALARNAS LÄN</t>
        </is>
      </c>
      <c r="G155" t="inlineStr">
        <is>
          <t>VANSBRO</t>
        </is>
      </c>
      <c r="H155" t="inlineStr">
        <is>
          <t>Övriga statliga verk och myndigheter</t>
        </is>
      </c>
      <c r="I155" t="n">
        <v>1.8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43139-2025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45909</v>
      </c>
      <c r="E156" s="1" t="n">
        <v>46313</v>
      </c>
      <c r="F156" t="inlineStr">
        <is>
          <t>DALARNAS LÄN</t>
        </is>
      </c>
      <c r="G156" t="inlineStr">
        <is>
          <t>VANSBRO</t>
        </is>
      </c>
      <c r="I156" t="n">
        <v>0.6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54159-2022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44881</v>
      </c>
      <c r="E157" s="1" t="n">
        <v>46313</v>
      </c>
      <c r="F157" t="inlineStr">
        <is>
          <t>DALARNAS LÄN</t>
        </is>
      </c>
      <c r="G157" t="inlineStr">
        <is>
          <t>VANSBRO</t>
        </is>
      </c>
      <c r="I157" t="n">
        <v>1.8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50258-2024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45600</v>
      </c>
      <c r="E158" s="1" t="n">
        <v>46313</v>
      </c>
      <c r="F158" t="inlineStr">
        <is>
          <t>DALARNAS LÄN</t>
        </is>
      </c>
      <c r="G158" t="inlineStr">
        <is>
          <t>VANSBRO</t>
        </is>
      </c>
      <c r="H158" t="inlineStr">
        <is>
          <t>Bergvik skog öst AB</t>
        </is>
      </c>
      <c r="I158" t="n">
        <v>45.8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33837-2024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45520</v>
      </c>
      <c r="E159" s="1" t="n">
        <v>46313</v>
      </c>
      <c r="F159" t="inlineStr">
        <is>
          <t>DALARNAS LÄN</t>
        </is>
      </c>
      <c r="G159" t="inlineStr">
        <is>
          <t>VANSBRO</t>
        </is>
      </c>
      <c r="I159" t="n">
        <v>2.9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35943-2024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45533</v>
      </c>
      <c r="E160" s="1" t="n">
        <v>46313</v>
      </c>
      <c r="F160" t="inlineStr">
        <is>
          <t>DALARNAS LÄN</t>
        </is>
      </c>
      <c r="G160" t="inlineStr">
        <is>
          <t>VANSBRO</t>
        </is>
      </c>
      <c r="I160" t="n">
        <v>1.4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21744-2026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46149</v>
      </c>
      <c r="E161" s="1" t="n">
        <v>46313</v>
      </c>
      <c r="F161" t="inlineStr">
        <is>
          <t>DALARNAS LÄN</t>
        </is>
      </c>
      <c r="G161" t="inlineStr">
        <is>
          <t>VANSBRO</t>
        </is>
      </c>
      <c r="H161" t="inlineStr">
        <is>
          <t>Bergvik skog öst AB</t>
        </is>
      </c>
      <c r="I161" t="n">
        <v>2.1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921-2025</t>
        </is>
      </c>
      <c r="B162" t="inlineStr">
        <is>
          <t>avverkningsanmälan</t>
        </is>
      </c>
      <c r="C162" t="inlineStr">
        <is>
          <t>Avverkning för annat ändamål</t>
        </is>
      </c>
      <c r="D162" s="1" t="n">
        <v>45665</v>
      </c>
      <c r="E162" s="1" t="n">
        <v>46313</v>
      </c>
      <c r="F162" t="inlineStr">
        <is>
          <t>DALARNAS LÄN</t>
        </is>
      </c>
      <c r="G162" t="inlineStr">
        <is>
          <t>VANSBRO</t>
        </is>
      </c>
      <c r="I162" t="n">
        <v>1.3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9296-2023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44980</v>
      </c>
      <c r="E163" s="1" t="n">
        <v>46313</v>
      </c>
      <c r="F163" t="inlineStr">
        <is>
          <t>DALARNAS LÄN</t>
        </is>
      </c>
      <c r="G163" t="inlineStr">
        <is>
          <t>VANSBRO</t>
        </is>
      </c>
      <c r="H163" t="inlineStr">
        <is>
          <t>Bergvik skog väst AB</t>
        </is>
      </c>
      <c r="I163" t="n">
        <v>0.5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48102-2025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45933</v>
      </c>
      <c r="E164" s="1" t="n">
        <v>46313</v>
      </c>
      <c r="F164" t="inlineStr">
        <is>
          <t>DALARNAS LÄN</t>
        </is>
      </c>
      <c r="G164" t="inlineStr">
        <is>
          <t>VANSBRO</t>
        </is>
      </c>
      <c r="I164" t="n">
        <v>1.5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47833-2025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45932</v>
      </c>
      <c r="E165" s="1" t="n">
        <v>46313</v>
      </c>
      <c r="F165" t="inlineStr">
        <is>
          <t>DALARNAS LÄN</t>
        </is>
      </c>
      <c r="G165" t="inlineStr">
        <is>
          <t>VANSBRO</t>
        </is>
      </c>
      <c r="I165" t="n">
        <v>2.2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47897-2025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45932</v>
      </c>
      <c r="E166" s="1" t="n">
        <v>46313</v>
      </c>
      <c r="F166" t="inlineStr">
        <is>
          <t>DALARNAS LÄN</t>
        </is>
      </c>
      <c r="G166" t="inlineStr">
        <is>
          <t>VANSBRO</t>
        </is>
      </c>
      <c r="I166" t="n">
        <v>1.3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23432-2024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45453</v>
      </c>
      <c r="E167" s="1" t="n">
        <v>46313</v>
      </c>
      <c r="F167" t="inlineStr">
        <is>
          <t>DALARNAS LÄN</t>
        </is>
      </c>
      <c r="G167" t="inlineStr">
        <is>
          <t>VANSBRO</t>
        </is>
      </c>
      <c r="I167" t="n">
        <v>0.8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48840-2025</t>
        </is>
      </c>
      <c r="B168" t="inlineStr">
        <is>
          <t>avverkningsanmälan</t>
        </is>
      </c>
      <c r="C168" t="inlineStr">
        <is>
          <t>Avverkning för annat ändamål</t>
        </is>
      </c>
      <c r="D168" s="1" t="n">
        <v>45937</v>
      </c>
      <c r="E168" s="1" t="n">
        <v>46313</v>
      </c>
      <c r="F168" t="inlineStr">
        <is>
          <t>DALARNAS LÄN</t>
        </is>
      </c>
      <c r="G168" t="inlineStr">
        <is>
          <t>VANSBRO</t>
        </is>
      </c>
      <c r="I168" t="n">
        <v>0.4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7864-2024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45350</v>
      </c>
      <c r="E169" s="1" t="n">
        <v>46313</v>
      </c>
      <c r="F169" t="inlineStr">
        <is>
          <t>DALARNAS LÄN</t>
        </is>
      </c>
      <c r="G169" t="inlineStr">
        <is>
          <t>VANSBRO</t>
        </is>
      </c>
      <c r="I169" t="n">
        <v>2.7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49677-2025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45939</v>
      </c>
      <c r="E170" s="1" t="n">
        <v>46313</v>
      </c>
      <c r="F170" t="inlineStr">
        <is>
          <t>DALARNAS LÄN</t>
        </is>
      </c>
      <c r="G170" t="inlineStr">
        <is>
          <t>VANSBRO</t>
        </is>
      </c>
      <c r="I170" t="n">
        <v>0.9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49617-2025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45939</v>
      </c>
      <c r="E171" s="1" t="n">
        <v>46313</v>
      </c>
      <c r="F171" t="inlineStr">
        <is>
          <t>DALARNAS LÄN</t>
        </is>
      </c>
      <c r="G171" t="inlineStr">
        <is>
          <t>VANSBRO</t>
        </is>
      </c>
      <c r="H171" t="inlineStr">
        <is>
          <t>Bergvik skog öst AB</t>
        </is>
      </c>
      <c r="I171" t="n">
        <v>1.6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49679-2025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45939</v>
      </c>
      <c r="E172" s="1" t="n">
        <v>46313</v>
      </c>
      <c r="F172" t="inlineStr">
        <is>
          <t>DALARNAS LÄN</t>
        </is>
      </c>
      <c r="G172" t="inlineStr">
        <is>
          <t>VANSBRO</t>
        </is>
      </c>
      <c r="I172" t="n">
        <v>1.2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49673-2025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45939</v>
      </c>
      <c r="E173" s="1" t="n">
        <v>46313</v>
      </c>
      <c r="F173" t="inlineStr">
        <is>
          <t>DALARNAS LÄN</t>
        </is>
      </c>
      <c r="G173" t="inlineStr">
        <is>
          <t>VANSBRO</t>
        </is>
      </c>
      <c r="I173" t="n">
        <v>2.8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50622-2025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45945</v>
      </c>
      <c r="E174" s="1" t="n">
        <v>46313</v>
      </c>
      <c r="F174" t="inlineStr">
        <is>
          <t>DALARNAS LÄN</t>
        </is>
      </c>
      <c r="G174" t="inlineStr">
        <is>
          <t>VANSBRO</t>
        </is>
      </c>
      <c r="H174" t="inlineStr">
        <is>
          <t>Bergvik skog väst AB</t>
        </is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22384-2026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46154</v>
      </c>
      <c r="E175" s="1" t="n">
        <v>46313</v>
      </c>
      <c r="F175" t="inlineStr">
        <is>
          <t>DALARNAS LÄN</t>
        </is>
      </c>
      <c r="G175" t="inlineStr">
        <is>
          <t>VANSBRO</t>
        </is>
      </c>
      <c r="I175" t="n">
        <v>1.5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55570-2023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45238</v>
      </c>
      <c r="E176" s="1" t="n">
        <v>46313</v>
      </c>
      <c r="F176" t="inlineStr">
        <is>
          <t>DALARNAS LÄN</t>
        </is>
      </c>
      <c r="G176" t="inlineStr">
        <is>
          <t>VANSBRO</t>
        </is>
      </c>
      <c r="H176" t="inlineStr">
        <is>
          <t>Övriga statliga verk och myndigheter</t>
        </is>
      </c>
      <c r="I176" t="n">
        <v>0.9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7142-2023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44970</v>
      </c>
      <c r="E177" s="1" t="n">
        <v>46313</v>
      </c>
      <c r="F177" t="inlineStr">
        <is>
          <t>DALARNAS LÄN</t>
        </is>
      </c>
      <c r="G177" t="inlineStr">
        <is>
          <t>VANSBRO</t>
        </is>
      </c>
      <c r="I177" t="n">
        <v>1.3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20189-2025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45772</v>
      </c>
      <c r="E178" s="1" t="n">
        <v>46313</v>
      </c>
      <c r="F178" t="inlineStr">
        <is>
          <t>DALARNAS LÄN</t>
        </is>
      </c>
      <c r="G178" t="inlineStr">
        <is>
          <t>VANSBRO</t>
        </is>
      </c>
      <c r="I178" t="n">
        <v>1.4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50687-2025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45945</v>
      </c>
      <c r="E179" s="1" t="n">
        <v>46313</v>
      </c>
      <c r="F179" t="inlineStr">
        <is>
          <t>DALARNAS LÄN</t>
        </is>
      </c>
      <c r="G179" t="inlineStr">
        <is>
          <t>VANSBRO</t>
        </is>
      </c>
      <c r="I179" t="n">
        <v>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51414-2025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45950</v>
      </c>
      <c r="E180" s="1" t="n">
        <v>46313</v>
      </c>
      <c r="F180" t="inlineStr">
        <is>
          <t>DALARNAS LÄN</t>
        </is>
      </c>
      <c r="G180" t="inlineStr">
        <is>
          <t>VANSBRO</t>
        </is>
      </c>
      <c r="H180" t="inlineStr">
        <is>
          <t>Bergvik skog väst AB</t>
        </is>
      </c>
      <c r="I180" t="n">
        <v>5.9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51855-2025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45952</v>
      </c>
      <c r="E181" s="1" t="n">
        <v>46313</v>
      </c>
      <c r="F181" t="inlineStr">
        <is>
          <t>DALARNAS LÄN</t>
        </is>
      </c>
      <c r="G181" t="inlineStr">
        <is>
          <t>VANSBRO</t>
        </is>
      </c>
      <c r="H181" t="inlineStr">
        <is>
          <t>Bergvik skog väst AB</t>
        </is>
      </c>
      <c r="I181" t="n">
        <v>10.2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61663-2024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45646</v>
      </c>
      <c r="E182" s="1" t="n">
        <v>46313</v>
      </c>
      <c r="F182" t="inlineStr">
        <is>
          <t>DALARNAS LÄN</t>
        </is>
      </c>
      <c r="G182" t="inlineStr">
        <is>
          <t>VANSBRO</t>
        </is>
      </c>
      <c r="I182" t="n">
        <v>8.800000000000001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52676-2025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45956</v>
      </c>
      <c r="E183" s="1" t="n">
        <v>46313</v>
      </c>
      <c r="F183" t="inlineStr">
        <is>
          <t>DALARNAS LÄN</t>
        </is>
      </c>
      <c r="G183" t="inlineStr">
        <is>
          <t>VANSBRO</t>
        </is>
      </c>
      <c r="H183" t="inlineStr">
        <is>
          <t>Bergvik skog väst AB</t>
        </is>
      </c>
      <c r="I183" t="n">
        <v>0.9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52673-2025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45956</v>
      </c>
      <c r="E184" s="1" t="n">
        <v>46313</v>
      </c>
      <c r="F184" t="inlineStr">
        <is>
          <t>DALARNAS LÄN</t>
        </is>
      </c>
      <c r="G184" t="inlineStr">
        <is>
          <t>VANSBRO</t>
        </is>
      </c>
      <c r="H184" t="inlineStr">
        <is>
          <t>Bergvik skog väst AB</t>
        </is>
      </c>
      <c r="I184" t="n">
        <v>2.9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22379-2026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46154</v>
      </c>
      <c r="E185" s="1" t="n">
        <v>46313</v>
      </c>
      <c r="F185" t="inlineStr">
        <is>
          <t>DALARNAS LÄN</t>
        </is>
      </c>
      <c r="G185" t="inlineStr">
        <is>
          <t>VANSBRO</t>
        </is>
      </c>
      <c r="I185" t="n">
        <v>2.9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8694-2023</t>
        </is>
      </c>
      <c r="B186" t="inlineStr">
        <is>
          <t>avverkningsanmälan</t>
        </is>
      </c>
      <c r="C186" t="inlineStr">
        <is>
          <t>Avverkning för annat ändamål</t>
        </is>
      </c>
      <c r="D186" s="1" t="n">
        <v>44972</v>
      </c>
      <c r="E186" s="1" t="n">
        <v>46313</v>
      </c>
      <c r="F186" t="inlineStr">
        <is>
          <t>DALARNAS LÄN</t>
        </is>
      </c>
      <c r="G186" t="inlineStr">
        <is>
          <t>VANSBRO</t>
        </is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39484-2025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45890</v>
      </c>
      <c r="E187" s="1" t="n">
        <v>46313</v>
      </c>
      <c r="F187" t="inlineStr">
        <is>
          <t>DALARNAS LÄN</t>
        </is>
      </c>
      <c r="G187" t="inlineStr">
        <is>
          <t>VANSBRO</t>
        </is>
      </c>
      <c r="H187" t="inlineStr">
        <is>
          <t>Bergvik skog väst AB</t>
        </is>
      </c>
      <c r="I187" t="n">
        <v>3.1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53315-2025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45959</v>
      </c>
      <c r="E188" s="1" t="n">
        <v>46313</v>
      </c>
      <c r="F188" t="inlineStr">
        <is>
          <t>DALARNAS LÄN</t>
        </is>
      </c>
      <c r="G188" t="inlineStr">
        <is>
          <t>VANSBRO</t>
        </is>
      </c>
      <c r="H188" t="inlineStr">
        <is>
          <t>Bergvik skog väst AB</t>
        </is>
      </c>
      <c r="I188" t="n">
        <v>5.9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53989-2025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45961</v>
      </c>
      <c r="E189" s="1" t="n">
        <v>46313</v>
      </c>
      <c r="F189" t="inlineStr">
        <is>
          <t>DALARNAS LÄN</t>
        </is>
      </c>
      <c r="G189" t="inlineStr">
        <is>
          <t>VANSBRO</t>
        </is>
      </c>
      <c r="I189" t="n">
        <v>1.7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23059-2026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46161</v>
      </c>
      <c r="E190" s="1" t="n">
        <v>46313</v>
      </c>
      <c r="F190" t="inlineStr">
        <is>
          <t>DALARNAS LÄN</t>
        </is>
      </c>
      <c r="G190" t="inlineStr">
        <is>
          <t>VANSBRO</t>
        </is>
      </c>
      <c r="H190" t="inlineStr">
        <is>
          <t>Bergvik skog öst AB</t>
        </is>
      </c>
      <c r="I190" t="n">
        <v>1.9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20185-2025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45772</v>
      </c>
      <c r="E191" s="1" t="n">
        <v>46313</v>
      </c>
      <c r="F191" t="inlineStr">
        <is>
          <t>DALARNAS LÄN</t>
        </is>
      </c>
      <c r="G191" t="inlineStr">
        <is>
          <t>VANSBRO</t>
        </is>
      </c>
      <c r="I191" t="n">
        <v>0.9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33829-2024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45520</v>
      </c>
      <c r="E192" s="1" t="n">
        <v>46313</v>
      </c>
      <c r="F192" t="inlineStr">
        <is>
          <t>DALARNAS LÄN</t>
        </is>
      </c>
      <c r="G192" t="inlineStr">
        <is>
          <t>VANSBRO</t>
        </is>
      </c>
      <c r="I192" t="n">
        <v>0.7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54100-2025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45964</v>
      </c>
      <c r="E193" s="1" t="n">
        <v>46313</v>
      </c>
      <c r="F193" t="inlineStr">
        <is>
          <t>DALARNAS LÄN</t>
        </is>
      </c>
      <c r="G193" t="inlineStr">
        <is>
          <t>VANSBRO</t>
        </is>
      </c>
      <c r="H193" t="inlineStr">
        <is>
          <t>Bergvik skog öst AB</t>
        </is>
      </c>
      <c r="I193" t="n">
        <v>1.2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54342-2025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45965</v>
      </c>
      <c r="E194" s="1" t="n">
        <v>46313</v>
      </c>
      <c r="F194" t="inlineStr">
        <is>
          <t>DALARNAS LÄN</t>
        </is>
      </c>
      <c r="G194" t="inlineStr">
        <is>
          <t>VANSBRO</t>
        </is>
      </c>
      <c r="H194" t="inlineStr">
        <is>
          <t>Bergvik skog väst AB</t>
        </is>
      </c>
      <c r="I194" t="n">
        <v>2.4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54579-2025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45965</v>
      </c>
      <c r="E195" s="1" t="n">
        <v>46313</v>
      </c>
      <c r="F195" t="inlineStr">
        <is>
          <t>DALARNAS LÄN</t>
        </is>
      </c>
      <c r="G195" t="inlineStr">
        <is>
          <t>VANSBRO</t>
        </is>
      </c>
      <c r="H195" t="inlineStr">
        <is>
          <t>Bergvik skog väst AB</t>
        </is>
      </c>
      <c r="I195" t="n">
        <v>2.3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54591-2025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45965</v>
      </c>
      <c r="E196" s="1" t="n">
        <v>46313</v>
      </c>
      <c r="F196" t="inlineStr">
        <is>
          <t>DALARNAS LÄN</t>
        </is>
      </c>
      <c r="G196" t="inlineStr">
        <is>
          <t>VANSBRO</t>
        </is>
      </c>
      <c r="H196" t="inlineStr">
        <is>
          <t>Bergvik skog väst AB</t>
        </is>
      </c>
      <c r="I196" t="n">
        <v>8.4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50533-2024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45601</v>
      </c>
      <c r="E197" s="1" t="n">
        <v>46313</v>
      </c>
      <c r="F197" t="inlineStr">
        <is>
          <t>DALARNAS LÄN</t>
        </is>
      </c>
      <c r="G197" t="inlineStr">
        <is>
          <t>VANSBRO</t>
        </is>
      </c>
      <c r="I197" t="n">
        <v>1.1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54736-2025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45966</v>
      </c>
      <c r="E198" s="1" t="n">
        <v>46313</v>
      </c>
      <c r="F198" t="inlineStr">
        <is>
          <t>DALARNAS LÄN</t>
        </is>
      </c>
      <c r="G198" t="inlineStr">
        <is>
          <t>VANSBRO</t>
        </is>
      </c>
      <c r="I198" t="n">
        <v>1.5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55767-2025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45972</v>
      </c>
      <c r="E199" s="1" t="n">
        <v>46313</v>
      </c>
      <c r="F199" t="inlineStr">
        <is>
          <t>DALARNAS LÄN</t>
        </is>
      </c>
      <c r="G199" t="inlineStr">
        <is>
          <t>VANSBRO</t>
        </is>
      </c>
      <c r="H199" t="inlineStr">
        <is>
          <t>Bergvik skog väst AB</t>
        </is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9298-2023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44980</v>
      </c>
      <c r="E200" s="1" t="n">
        <v>46313</v>
      </c>
      <c r="F200" t="inlineStr">
        <is>
          <t>DALARNAS LÄN</t>
        </is>
      </c>
      <c r="G200" t="inlineStr">
        <is>
          <t>VANSBRO</t>
        </is>
      </c>
      <c r="H200" t="inlineStr">
        <is>
          <t>Bergvik skog väst AB</t>
        </is>
      </c>
      <c r="I200" t="n">
        <v>0.6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56280-2025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45974</v>
      </c>
      <c r="E201" s="1" t="n">
        <v>46313</v>
      </c>
      <c r="F201" t="inlineStr">
        <is>
          <t>DALARNAS LÄN</t>
        </is>
      </c>
      <c r="G201" t="inlineStr">
        <is>
          <t>VANSBRO</t>
        </is>
      </c>
      <c r="I201" t="n">
        <v>1.4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5386-2024</t>
        </is>
      </c>
      <c r="B202" t="inlineStr">
        <is>
          <t>avverkningsanmälan</t>
        </is>
      </c>
      <c r="C202" t="inlineStr">
        <is>
          <t>Avverkning för annat ändamål</t>
        </is>
      </c>
      <c r="D202" s="1" t="n">
        <v>45331</v>
      </c>
      <c r="E202" s="1" t="n">
        <v>46313</v>
      </c>
      <c r="F202" t="inlineStr">
        <is>
          <t>DALARNAS LÄN</t>
        </is>
      </c>
      <c r="G202" t="inlineStr">
        <is>
          <t>VANSBRO</t>
        </is>
      </c>
      <c r="I202" t="n">
        <v>11.4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8447-2022</t>
        </is>
      </c>
      <c r="B203" t="inlineStr">
        <is>
          <t>avverkningsanmälan</t>
        </is>
      </c>
      <c r="C203" t="inlineStr">
        <is>
          <t>Avverkning för annat ändamål</t>
        </is>
      </c>
      <c r="D203" s="1" t="n">
        <v>44612</v>
      </c>
      <c r="E203" s="1" t="n">
        <v>46313</v>
      </c>
      <c r="F203" t="inlineStr">
        <is>
          <t>DALARNAS LÄN</t>
        </is>
      </c>
      <c r="G203" t="inlineStr">
        <is>
          <t>VANSBRO</t>
        </is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5017-2025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45691</v>
      </c>
      <c r="E204" s="1" t="n">
        <v>46313</v>
      </c>
      <c r="F204" t="inlineStr">
        <is>
          <t>DALARNAS LÄN</t>
        </is>
      </c>
      <c r="G204" t="inlineStr">
        <is>
          <t>VANSBRO</t>
        </is>
      </c>
      <c r="I204" t="n">
        <v>2.2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57255-2025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45979</v>
      </c>
      <c r="E205" s="1" t="n">
        <v>46313</v>
      </c>
      <c r="F205" t="inlineStr">
        <is>
          <t>DALARNAS LÄN</t>
        </is>
      </c>
      <c r="G205" t="inlineStr">
        <is>
          <t>VANSBRO</t>
        </is>
      </c>
      <c r="H205" t="inlineStr">
        <is>
          <t>Bergvik skog väst AB</t>
        </is>
      </c>
      <c r="I205" t="n">
        <v>2.6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23752-2026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46164</v>
      </c>
      <c r="E206" s="1" t="n">
        <v>46313</v>
      </c>
      <c r="F206" t="inlineStr">
        <is>
          <t>DALARNAS LÄN</t>
        </is>
      </c>
      <c r="G206" t="inlineStr">
        <is>
          <t>VANSBRO</t>
        </is>
      </c>
      <c r="H206" t="inlineStr">
        <is>
          <t>Bergvik skog öst AB</t>
        </is>
      </c>
      <c r="I206" t="n">
        <v>2.9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57716-2025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45981</v>
      </c>
      <c r="E207" s="1" t="n">
        <v>46313</v>
      </c>
      <c r="F207" t="inlineStr">
        <is>
          <t>DALARNAS LÄN</t>
        </is>
      </c>
      <c r="G207" t="inlineStr">
        <is>
          <t>VANSBRO</t>
        </is>
      </c>
      <c r="H207" t="inlineStr">
        <is>
          <t>Bergvik skog väst AB</t>
        </is>
      </c>
      <c r="I207" t="n">
        <v>5.1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23780-2026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46164</v>
      </c>
      <c r="E208" s="1" t="n">
        <v>46313</v>
      </c>
      <c r="F208" t="inlineStr">
        <is>
          <t>DALARNAS LÄN</t>
        </is>
      </c>
      <c r="G208" t="inlineStr">
        <is>
          <t>VANSBRO</t>
        </is>
      </c>
      <c r="H208" t="inlineStr">
        <is>
          <t>Bergvik skog öst AB</t>
        </is>
      </c>
      <c r="I208" t="n">
        <v>0.9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3843-2024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45322</v>
      </c>
      <c r="E209" s="1" t="n">
        <v>46313</v>
      </c>
      <c r="F209" t="inlineStr">
        <is>
          <t>DALARNAS LÄN</t>
        </is>
      </c>
      <c r="G209" t="inlineStr">
        <is>
          <t>VANSBRO</t>
        </is>
      </c>
      <c r="I209" t="n">
        <v>1.5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49509-2024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45596</v>
      </c>
      <c r="E210" s="1" t="n">
        <v>46313</v>
      </c>
      <c r="F210" t="inlineStr">
        <is>
          <t>DALARNAS LÄN</t>
        </is>
      </c>
      <c r="G210" t="inlineStr">
        <is>
          <t>VANSBRO</t>
        </is>
      </c>
      <c r="I210" t="n">
        <v>0.5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58733-2025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45986</v>
      </c>
      <c r="E211" s="1" t="n">
        <v>46313</v>
      </c>
      <c r="F211" t="inlineStr">
        <is>
          <t>DALARNAS LÄN</t>
        </is>
      </c>
      <c r="G211" t="inlineStr">
        <is>
          <t>VANSBRO</t>
        </is>
      </c>
      <c r="H211" t="inlineStr">
        <is>
          <t>Bergvik skog väst AB</t>
        </is>
      </c>
      <c r="I211" t="n">
        <v>2.4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2086-2024</t>
        </is>
      </c>
      <c r="B212" t="inlineStr">
        <is>
          <t>avverkningsanmälan</t>
        </is>
      </c>
      <c r="C212" t="inlineStr">
        <is>
          <t>Avverkning för annat ändamål</t>
        </is>
      </c>
      <c r="D212" s="1" t="n">
        <v>45309</v>
      </c>
      <c r="E212" s="1" t="n">
        <v>46313</v>
      </c>
      <c r="F212" t="inlineStr">
        <is>
          <t>DALARNAS LÄN</t>
        </is>
      </c>
      <c r="G212" t="inlineStr">
        <is>
          <t>VANSBRO</t>
        </is>
      </c>
      <c r="I212" t="n">
        <v>0.4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58874-2025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45987</v>
      </c>
      <c r="E213" s="1" t="n">
        <v>46313</v>
      </c>
      <c r="F213" t="inlineStr">
        <is>
          <t>DALARNAS LÄN</t>
        </is>
      </c>
      <c r="G213" t="inlineStr">
        <is>
          <t>VANSBRO</t>
        </is>
      </c>
      <c r="H213" t="inlineStr">
        <is>
          <t>Bergvik skog väst AB</t>
        </is>
      </c>
      <c r="I213" t="n">
        <v>6.9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40383-2023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45169</v>
      </c>
      <c r="E214" s="1" t="n">
        <v>46313</v>
      </c>
      <c r="F214" t="inlineStr">
        <is>
          <t>DALARNAS LÄN</t>
        </is>
      </c>
      <c r="G214" t="inlineStr">
        <is>
          <t>VANSBRO</t>
        </is>
      </c>
      <c r="I214" t="n">
        <v>3.6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27089-2024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45471</v>
      </c>
      <c r="E215" s="1" t="n">
        <v>46313</v>
      </c>
      <c r="F215" t="inlineStr">
        <is>
          <t>DALARNAS LÄN</t>
        </is>
      </c>
      <c r="G215" t="inlineStr">
        <is>
          <t>VANSBRO</t>
        </is>
      </c>
      <c r="I215" t="n">
        <v>1.9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63816-2021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44509</v>
      </c>
      <c r="E216" s="1" t="n">
        <v>46313</v>
      </c>
      <c r="F216" t="inlineStr">
        <is>
          <t>DALARNAS LÄN</t>
        </is>
      </c>
      <c r="G216" t="inlineStr">
        <is>
          <t>VANSBRO</t>
        </is>
      </c>
      <c r="H216" t="inlineStr">
        <is>
          <t>Bergvik skog väst AB</t>
        </is>
      </c>
      <c r="I216" t="n">
        <v>17.6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8793-2025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45712</v>
      </c>
      <c r="E217" s="1" t="n">
        <v>46313</v>
      </c>
      <c r="F217" t="inlineStr">
        <is>
          <t>DALARNAS LÄN</t>
        </is>
      </c>
      <c r="G217" t="inlineStr">
        <is>
          <t>VANSBRO</t>
        </is>
      </c>
      <c r="I217" t="n">
        <v>13.8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51400-2024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45604</v>
      </c>
      <c r="E218" s="1" t="n">
        <v>46313</v>
      </c>
      <c r="F218" t="inlineStr">
        <is>
          <t>DALARNAS LÄN</t>
        </is>
      </c>
      <c r="G218" t="inlineStr">
        <is>
          <t>VANSBRO</t>
        </is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60145-2025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45994</v>
      </c>
      <c r="E219" s="1" t="n">
        <v>46313</v>
      </c>
      <c r="F219" t="inlineStr">
        <is>
          <t>DALARNAS LÄN</t>
        </is>
      </c>
      <c r="G219" t="inlineStr">
        <is>
          <t>VANSBRO</t>
        </is>
      </c>
      <c r="I219" t="n">
        <v>9.1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6632-2023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44966</v>
      </c>
      <c r="E220" s="1" t="n">
        <v>46313</v>
      </c>
      <c r="F220" t="inlineStr">
        <is>
          <t>DALARNAS LÄN</t>
        </is>
      </c>
      <c r="G220" t="inlineStr">
        <is>
          <t>VANSBRO</t>
        </is>
      </c>
      <c r="I220" t="n">
        <v>0.8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28924-2024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45481</v>
      </c>
      <c r="E221" s="1" t="n">
        <v>46313</v>
      </c>
      <c r="F221" t="inlineStr">
        <is>
          <t>DALARNAS LÄN</t>
        </is>
      </c>
      <c r="G221" t="inlineStr">
        <is>
          <t>VANSBRO</t>
        </is>
      </c>
      <c r="I221" t="n">
        <v>1.1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61598-2025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46002</v>
      </c>
      <c r="E222" s="1" t="n">
        <v>46313</v>
      </c>
      <c r="F222" t="inlineStr">
        <is>
          <t>DALARNAS LÄN</t>
        </is>
      </c>
      <c r="G222" t="inlineStr">
        <is>
          <t>VANSBRO</t>
        </is>
      </c>
      <c r="I222" t="n">
        <v>4.7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24384-2024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45457</v>
      </c>
      <c r="E223" s="1" t="n">
        <v>46313</v>
      </c>
      <c r="F223" t="inlineStr">
        <is>
          <t>DALARNAS LÄN</t>
        </is>
      </c>
      <c r="G223" t="inlineStr">
        <is>
          <t>VANSBRO</t>
        </is>
      </c>
      <c r="I223" t="n">
        <v>6.5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25045-2026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46174</v>
      </c>
      <c r="E224" s="1" t="n">
        <v>46313</v>
      </c>
      <c r="F224" t="inlineStr">
        <is>
          <t>DALARNAS LÄN</t>
        </is>
      </c>
      <c r="G224" t="inlineStr">
        <is>
          <t>VANSBRO</t>
        </is>
      </c>
      <c r="H224" t="inlineStr">
        <is>
          <t>Bergvik skog öst AB</t>
        </is>
      </c>
      <c r="I224" t="n">
        <v>1.7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13062-2023</t>
        </is>
      </c>
      <c r="B225" t="inlineStr">
        <is>
          <t>avverkningsanmälan</t>
        </is>
      </c>
      <c r="C225" t="inlineStr">
        <is>
          <t>Avverkning för att bevara och utveckla /försöksver</t>
        </is>
      </c>
      <c r="D225" s="1" t="n">
        <v>45002</v>
      </c>
      <c r="E225" s="1" t="n">
        <v>46313</v>
      </c>
      <c r="F225" t="inlineStr">
        <is>
          <t>DALARNAS LÄN</t>
        </is>
      </c>
      <c r="G225" t="inlineStr">
        <is>
          <t>VANSBRO</t>
        </is>
      </c>
      <c r="H225" t="inlineStr">
        <is>
          <t>Övriga statliga verk och myndigheter</t>
        </is>
      </c>
      <c r="I225" t="n">
        <v>6.1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53498-2024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45614</v>
      </c>
      <c r="E226" s="1" t="n">
        <v>46313</v>
      </c>
      <c r="F226" t="inlineStr">
        <is>
          <t>DALARNAS LÄN</t>
        </is>
      </c>
      <c r="G226" t="inlineStr">
        <is>
          <t>VANSBRO</t>
        </is>
      </c>
      <c r="I226" t="n">
        <v>0.7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43139-2023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45183</v>
      </c>
      <c r="E227" s="1" t="n">
        <v>46313</v>
      </c>
      <c r="F227" t="inlineStr">
        <is>
          <t>DALARNAS LÄN</t>
        </is>
      </c>
      <c r="G227" t="inlineStr">
        <is>
          <t>VANSBRO</t>
        </is>
      </c>
      <c r="I227" t="n">
        <v>6.4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29492-2023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45106</v>
      </c>
      <c r="E228" s="1" t="n">
        <v>46313</v>
      </c>
      <c r="F228" t="inlineStr">
        <is>
          <t>DALARNAS LÄN</t>
        </is>
      </c>
      <c r="G228" t="inlineStr">
        <is>
          <t>VANSBRO</t>
        </is>
      </c>
      <c r="H228" t="inlineStr">
        <is>
          <t>Bergvik skog väst AB</t>
        </is>
      </c>
      <c r="I228" t="n">
        <v>2.2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24277-2026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46169</v>
      </c>
      <c r="E229" s="1" t="n">
        <v>46313</v>
      </c>
      <c r="F229" t="inlineStr">
        <is>
          <t>DALARNAS LÄN</t>
        </is>
      </c>
      <c r="G229" t="inlineStr">
        <is>
          <t>VANSBRO</t>
        </is>
      </c>
      <c r="H229" t="inlineStr">
        <is>
          <t>Bergvik skog väst AB</t>
        </is>
      </c>
      <c r="I229" t="n">
        <v>1.4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1155-2026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46031</v>
      </c>
      <c r="E230" s="1" t="n">
        <v>46313</v>
      </c>
      <c r="F230" t="inlineStr">
        <is>
          <t>DALARNAS LÄN</t>
        </is>
      </c>
      <c r="G230" t="inlineStr">
        <is>
          <t>VANSBRO</t>
        </is>
      </c>
      <c r="H230" t="inlineStr">
        <is>
          <t>Bergvik skog öst AB</t>
        </is>
      </c>
      <c r="I230" t="n">
        <v>2.8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62398-2021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44503</v>
      </c>
      <c r="E231" s="1" t="n">
        <v>46313</v>
      </c>
      <c r="F231" t="inlineStr">
        <is>
          <t>DALARNAS LÄN</t>
        </is>
      </c>
      <c r="G231" t="inlineStr">
        <is>
          <t>VANSBRO</t>
        </is>
      </c>
      <c r="H231" t="inlineStr">
        <is>
          <t>Bergvik skog öst AB</t>
        </is>
      </c>
      <c r="I231" t="n">
        <v>22.1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1472-2026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46033</v>
      </c>
      <c r="E232" s="1" t="n">
        <v>46313</v>
      </c>
      <c r="F232" t="inlineStr">
        <is>
          <t>DALARNAS LÄN</t>
        </is>
      </c>
      <c r="G232" t="inlineStr">
        <is>
          <t>VANSBRO</t>
        </is>
      </c>
      <c r="I232" t="n">
        <v>9.9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2938-2024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45315</v>
      </c>
      <c r="E233" s="1" t="n">
        <v>46313</v>
      </c>
      <c r="F233" t="inlineStr">
        <is>
          <t>DALARNAS LÄN</t>
        </is>
      </c>
      <c r="G233" t="inlineStr">
        <is>
          <t>VANSBRO</t>
        </is>
      </c>
      <c r="I233" t="n">
        <v>0.7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2419-2026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46034</v>
      </c>
      <c r="E234" s="1" t="n">
        <v>46313</v>
      </c>
      <c r="F234" t="inlineStr">
        <is>
          <t>DALARNAS LÄN</t>
        </is>
      </c>
      <c r="G234" t="inlineStr">
        <is>
          <t>VANSBRO</t>
        </is>
      </c>
      <c r="I234" t="n">
        <v>6.9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2196-2026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46036</v>
      </c>
      <c r="E235" s="1" t="n">
        <v>46313</v>
      </c>
      <c r="F235" t="inlineStr">
        <is>
          <t>DALARNAS LÄN</t>
        </is>
      </c>
      <c r="G235" t="inlineStr">
        <is>
          <t>VANSBRO</t>
        </is>
      </c>
      <c r="I235" t="n">
        <v>1.1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2728-2026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46037</v>
      </c>
      <c r="E236" s="1" t="n">
        <v>46313</v>
      </c>
      <c r="F236" t="inlineStr">
        <is>
          <t>DALARNAS LÄN</t>
        </is>
      </c>
      <c r="G236" t="inlineStr">
        <is>
          <t>VANSBRO</t>
        </is>
      </c>
      <c r="I236" t="n">
        <v>6.5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48111-2024</t>
        </is>
      </c>
      <c r="B237" t="inlineStr">
        <is>
          <t>avverkningsanmälan</t>
        </is>
      </c>
      <c r="C237" t="inlineStr">
        <is>
          <t>Avverkning för annat ändamål</t>
        </is>
      </c>
      <c r="D237" s="1" t="n">
        <v>45589</v>
      </c>
      <c r="E237" s="1" t="n">
        <v>46313</v>
      </c>
      <c r="F237" t="inlineStr">
        <is>
          <t>DALARNAS LÄN</t>
        </is>
      </c>
      <c r="G237" t="inlineStr">
        <is>
          <t>VANSBRO</t>
        </is>
      </c>
      <c r="I237" t="n">
        <v>0.2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3422-2026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46042</v>
      </c>
      <c r="E238" s="1" t="n">
        <v>46313</v>
      </c>
      <c r="F238" t="inlineStr">
        <is>
          <t>DALARNAS LÄN</t>
        </is>
      </c>
      <c r="G238" t="inlineStr">
        <is>
          <t>VANSBRO</t>
        </is>
      </c>
      <c r="I238" t="n">
        <v>2.9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5477-2023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44960</v>
      </c>
      <c r="E239" s="1" t="n">
        <v>46313</v>
      </c>
      <c r="F239" t="inlineStr">
        <is>
          <t>DALARNAS LÄN</t>
        </is>
      </c>
      <c r="G239" t="inlineStr">
        <is>
          <t>VANSBRO</t>
        </is>
      </c>
      <c r="I239" t="n">
        <v>0.5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4027-2026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46044</v>
      </c>
      <c r="E240" s="1" t="n">
        <v>46313</v>
      </c>
      <c r="F240" t="inlineStr">
        <is>
          <t>DALARNAS LÄN</t>
        </is>
      </c>
      <c r="G240" t="inlineStr">
        <is>
          <t>VANSBRO</t>
        </is>
      </c>
      <c r="I240" t="n">
        <v>0.8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4998-2026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46049</v>
      </c>
      <c r="E241" s="1" t="n">
        <v>46313</v>
      </c>
      <c r="F241" t="inlineStr">
        <is>
          <t>DALARNAS LÄN</t>
        </is>
      </c>
      <c r="G241" t="inlineStr">
        <is>
          <t>VANSBRO</t>
        </is>
      </c>
      <c r="H241" t="inlineStr">
        <is>
          <t>Bergvik skog väst AB</t>
        </is>
      </c>
      <c r="I241" t="n">
        <v>5.7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4937-2026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46048</v>
      </c>
      <c r="E242" s="1" t="n">
        <v>46313</v>
      </c>
      <c r="F242" t="inlineStr">
        <is>
          <t>DALARNAS LÄN</t>
        </is>
      </c>
      <c r="G242" t="inlineStr">
        <is>
          <t>VANSBRO</t>
        </is>
      </c>
      <c r="I242" t="n">
        <v>0.5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4970-2026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46049</v>
      </c>
      <c r="E243" s="1" t="n">
        <v>46313</v>
      </c>
      <c r="F243" t="inlineStr">
        <is>
          <t>DALARNAS LÄN</t>
        </is>
      </c>
      <c r="G243" t="inlineStr">
        <is>
          <t>VANSBRO</t>
        </is>
      </c>
      <c r="H243" t="inlineStr">
        <is>
          <t>Bergvik skog väst AB</t>
        </is>
      </c>
      <c r="I243" t="n">
        <v>1.8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5747-2026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46051</v>
      </c>
      <c r="E244" s="1" t="n">
        <v>46313</v>
      </c>
      <c r="F244" t="inlineStr">
        <is>
          <t>DALARNAS LÄN</t>
        </is>
      </c>
      <c r="G244" t="inlineStr">
        <is>
          <t>VANSBRO</t>
        </is>
      </c>
      <c r="H244" t="inlineStr">
        <is>
          <t>Bergvik skog väst AB</t>
        </is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5335-2026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46050</v>
      </c>
      <c r="E245" s="1" t="n">
        <v>46313</v>
      </c>
      <c r="F245" t="inlineStr">
        <is>
          <t>DALARNAS LÄN</t>
        </is>
      </c>
      <c r="G245" t="inlineStr">
        <is>
          <t>VANSBRO</t>
        </is>
      </c>
      <c r="I245" t="n">
        <v>0.7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47824-2023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45204</v>
      </c>
      <c r="E246" s="1" t="n">
        <v>46313</v>
      </c>
      <c r="F246" t="inlineStr">
        <is>
          <t>DALARNAS LÄN</t>
        </is>
      </c>
      <c r="G246" t="inlineStr">
        <is>
          <t>VANSBRO</t>
        </is>
      </c>
      <c r="I246" t="n">
        <v>2.1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24982-2023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45085</v>
      </c>
      <c r="E247" s="1" t="n">
        <v>46313</v>
      </c>
      <c r="F247" t="inlineStr">
        <is>
          <t>DALARNAS LÄN</t>
        </is>
      </c>
      <c r="G247" t="inlineStr">
        <is>
          <t>VANSBRO</t>
        </is>
      </c>
      <c r="I247" t="n">
        <v>1.1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6076-2026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46052</v>
      </c>
      <c r="E248" s="1" t="n">
        <v>46313</v>
      </c>
      <c r="F248" t="inlineStr">
        <is>
          <t>DALARNAS LÄN</t>
        </is>
      </c>
      <c r="G248" t="inlineStr">
        <is>
          <t>VANSBRO</t>
        </is>
      </c>
      <c r="I248" t="n">
        <v>8.5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25958-2026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46181</v>
      </c>
      <c r="E249" s="1" t="n">
        <v>46313</v>
      </c>
      <c r="F249" t="inlineStr">
        <is>
          <t>DALARNAS LÄN</t>
        </is>
      </c>
      <c r="G249" t="inlineStr">
        <is>
          <t>VANSBRO</t>
        </is>
      </c>
      <c r="H249" t="inlineStr">
        <is>
          <t>Bergvik skog väst AB</t>
        </is>
      </c>
      <c r="I249" t="n">
        <v>0.8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26542-2026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46183</v>
      </c>
      <c r="E250" s="1" t="n">
        <v>46313</v>
      </c>
      <c r="F250" t="inlineStr">
        <is>
          <t>DALARNAS LÄN</t>
        </is>
      </c>
      <c r="G250" t="inlineStr">
        <is>
          <t>VANSBRO</t>
        </is>
      </c>
      <c r="H250" t="inlineStr">
        <is>
          <t>Bergvik skog väst AB</t>
        </is>
      </c>
      <c r="I250" t="n">
        <v>1.6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7014-2026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46057</v>
      </c>
      <c r="E251" s="1" t="n">
        <v>46313</v>
      </c>
      <c r="F251" t="inlineStr">
        <is>
          <t>DALARNAS LÄN</t>
        </is>
      </c>
      <c r="G251" t="inlineStr">
        <is>
          <t>VANSBRO</t>
        </is>
      </c>
      <c r="I251" t="n">
        <v>2.5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7259-2026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46058</v>
      </c>
      <c r="E252" s="1" t="n">
        <v>46313</v>
      </c>
      <c r="F252" t="inlineStr">
        <is>
          <t>DALARNAS LÄN</t>
        </is>
      </c>
      <c r="G252" t="inlineStr">
        <is>
          <t>VANSBRO</t>
        </is>
      </c>
      <c r="I252" t="n">
        <v>2.7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46466-2024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45582</v>
      </c>
      <c r="E253" s="1" t="n">
        <v>46313</v>
      </c>
      <c r="F253" t="inlineStr">
        <is>
          <t>DALARNAS LÄN</t>
        </is>
      </c>
      <c r="G253" t="inlineStr">
        <is>
          <t>VANSBRO</t>
        </is>
      </c>
      <c r="I253" t="n">
        <v>1.3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7236-2026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46058</v>
      </c>
      <c r="E254" s="1" t="n">
        <v>46313</v>
      </c>
      <c r="F254" t="inlineStr">
        <is>
          <t>DALARNAS LÄN</t>
        </is>
      </c>
      <c r="G254" t="inlineStr">
        <is>
          <t>VANSBRO</t>
        </is>
      </c>
      <c r="I254" t="n">
        <v>0.7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7779-2026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46062</v>
      </c>
      <c r="E255" s="1" t="n">
        <v>46313</v>
      </c>
      <c r="F255" t="inlineStr">
        <is>
          <t>DALARNAS LÄN</t>
        </is>
      </c>
      <c r="G255" t="inlineStr">
        <is>
          <t>VANSBRO</t>
        </is>
      </c>
      <c r="I255" t="n">
        <v>1.3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3258-2026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46041</v>
      </c>
      <c r="E256" s="1" t="n">
        <v>46313</v>
      </c>
      <c r="F256" t="inlineStr">
        <is>
          <t>DALARNAS LÄN</t>
        </is>
      </c>
      <c r="G256" t="inlineStr">
        <is>
          <t>VANSBRO</t>
        </is>
      </c>
      <c r="I256" t="n">
        <v>15.1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26689-2026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46184</v>
      </c>
      <c r="E257" s="1" t="n">
        <v>46313</v>
      </c>
      <c r="F257" t="inlineStr">
        <is>
          <t>DALARNAS LÄN</t>
        </is>
      </c>
      <c r="G257" t="inlineStr">
        <is>
          <t>VANSBRO</t>
        </is>
      </c>
      <c r="H257" t="inlineStr">
        <is>
          <t>Övriga statliga verk och myndigheter</t>
        </is>
      </c>
      <c r="I257" t="n">
        <v>6.9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1140-2025</t>
        </is>
      </c>
      <c r="B258" t="inlineStr">
        <is>
          <t>avverkningsanmälan</t>
        </is>
      </c>
      <c r="C258" t="inlineStr">
        <is>
          <t>Avverkning för annat ändamål</t>
        </is>
      </c>
      <c r="D258" s="1" t="n">
        <v>45666</v>
      </c>
      <c r="E258" s="1" t="n">
        <v>46313</v>
      </c>
      <c r="F258" t="inlineStr">
        <is>
          <t>DALARNAS LÄN</t>
        </is>
      </c>
      <c r="G258" t="inlineStr">
        <is>
          <t>VANSBRO</t>
        </is>
      </c>
      <c r="I258" t="n">
        <v>0.8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64072-2025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46021</v>
      </c>
      <c r="E259" s="1" t="n">
        <v>46313</v>
      </c>
      <c r="F259" t="inlineStr">
        <is>
          <t>DALARNAS LÄN</t>
        </is>
      </c>
      <c r="G259" t="inlineStr">
        <is>
          <t>VANSBRO</t>
        </is>
      </c>
      <c r="I259" t="n">
        <v>19.1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56269-2023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45240</v>
      </c>
      <c r="E260" s="1" t="n">
        <v>46313</v>
      </c>
      <c r="F260" t="inlineStr">
        <is>
          <t>DALARNAS LÄN</t>
        </is>
      </c>
      <c r="G260" t="inlineStr">
        <is>
          <t>VANSBRO</t>
        </is>
      </c>
      <c r="I260" t="n">
        <v>1.2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59856-2024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45639</v>
      </c>
      <c r="E261" s="1" t="n">
        <v>46313</v>
      </c>
      <c r="F261" t="inlineStr">
        <is>
          <t>DALARNAS LÄN</t>
        </is>
      </c>
      <c r="G261" t="inlineStr">
        <is>
          <t>VANSBRO</t>
        </is>
      </c>
      <c r="I261" t="n">
        <v>6.1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2190-2025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45673</v>
      </c>
      <c r="E262" s="1" t="n">
        <v>46313</v>
      </c>
      <c r="F262" t="inlineStr">
        <is>
          <t>DALARNAS LÄN</t>
        </is>
      </c>
      <c r="G262" t="inlineStr">
        <is>
          <t>VANSBRO</t>
        </is>
      </c>
      <c r="I262" t="n">
        <v>3.3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25916-2022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44734</v>
      </c>
      <c r="E263" s="1" t="n">
        <v>46313</v>
      </c>
      <c r="F263" t="inlineStr">
        <is>
          <t>DALARNAS LÄN</t>
        </is>
      </c>
      <c r="G263" t="inlineStr">
        <is>
          <t>VANSBRO</t>
        </is>
      </c>
      <c r="I263" t="n">
        <v>0.6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9417-2026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46071</v>
      </c>
      <c r="E264" s="1" t="n">
        <v>46313</v>
      </c>
      <c r="F264" t="inlineStr">
        <is>
          <t>DALARNAS LÄN</t>
        </is>
      </c>
      <c r="G264" t="inlineStr">
        <is>
          <t>VANSBRO</t>
        </is>
      </c>
      <c r="I264" t="n">
        <v>3.3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27334-2026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46188</v>
      </c>
      <c r="E265" s="1" t="n">
        <v>46313</v>
      </c>
      <c r="F265" t="inlineStr">
        <is>
          <t>DALARNAS LÄN</t>
        </is>
      </c>
      <c r="G265" t="inlineStr">
        <is>
          <t>VANSBRO</t>
        </is>
      </c>
      <c r="H265" t="inlineStr">
        <is>
          <t>Bergvik skog väst AB</t>
        </is>
      </c>
      <c r="I265" t="n">
        <v>1.4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27195-2026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46188</v>
      </c>
      <c r="E266" s="1" t="n">
        <v>46313</v>
      </c>
      <c r="F266" t="inlineStr">
        <is>
          <t>DALARNAS LÄN</t>
        </is>
      </c>
      <c r="G266" t="inlineStr">
        <is>
          <t>VANSBRO</t>
        </is>
      </c>
      <c r="H266" t="inlineStr">
        <is>
          <t>Bergvik skog väst AB</t>
        </is>
      </c>
      <c r="I266" t="n">
        <v>6.2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27344-2026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46188</v>
      </c>
      <c r="E267" s="1" t="n">
        <v>46313</v>
      </c>
      <c r="F267" t="inlineStr">
        <is>
          <t>DALARNAS LÄN</t>
        </is>
      </c>
      <c r="G267" t="inlineStr">
        <is>
          <t>VANSBRO</t>
        </is>
      </c>
      <c r="H267" t="inlineStr">
        <is>
          <t>Bergvik skog väst AB</t>
        </is>
      </c>
      <c r="I267" t="n">
        <v>2.5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11603-2026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46084</v>
      </c>
      <c r="E268" s="1" t="n">
        <v>46313</v>
      </c>
      <c r="F268" t="inlineStr">
        <is>
          <t>DALARNAS LÄN</t>
        </is>
      </c>
      <c r="G268" t="inlineStr">
        <is>
          <t>VANSBRO</t>
        </is>
      </c>
      <c r="I268" t="n">
        <v>1.9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11349-2026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46082</v>
      </c>
      <c r="E269" s="1" t="n">
        <v>46313</v>
      </c>
      <c r="F269" t="inlineStr">
        <is>
          <t>DALARNAS LÄN</t>
        </is>
      </c>
      <c r="G269" t="inlineStr">
        <is>
          <t>VANSBRO</t>
        </is>
      </c>
      <c r="I269" t="n">
        <v>0.7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11350-2026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46082</v>
      </c>
      <c r="E270" s="1" t="n">
        <v>46313</v>
      </c>
      <c r="F270" t="inlineStr">
        <is>
          <t>DALARNAS LÄN</t>
        </is>
      </c>
      <c r="G270" t="inlineStr">
        <is>
          <t>VANSBRO</t>
        </is>
      </c>
      <c r="I270" t="n">
        <v>1.9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27629-2026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46190</v>
      </c>
      <c r="E271" s="1" t="n">
        <v>46313</v>
      </c>
      <c r="F271" t="inlineStr">
        <is>
          <t>DALARNAS LÄN</t>
        </is>
      </c>
      <c r="G271" t="inlineStr">
        <is>
          <t>VANSBRO</t>
        </is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12475-2026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46090</v>
      </c>
      <c r="E272" s="1" t="n">
        <v>46313</v>
      </c>
      <c r="F272" t="inlineStr">
        <is>
          <t>DALARNAS LÄN</t>
        </is>
      </c>
      <c r="G272" t="inlineStr">
        <is>
          <t>VANSBRO</t>
        </is>
      </c>
      <c r="I272" t="n">
        <v>0.9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72635-2021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44546</v>
      </c>
      <c r="E273" s="1" t="n">
        <v>46313</v>
      </c>
      <c r="F273" t="inlineStr">
        <is>
          <t>DALARNAS LÄN</t>
        </is>
      </c>
      <c r="G273" t="inlineStr">
        <is>
          <t>VANSBRO</t>
        </is>
      </c>
      <c r="H273" t="inlineStr">
        <is>
          <t>Bergvik skog väst AB</t>
        </is>
      </c>
      <c r="I273" t="n">
        <v>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27631-2026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46190</v>
      </c>
      <c r="E274" s="1" t="n">
        <v>46313</v>
      </c>
      <c r="F274" t="inlineStr">
        <is>
          <t>DALARNAS LÄN</t>
        </is>
      </c>
      <c r="G274" t="inlineStr">
        <is>
          <t>VANSBRO</t>
        </is>
      </c>
      <c r="I274" t="n">
        <v>0.3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35699-2023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45147</v>
      </c>
      <c r="E275" s="1" t="n">
        <v>46313</v>
      </c>
      <c r="F275" t="inlineStr">
        <is>
          <t>DALARNAS LÄN</t>
        </is>
      </c>
      <c r="G275" t="inlineStr">
        <is>
          <t>VANSBRO</t>
        </is>
      </c>
      <c r="I275" t="n">
        <v>0.3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43658-2023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45187</v>
      </c>
      <c r="E276" s="1" t="n">
        <v>46313</v>
      </c>
      <c r="F276" t="inlineStr">
        <is>
          <t>DALARNAS LÄN</t>
        </is>
      </c>
      <c r="G276" t="inlineStr">
        <is>
          <t>VANSBRO</t>
        </is>
      </c>
      <c r="I276" t="n">
        <v>7.8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26669-2026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46184</v>
      </c>
      <c r="E277" s="1" t="n">
        <v>46313</v>
      </c>
      <c r="F277" t="inlineStr">
        <is>
          <t>DALARNAS LÄN</t>
        </is>
      </c>
      <c r="G277" t="inlineStr">
        <is>
          <t>VANSBRO</t>
        </is>
      </c>
      <c r="H277" t="inlineStr">
        <is>
          <t>Bergvik skog väst AB</t>
        </is>
      </c>
      <c r="I277" t="n">
        <v>6.5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27242-2026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46188</v>
      </c>
      <c r="E278" s="1" t="n">
        <v>46313</v>
      </c>
      <c r="F278" t="inlineStr">
        <is>
          <t>DALARNAS LÄN</t>
        </is>
      </c>
      <c r="G278" t="inlineStr">
        <is>
          <t>VANSBRO</t>
        </is>
      </c>
      <c r="H278" t="inlineStr">
        <is>
          <t>Bergvik skog väst AB</t>
        </is>
      </c>
      <c r="I278" t="n">
        <v>10.5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27117-2026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46188</v>
      </c>
      <c r="E279" s="1" t="n">
        <v>46313</v>
      </c>
      <c r="F279" t="inlineStr">
        <is>
          <t>DALARNAS LÄN</t>
        </is>
      </c>
      <c r="G279" t="inlineStr">
        <is>
          <t>VANSBRO</t>
        </is>
      </c>
      <c r="H279" t="inlineStr">
        <is>
          <t>Bergvik skog väst AB</t>
        </is>
      </c>
      <c r="I279" t="n">
        <v>1.9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13392-2026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46094</v>
      </c>
      <c r="E280" s="1" t="n">
        <v>46313</v>
      </c>
      <c r="F280" t="inlineStr">
        <is>
          <t>DALARNAS LÄN</t>
        </is>
      </c>
      <c r="G280" t="inlineStr">
        <is>
          <t>VANSBRO</t>
        </is>
      </c>
      <c r="H280" t="inlineStr">
        <is>
          <t>Bergvik skog väst AB</t>
        </is>
      </c>
      <c r="I280" t="n">
        <v>1.2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13495-2026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46094</v>
      </c>
      <c r="E281" s="1" t="n">
        <v>46313</v>
      </c>
      <c r="F281" t="inlineStr">
        <is>
          <t>DALARNAS LÄN</t>
        </is>
      </c>
      <c r="G281" t="inlineStr">
        <is>
          <t>VANSBRO</t>
        </is>
      </c>
      <c r="I281" t="n">
        <v>4.8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13403-2026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46094</v>
      </c>
      <c r="E282" s="1" t="n">
        <v>46313</v>
      </c>
      <c r="F282" t="inlineStr">
        <is>
          <t>DALARNAS LÄN</t>
        </is>
      </c>
      <c r="G282" t="inlineStr">
        <is>
          <t>VANSBRO</t>
        </is>
      </c>
      <c r="H282" t="inlineStr">
        <is>
          <t>Bergvik skog väst AB</t>
        </is>
      </c>
      <c r="I282" t="n">
        <v>2.5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27937-2026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46191</v>
      </c>
      <c r="E283" s="1" t="n">
        <v>46313</v>
      </c>
      <c r="F283" t="inlineStr">
        <is>
          <t>DALARNAS LÄN</t>
        </is>
      </c>
      <c r="G283" t="inlineStr">
        <is>
          <t>VANSBRO</t>
        </is>
      </c>
      <c r="H283" t="inlineStr">
        <is>
          <t>Bergvik skog öst AB</t>
        </is>
      </c>
      <c r="I283" t="n">
        <v>3.6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13506-2026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46094</v>
      </c>
      <c r="E284" s="1" t="n">
        <v>46313</v>
      </c>
      <c r="F284" t="inlineStr">
        <is>
          <t>DALARNAS LÄN</t>
        </is>
      </c>
      <c r="G284" t="inlineStr">
        <is>
          <t>VANSBRO</t>
        </is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39336-2023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45166</v>
      </c>
      <c r="E285" s="1" t="n">
        <v>46313</v>
      </c>
      <c r="F285" t="inlineStr">
        <is>
          <t>DALARNAS LÄN</t>
        </is>
      </c>
      <c r="G285" t="inlineStr">
        <is>
          <t>VANSBRO</t>
        </is>
      </c>
      <c r="I285" t="n">
        <v>1.6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12917-2026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46092</v>
      </c>
      <c r="E286" s="1" t="n">
        <v>46313</v>
      </c>
      <c r="F286" t="inlineStr">
        <is>
          <t>DALARNAS LÄN</t>
        </is>
      </c>
      <c r="G286" t="inlineStr">
        <is>
          <t>VANSBRO</t>
        </is>
      </c>
      <c r="I286" t="n">
        <v>4.9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60848-2024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45644</v>
      </c>
      <c r="E287" s="1" t="n">
        <v>46313</v>
      </c>
      <c r="F287" t="inlineStr">
        <is>
          <t>DALARNAS LÄN</t>
        </is>
      </c>
      <c r="G287" t="inlineStr">
        <is>
          <t>VANSBRO</t>
        </is>
      </c>
      <c r="I287" t="n">
        <v>2.9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28069-2026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46195</v>
      </c>
      <c r="E288" s="1" t="n">
        <v>46313</v>
      </c>
      <c r="F288" t="inlineStr">
        <is>
          <t>DALARNAS LÄN</t>
        </is>
      </c>
      <c r="G288" t="inlineStr">
        <is>
          <t>VANSBRO</t>
        </is>
      </c>
      <c r="H288" t="inlineStr">
        <is>
          <t>Bergvik skog väst AB</t>
        </is>
      </c>
      <c r="I288" t="n">
        <v>10.7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41290-2023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45174</v>
      </c>
      <c r="E289" s="1" t="n">
        <v>46313</v>
      </c>
      <c r="F289" t="inlineStr">
        <is>
          <t>DALARNAS LÄN</t>
        </is>
      </c>
      <c r="G289" t="inlineStr">
        <is>
          <t>VANSBRO</t>
        </is>
      </c>
      <c r="H289" t="inlineStr">
        <is>
          <t>Bergvik skog väst AB</t>
        </is>
      </c>
      <c r="I289" t="n">
        <v>3.9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15676-2026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46106</v>
      </c>
      <c r="E290" s="1" t="n">
        <v>46313</v>
      </c>
      <c r="F290" t="inlineStr">
        <is>
          <t>DALARNAS LÄN</t>
        </is>
      </c>
      <c r="G290" t="inlineStr">
        <is>
          <t>VANSBRO</t>
        </is>
      </c>
      <c r="I290" t="n">
        <v>1.5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26658-2022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44739</v>
      </c>
      <c r="E291" s="1" t="n">
        <v>46313</v>
      </c>
      <c r="F291" t="inlineStr">
        <is>
          <t>DALARNAS LÄN</t>
        </is>
      </c>
      <c r="G291" t="inlineStr">
        <is>
          <t>VANSBRO</t>
        </is>
      </c>
      <c r="H291" t="inlineStr">
        <is>
          <t>Bergvik skog väst AB</t>
        </is>
      </c>
      <c r="I291" t="n">
        <v>4.1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16134-2026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46108</v>
      </c>
      <c r="E292" s="1" t="n">
        <v>46313</v>
      </c>
      <c r="F292" t="inlineStr">
        <is>
          <t>DALARNAS LÄN</t>
        </is>
      </c>
      <c r="G292" t="inlineStr">
        <is>
          <t>VANSBRO</t>
        </is>
      </c>
      <c r="I292" t="n">
        <v>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16669-2026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46112</v>
      </c>
      <c r="E293" s="1" t="n">
        <v>46313</v>
      </c>
      <c r="F293" t="inlineStr">
        <is>
          <t>DALARNAS LÄN</t>
        </is>
      </c>
      <c r="G293" t="inlineStr">
        <is>
          <t>VANSBRO</t>
        </is>
      </c>
      <c r="H293" t="inlineStr">
        <is>
          <t>Bergvik skog väst AB</t>
        </is>
      </c>
      <c r="I293" t="n">
        <v>0.8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10012-2024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45363</v>
      </c>
      <c r="E294" s="1" t="n">
        <v>46313</v>
      </c>
      <c r="F294" t="inlineStr">
        <is>
          <t>DALARNAS LÄN</t>
        </is>
      </c>
      <c r="G294" t="inlineStr">
        <is>
          <t>VANSBRO</t>
        </is>
      </c>
      <c r="I294" t="n">
        <v>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16952-2026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46114</v>
      </c>
      <c r="E295" s="1" t="n">
        <v>46313</v>
      </c>
      <c r="F295" t="inlineStr">
        <is>
          <t>DALARNAS LÄN</t>
        </is>
      </c>
      <c r="G295" t="inlineStr">
        <is>
          <t>VANSBRO</t>
        </is>
      </c>
      <c r="I295" t="n">
        <v>1.8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28466-2026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46197</v>
      </c>
      <c r="E296" s="1" t="n">
        <v>46313</v>
      </c>
      <c r="F296" t="inlineStr">
        <is>
          <t>DALARNAS LÄN</t>
        </is>
      </c>
      <c r="G296" t="inlineStr">
        <is>
          <t>VANSBRO</t>
        </is>
      </c>
      <c r="H296" t="inlineStr">
        <is>
          <t>Bergvik skog öst AB</t>
        </is>
      </c>
      <c r="I296" t="n">
        <v>1.3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51396-2022</t>
        </is>
      </c>
      <c r="B297" t="inlineStr">
        <is>
          <t>avverkningsanmälan</t>
        </is>
      </c>
      <c r="C297" t="inlineStr">
        <is>
          <t>Avverkning för annat ändamål</t>
        </is>
      </c>
      <c r="D297" s="1" t="n">
        <v>44869</v>
      </c>
      <c r="E297" s="1" t="n">
        <v>46313</v>
      </c>
      <c r="F297" t="inlineStr">
        <is>
          <t>DALARNAS LÄN</t>
        </is>
      </c>
      <c r="G297" t="inlineStr">
        <is>
          <t>VANSBRO</t>
        </is>
      </c>
      <c r="I297" t="n">
        <v>1.6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16948-2026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46113</v>
      </c>
      <c r="E298" s="1" t="n">
        <v>46313</v>
      </c>
      <c r="F298" t="inlineStr">
        <is>
          <t>DALARNAS LÄN</t>
        </is>
      </c>
      <c r="G298" t="inlineStr">
        <is>
          <t>VANSBRO</t>
        </is>
      </c>
      <c r="I298" t="n">
        <v>2.3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17321-2026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46119</v>
      </c>
      <c r="E299" s="1" t="n">
        <v>46313</v>
      </c>
      <c r="F299" t="inlineStr">
        <is>
          <t>DALARNAS LÄN</t>
        </is>
      </c>
      <c r="G299" t="inlineStr">
        <is>
          <t>VANSBRO</t>
        </is>
      </c>
      <c r="H299" t="inlineStr">
        <is>
          <t>Bergvik skog väst AB</t>
        </is>
      </c>
      <c r="I299" t="n">
        <v>3.6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29035-2026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46199</v>
      </c>
      <c r="E300" s="1" t="n">
        <v>46313</v>
      </c>
      <c r="F300" t="inlineStr">
        <is>
          <t>DALARNAS LÄN</t>
        </is>
      </c>
      <c r="G300" t="inlineStr">
        <is>
          <t>VANSBRO</t>
        </is>
      </c>
      <c r="I300" t="n">
        <v>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17604-2026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46121</v>
      </c>
      <c r="E301" s="1" t="n">
        <v>46313</v>
      </c>
      <c r="F301" t="inlineStr">
        <is>
          <t>DALARNAS LÄN</t>
        </is>
      </c>
      <c r="G301" t="inlineStr">
        <is>
          <t>VANSBRO</t>
        </is>
      </c>
      <c r="I301" t="n">
        <v>0.5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17551-2026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46120</v>
      </c>
      <c r="E302" s="1" t="n">
        <v>46313</v>
      </c>
      <c r="F302" t="inlineStr">
        <is>
          <t>DALARNAS LÄN</t>
        </is>
      </c>
      <c r="G302" t="inlineStr">
        <is>
          <t>VANSBRO</t>
        </is>
      </c>
      <c r="I302" t="n">
        <v>2.8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17613-2026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46121</v>
      </c>
      <c r="E303" s="1" t="n">
        <v>46313</v>
      </c>
      <c r="F303" t="inlineStr">
        <is>
          <t>DALARNAS LÄN</t>
        </is>
      </c>
      <c r="G303" t="inlineStr">
        <is>
          <t>VANSBRO</t>
        </is>
      </c>
      <c r="I303" t="n">
        <v>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15972-2025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45749</v>
      </c>
      <c r="E304" s="1" t="n">
        <v>46313</v>
      </c>
      <c r="F304" t="inlineStr">
        <is>
          <t>DALARNAS LÄN</t>
        </is>
      </c>
      <c r="G304" t="inlineStr">
        <is>
          <t>VANSBRO</t>
        </is>
      </c>
      <c r="I304" t="n">
        <v>1.6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17552-2026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46120</v>
      </c>
      <c r="E305" s="1" t="n">
        <v>46313</v>
      </c>
      <c r="F305" t="inlineStr">
        <is>
          <t>DALARNAS LÄN</t>
        </is>
      </c>
      <c r="G305" t="inlineStr">
        <is>
          <t>VANSBRO</t>
        </is>
      </c>
      <c r="I305" t="n">
        <v>1.8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17609-2026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46121</v>
      </c>
      <c r="E306" s="1" t="n">
        <v>46313</v>
      </c>
      <c r="F306" t="inlineStr">
        <is>
          <t>DALARNAS LÄN</t>
        </is>
      </c>
      <c r="G306" t="inlineStr">
        <is>
          <t>VANSBRO</t>
        </is>
      </c>
      <c r="I306" t="n">
        <v>1.6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36855-2022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44805</v>
      </c>
      <c r="E307" s="1" t="n">
        <v>46313</v>
      </c>
      <c r="F307" t="inlineStr">
        <is>
          <t>DALARNAS LÄN</t>
        </is>
      </c>
      <c r="G307" t="inlineStr">
        <is>
          <t>VANSBRO</t>
        </is>
      </c>
      <c r="H307" t="inlineStr">
        <is>
          <t>Bergvik skog väst AB</t>
        </is>
      </c>
      <c r="I307" t="n">
        <v>5.6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17553-2026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46120</v>
      </c>
      <c r="E308" s="1" t="n">
        <v>46313</v>
      </c>
      <c r="F308" t="inlineStr">
        <is>
          <t>DALARNAS LÄN</t>
        </is>
      </c>
      <c r="G308" t="inlineStr">
        <is>
          <t>VANSBRO</t>
        </is>
      </c>
      <c r="I308" t="n">
        <v>1.4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572-2024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45299</v>
      </c>
      <c r="E309" s="1" t="n">
        <v>46313</v>
      </c>
      <c r="F309" t="inlineStr">
        <is>
          <t>DALARNAS LÄN</t>
        </is>
      </c>
      <c r="G309" t="inlineStr">
        <is>
          <t>VANSBRO</t>
        </is>
      </c>
      <c r="I309" t="n">
        <v>0.4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17998-2026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46124</v>
      </c>
      <c r="E310" s="1" t="n">
        <v>46313</v>
      </c>
      <c r="F310" t="inlineStr">
        <is>
          <t>DALARNAS LÄN</t>
        </is>
      </c>
      <c r="G310" t="inlineStr">
        <is>
          <t>VANSBRO</t>
        </is>
      </c>
      <c r="I310" t="n">
        <v>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4951-2025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45689</v>
      </c>
      <c r="E311" s="1" t="n">
        <v>46313</v>
      </c>
      <c r="F311" t="inlineStr">
        <is>
          <t>DALARNAS LÄN</t>
        </is>
      </c>
      <c r="G311" t="inlineStr">
        <is>
          <t>VANSBRO</t>
        </is>
      </c>
      <c r="I311" t="n">
        <v>4.5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4952-2025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45689</v>
      </c>
      <c r="E312" s="1" t="n">
        <v>46313</v>
      </c>
      <c r="F312" t="inlineStr">
        <is>
          <t>DALARNAS LÄN</t>
        </is>
      </c>
      <c r="G312" t="inlineStr">
        <is>
          <t>VANSBRO</t>
        </is>
      </c>
      <c r="I312" t="n">
        <v>4.2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18140-2026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46125</v>
      </c>
      <c r="E313" s="1" t="n">
        <v>46313</v>
      </c>
      <c r="F313" t="inlineStr">
        <is>
          <t>DALARNAS LÄN</t>
        </is>
      </c>
      <c r="G313" t="inlineStr">
        <is>
          <t>VANSBRO</t>
        </is>
      </c>
      <c r="I313" t="n">
        <v>7.2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57904-2024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45631</v>
      </c>
      <c r="E314" s="1" t="n">
        <v>46313</v>
      </c>
      <c r="F314" t="inlineStr">
        <is>
          <t>DALARNAS LÄN</t>
        </is>
      </c>
      <c r="G314" t="inlineStr">
        <is>
          <t>VANSBRO</t>
        </is>
      </c>
      <c r="I314" t="n">
        <v>2.3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56988-2023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45244</v>
      </c>
      <c r="E315" s="1" t="n">
        <v>46313</v>
      </c>
      <c r="F315" t="inlineStr">
        <is>
          <t>DALARNAS LÄN</t>
        </is>
      </c>
      <c r="G315" t="inlineStr">
        <is>
          <t>VANSBRO</t>
        </is>
      </c>
      <c r="I315" t="n">
        <v>2.7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18717-2026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46128</v>
      </c>
      <c r="E316" s="1" t="n">
        <v>46313</v>
      </c>
      <c r="F316" t="inlineStr">
        <is>
          <t>DALARNAS LÄN</t>
        </is>
      </c>
      <c r="G316" t="inlineStr">
        <is>
          <t>VANSBRO</t>
        </is>
      </c>
      <c r="H316" t="inlineStr">
        <is>
          <t>Bergvik skog öst AB</t>
        </is>
      </c>
      <c r="I316" t="n">
        <v>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18709-2026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46128</v>
      </c>
      <c r="E317" s="1" t="n">
        <v>46313</v>
      </c>
      <c r="F317" t="inlineStr">
        <is>
          <t>DALARNAS LÄN</t>
        </is>
      </c>
      <c r="G317" t="inlineStr">
        <is>
          <t>VANSBRO</t>
        </is>
      </c>
      <c r="I317" t="n">
        <v>6.4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18580-2026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46127</v>
      </c>
      <c r="E318" s="1" t="n">
        <v>46313</v>
      </c>
      <c r="F318" t="inlineStr">
        <is>
          <t>DALARNAS LÄN</t>
        </is>
      </c>
      <c r="G318" t="inlineStr">
        <is>
          <t>VANSBRO</t>
        </is>
      </c>
      <c r="I318" t="n">
        <v>5.7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18586-2026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46127</v>
      </c>
      <c r="E319" s="1" t="n">
        <v>46313</v>
      </c>
      <c r="F319" t="inlineStr">
        <is>
          <t>DALARNAS LÄN</t>
        </is>
      </c>
      <c r="G319" t="inlineStr">
        <is>
          <t>VANSBRO</t>
        </is>
      </c>
      <c r="I319" t="n">
        <v>6.6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18588-2026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46127</v>
      </c>
      <c r="E320" s="1" t="n">
        <v>46313</v>
      </c>
      <c r="F320" t="inlineStr">
        <is>
          <t>DALARNAS LÄN</t>
        </is>
      </c>
      <c r="G320" t="inlineStr">
        <is>
          <t>VANSBRO</t>
        </is>
      </c>
      <c r="H320" t="inlineStr">
        <is>
          <t>Bergvik skog väst AB</t>
        </is>
      </c>
      <c r="I320" t="n">
        <v>1.3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59736-2022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44908</v>
      </c>
      <c r="E321" s="1" t="n">
        <v>46313</v>
      </c>
      <c r="F321" t="inlineStr">
        <is>
          <t>DALARNAS LÄN</t>
        </is>
      </c>
      <c r="G321" t="inlineStr">
        <is>
          <t>VANSBRO</t>
        </is>
      </c>
      <c r="I321" t="n">
        <v>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18823-2026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46128</v>
      </c>
      <c r="E322" s="1" t="n">
        <v>46313</v>
      </c>
      <c r="F322" t="inlineStr">
        <is>
          <t>DALARNAS LÄN</t>
        </is>
      </c>
      <c r="G322" t="inlineStr">
        <is>
          <t>VANSBRO</t>
        </is>
      </c>
      <c r="H322" t="inlineStr">
        <is>
          <t>Bergvik skog väst AB</t>
        </is>
      </c>
      <c r="I322" t="n">
        <v>13.1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18577-2026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46127</v>
      </c>
      <c r="E323" s="1" t="n">
        <v>46313</v>
      </c>
      <c r="F323" t="inlineStr">
        <is>
          <t>DALARNAS LÄN</t>
        </is>
      </c>
      <c r="G323" t="inlineStr">
        <is>
          <t>VANSBRO</t>
        </is>
      </c>
      <c r="I323" t="n">
        <v>4.8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29174-2026</t>
        </is>
      </c>
      <c r="B324" t="inlineStr">
        <is>
          <t>avverkningsanmälan</t>
        </is>
      </c>
      <c r="C324" t="inlineStr">
        <is>
          <t>Avverkning för att bevara och utveckla /försöksver</t>
        </is>
      </c>
      <c r="D324" s="1" t="n">
        <v>46202</v>
      </c>
      <c r="E324" s="1" t="n">
        <v>46313</v>
      </c>
      <c r="F324" t="inlineStr">
        <is>
          <t>DALARNAS LÄN</t>
        </is>
      </c>
      <c r="G324" t="inlineStr">
        <is>
          <t>VANSBRO</t>
        </is>
      </c>
      <c r="H324" t="inlineStr">
        <is>
          <t>Bergvik skog öst AB</t>
        </is>
      </c>
      <c r="I324" t="n">
        <v>4.8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29621-2026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46204</v>
      </c>
      <c r="E325" s="1" t="n">
        <v>46313</v>
      </c>
      <c r="F325" t="inlineStr">
        <is>
          <t>DALARNAS LÄN</t>
        </is>
      </c>
      <c r="G325" t="inlineStr">
        <is>
          <t>VANSBRO</t>
        </is>
      </c>
      <c r="I325" t="n">
        <v>1.4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29671-2026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46204</v>
      </c>
      <c r="E326" s="1" t="n">
        <v>46313</v>
      </c>
      <c r="F326" t="inlineStr">
        <is>
          <t>DALARNAS LÄN</t>
        </is>
      </c>
      <c r="G326" t="inlineStr">
        <is>
          <t>VANSBRO</t>
        </is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52572-2023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45225</v>
      </c>
      <c r="E327" s="1" t="n">
        <v>46313</v>
      </c>
      <c r="F327" t="inlineStr">
        <is>
          <t>DALARNAS LÄN</t>
        </is>
      </c>
      <c r="G327" t="inlineStr">
        <is>
          <t>VANSBRO</t>
        </is>
      </c>
      <c r="H327" t="inlineStr">
        <is>
          <t>Övriga statliga verk och myndigheter</t>
        </is>
      </c>
      <c r="I327" t="n">
        <v>0.5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19809-2026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46135</v>
      </c>
      <c r="E328" s="1" t="n">
        <v>46313</v>
      </c>
      <c r="F328" t="inlineStr">
        <is>
          <t>DALARNAS LÄN</t>
        </is>
      </c>
      <c r="G328" t="inlineStr">
        <is>
          <t>VANSBRO</t>
        </is>
      </c>
      <c r="H328" t="inlineStr">
        <is>
          <t>Bergvik skog öst AB</t>
        </is>
      </c>
      <c r="I328" t="n">
        <v>1.5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28007-2025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45817</v>
      </c>
      <c r="E329" s="1" t="n">
        <v>46313</v>
      </c>
      <c r="F329" t="inlineStr">
        <is>
          <t>DALARNAS LÄN</t>
        </is>
      </c>
      <c r="G329" t="inlineStr">
        <is>
          <t>VANSBRO</t>
        </is>
      </c>
      <c r="H329" t="inlineStr">
        <is>
          <t>Bergvik skog väst AB</t>
        </is>
      </c>
      <c r="I329" t="n">
        <v>1.1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40290-2023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45169</v>
      </c>
      <c r="E330" s="1" t="n">
        <v>46313</v>
      </c>
      <c r="F330" t="inlineStr">
        <is>
          <t>DALARNAS LÄN</t>
        </is>
      </c>
      <c r="G330" t="inlineStr">
        <is>
          <t>VANSBRO</t>
        </is>
      </c>
      <c r="I330" t="n">
        <v>1.6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29687-2026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46204</v>
      </c>
      <c r="E331" s="1" t="n">
        <v>46313</v>
      </c>
      <c r="F331" t="inlineStr">
        <is>
          <t>DALARNAS LÄN</t>
        </is>
      </c>
      <c r="G331" t="inlineStr">
        <is>
          <t>VANSBRO</t>
        </is>
      </c>
      <c r="H331" t="inlineStr">
        <is>
          <t>Bergvik skog öst AB</t>
        </is>
      </c>
      <c r="I331" t="n">
        <v>1.7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29442-2026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46203</v>
      </c>
      <c r="E332" s="1" t="n">
        <v>46313</v>
      </c>
      <c r="F332" t="inlineStr">
        <is>
          <t>DALARNAS LÄN</t>
        </is>
      </c>
      <c r="G332" t="inlineStr">
        <is>
          <t>VANSBRO</t>
        </is>
      </c>
      <c r="H332" t="inlineStr">
        <is>
          <t>Bergvik skog öst AB</t>
        </is>
      </c>
      <c r="I332" t="n">
        <v>0.9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29439-2026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46203</v>
      </c>
      <c r="E333" s="1" t="n">
        <v>46313</v>
      </c>
      <c r="F333" t="inlineStr">
        <is>
          <t>DALARNAS LÄN</t>
        </is>
      </c>
      <c r="G333" t="inlineStr">
        <is>
          <t>VANSBRO</t>
        </is>
      </c>
      <c r="H333" t="inlineStr">
        <is>
          <t>Bergvik skog öst AB</t>
        </is>
      </c>
      <c r="I333" t="n">
        <v>0.6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29630-2026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46204</v>
      </c>
      <c r="E334" s="1" t="n">
        <v>46313</v>
      </c>
      <c r="F334" t="inlineStr">
        <is>
          <t>DALARNAS LÄN</t>
        </is>
      </c>
      <c r="G334" t="inlineStr">
        <is>
          <t>VANSBRO</t>
        </is>
      </c>
      <c r="I334" t="n">
        <v>2.6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20208-2026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46139</v>
      </c>
      <c r="E335" s="1" t="n">
        <v>46313</v>
      </c>
      <c r="F335" t="inlineStr">
        <is>
          <t>DALARNAS LÄN</t>
        </is>
      </c>
      <c r="G335" t="inlineStr">
        <is>
          <t>VANSBRO</t>
        </is>
      </c>
      <c r="H335" t="inlineStr">
        <is>
          <t>Bergvik skog öst AB</t>
        </is>
      </c>
      <c r="I335" t="n">
        <v>3.6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49819-2025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45940</v>
      </c>
      <c r="E336" s="1" t="n">
        <v>46313</v>
      </c>
      <c r="F336" t="inlineStr">
        <is>
          <t>DALARNAS LÄN</t>
        </is>
      </c>
      <c r="G336" t="inlineStr">
        <is>
          <t>VANSBRO</t>
        </is>
      </c>
      <c r="I336" t="n">
        <v>1.7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20931-2022</t>
        </is>
      </c>
      <c r="B337" t="inlineStr">
        <is>
          <t>avverkningsanmälan</t>
        </is>
      </c>
      <c r="C337" t="inlineStr">
        <is>
          <t>Avverkning för annat ändamål</t>
        </is>
      </c>
      <c r="D337" s="1" t="n">
        <v>44701</v>
      </c>
      <c r="E337" s="1" t="n">
        <v>46313</v>
      </c>
      <c r="F337" t="inlineStr">
        <is>
          <t>DALARNAS LÄN</t>
        </is>
      </c>
      <c r="G337" t="inlineStr">
        <is>
          <t>VANSBRO</t>
        </is>
      </c>
      <c r="I337" t="n">
        <v>1.9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380-2024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45296</v>
      </c>
      <c r="E338" s="1" t="n">
        <v>46313</v>
      </c>
      <c r="F338" t="inlineStr">
        <is>
          <t>DALARNAS LÄN</t>
        </is>
      </c>
      <c r="G338" t="inlineStr">
        <is>
          <t>VANSBRO</t>
        </is>
      </c>
      <c r="I338" t="n">
        <v>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20419-2025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45775</v>
      </c>
      <c r="E339" s="1" t="n">
        <v>46313</v>
      </c>
      <c r="F339" t="inlineStr">
        <is>
          <t>DALARNAS LÄN</t>
        </is>
      </c>
      <c r="G339" t="inlineStr">
        <is>
          <t>VANSBRO</t>
        </is>
      </c>
      <c r="I339" t="n">
        <v>1.3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14057-2023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45008</v>
      </c>
      <c r="E340" s="1" t="n">
        <v>46313</v>
      </c>
      <c r="F340" t="inlineStr">
        <is>
          <t>DALARNAS LÄN</t>
        </is>
      </c>
      <c r="G340" t="inlineStr">
        <is>
          <t>VANSBRO</t>
        </is>
      </c>
      <c r="I340" t="n">
        <v>0.6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30509-2026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46210</v>
      </c>
      <c r="E341" s="1" t="n">
        <v>46313</v>
      </c>
      <c r="F341" t="inlineStr">
        <is>
          <t>DALARNAS LÄN</t>
        </is>
      </c>
      <c r="G341" t="inlineStr">
        <is>
          <t>VANSBRO</t>
        </is>
      </c>
      <c r="H341" t="inlineStr">
        <is>
          <t>Övriga statliga verk och myndigheter</t>
        </is>
      </c>
      <c r="I341" t="n">
        <v>1.9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22756-2024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45448</v>
      </c>
      <c r="E342" s="1" t="n">
        <v>46313</v>
      </c>
      <c r="F342" t="inlineStr">
        <is>
          <t>DALARNAS LÄN</t>
        </is>
      </c>
      <c r="G342" t="inlineStr">
        <is>
          <t>VANSBRO</t>
        </is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30568-2026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46210</v>
      </c>
      <c r="E343" s="1" t="n">
        <v>46313</v>
      </c>
      <c r="F343" t="inlineStr">
        <is>
          <t>DALARNAS LÄN</t>
        </is>
      </c>
      <c r="G343" t="inlineStr">
        <is>
          <t>VANSBRO</t>
        </is>
      </c>
      <c r="H343" t="inlineStr">
        <is>
          <t>Bergvik skog öst AB</t>
        </is>
      </c>
      <c r="I343" t="n">
        <v>1.1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30784-2026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46212</v>
      </c>
      <c r="E344" s="1" t="n">
        <v>46313</v>
      </c>
      <c r="F344" t="inlineStr">
        <is>
          <t>DALARNAS LÄN</t>
        </is>
      </c>
      <c r="G344" t="inlineStr">
        <is>
          <t>VANSBRO</t>
        </is>
      </c>
      <c r="I344" t="n">
        <v>2.2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30796-2026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46212</v>
      </c>
      <c r="E345" s="1" t="n">
        <v>46313</v>
      </c>
      <c r="F345" t="inlineStr">
        <is>
          <t>DALARNAS LÄN</t>
        </is>
      </c>
      <c r="G345" t="inlineStr">
        <is>
          <t>VANSBRO</t>
        </is>
      </c>
      <c r="I345" t="n">
        <v>4.2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28872-2026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46199</v>
      </c>
      <c r="E346" s="1" t="n">
        <v>46313</v>
      </c>
      <c r="F346" t="inlineStr">
        <is>
          <t>DALARNAS LÄN</t>
        </is>
      </c>
      <c r="G346" t="inlineStr">
        <is>
          <t>VANSBRO</t>
        </is>
      </c>
      <c r="H346" t="inlineStr">
        <is>
          <t>Bergvik skog väst AB</t>
        </is>
      </c>
      <c r="I346" t="n">
        <v>0.8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555-2023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44930</v>
      </c>
      <c r="E347" s="1" t="n">
        <v>46313</v>
      </c>
      <c r="F347" t="inlineStr">
        <is>
          <t>DALARNAS LÄN</t>
        </is>
      </c>
      <c r="G347" t="inlineStr">
        <is>
          <t>VANSBRO</t>
        </is>
      </c>
      <c r="I347" t="n">
        <v>2.3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61717-2023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45265</v>
      </c>
      <c r="E348" s="1" t="n">
        <v>46313</v>
      </c>
      <c r="F348" t="inlineStr">
        <is>
          <t>DALARNAS LÄN</t>
        </is>
      </c>
      <c r="G348" t="inlineStr">
        <is>
          <t>VANSBRO</t>
        </is>
      </c>
      <c r="H348" t="inlineStr">
        <is>
          <t>Bergvik skog väst AB</t>
        </is>
      </c>
      <c r="I348" t="n">
        <v>1.1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27080-2024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45471</v>
      </c>
      <c r="E349" s="1" t="n">
        <v>46313</v>
      </c>
      <c r="F349" t="inlineStr">
        <is>
          <t>DALARNAS LÄN</t>
        </is>
      </c>
      <c r="G349" t="inlineStr">
        <is>
          <t>VANSBRO</t>
        </is>
      </c>
      <c r="I349" t="n">
        <v>0.7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1588-2026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46034</v>
      </c>
      <c r="E350" s="1" t="n">
        <v>46313</v>
      </c>
      <c r="F350" t="inlineStr">
        <is>
          <t>DALARNAS LÄN</t>
        </is>
      </c>
      <c r="G350" t="inlineStr">
        <is>
          <t>VANSBRO</t>
        </is>
      </c>
      <c r="H350" t="inlineStr">
        <is>
          <t>Bergvik skog väst AB</t>
        </is>
      </c>
      <c r="I350" t="n">
        <v>1.4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36710-2026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46272</v>
      </c>
      <c r="E351" s="1" t="n">
        <v>46313</v>
      </c>
      <c r="F351" t="inlineStr">
        <is>
          <t>DALARNAS LÄN</t>
        </is>
      </c>
      <c r="G351" t="inlineStr">
        <is>
          <t>VANSBRO</t>
        </is>
      </c>
      <c r="H351" t="inlineStr">
        <is>
          <t>Bergvik skog väst AB</t>
        </is>
      </c>
      <c r="I351" t="n">
        <v>2.3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36713-2026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46272</v>
      </c>
      <c r="E352" s="1" t="n">
        <v>46313</v>
      </c>
      <c r="F352" t="inlineStr">
        <is>
          <t>DALARNAS LÄN</t>
        </is>
      </c>
      <c r="G352" t="inlineStr">
        <is>
          <t>VANSBRO</t>
        </is>
      </c>
      <c r="H352" t="inlineStr">
        <is>
          <t>Bergvik skog väst AB</t>
        </is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36706-2026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46272</v>
      </c>
      <c r="E353" s="1" t="n">
        <v>46313</v>
      </c>
      <c r="F353" t="inlineStr">
        <is>
          <t>DALARNAS LÄN</t>
        </is>
      </c>
      <c r="G353" t="inlineStr">
        <is>
          <t>VANSBRO</t>
        </is>
      </c>
      <c r="H353" t="inlineStr">
        <is>
          <t>Bergvik skog väst AB</t>
        </is>
      </c>
      <c r="I353" t="n">
        <v>2.9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11485-2024</t>
        </is>
      </c>
      <c r="B354" t="inlineStr">
        <is>
          <t>avverkningsanmälan</t>
        </is>
      </c>
      <c r="C354" t="inlineStr">
        <is>
          <t>Avverkning för annat ändamål</t>
        </is>
      </c>
      <c r="D354" s="1" t="n">
        <v>45372</v>
      </c>
      <c r="E354" s="1" t="n">
        <v>46313</v>
      </c>
      <c r="F354" t="inlineStr">
        <is>
          <t>DALARNAS LÄN</t>
        </is>
      </c>
      <c r="G354" t="inlineStr">
        <is>
          <t>VANSBRO</t>
        </is>
      </c>
      <c r="I354" t="n">
        <v>1.3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37433-2026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46275</v>
      </c>
      <c r="E355" s="1" t="n">
        <v>46313</v>
      </c>
      <c r="F355" t="inlineStr">
        <is>
          <t>DALARNAS LÄN</t>
        </is>
      </c>
      <c r="G355" t="inlineStr">
        <is>
          <t>VANSBRO</t>
        </is>
      </c>
      <c r="H355" t="inlineStr">
        <is>
          <t>Bergvik skog öst AB</t>
        </is>
      </c>
      <c r="I355" t="n">
        <v>0.9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37443-2026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46275</v>
      </c>
      <c r="E356" s="1" t="n">
        <v>46313</v>
      </c>
      <c r="F356" t="inlineStr">
        <is>
          <t>DALARNAS LÄN</t>
        </is>
      </c>
      <c r="G356" t="inlineStr">
        <is>
          <t>VANSBRO</t>
        </is>
      </c>
      <c r="H356" t="inlineStr">
        <is>
          <t>Bergvik skog väst AB</t>
        </is>
      </c>
      <c r="I356" t="n">
        <v>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37467-2026</t>
        </is>
      </c>
      <c r="B357" t="inlineStr">
        <is>
          <t>avverkningsanmälan</t>
        </is>
      </c>
      <c r="C357" t="inlineStr">
        <is>
          <t>Avverkning för annat ändamål</t>
        </is>
      </c>
      <c r="D357" s="1" t="n">
        <v>46275</v>
      </c>
      <c r="E357" s="1" t="n">
        <v>46313</v>
      </c>
      <c r="F357" t="inlineStr">
        <is>
          <t>DALARNAS LÄN</t>
        </is>
      </c>
      <c r="G357" t="inlineStr">
        <is>
          <t>VANSBRO</t>
        </is>
      </c>
      <c r="H357" t="inlineStr">
        <is>
          <t>Kommuner</t>
        </is>
      </c>
      <c r="I357" t="n">
        <v>6.9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43570-2023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45184</v>
      </c>
      <c r="E358" s="1" t="n">
        <v>46313</v>
      </c>
      <c r="F358" t="inlineStr">
        <is>
          <t>DALARNAS LÄN</t>
        </is>
      </c>
      <c r="G358" t="inlineStr">
        <is>
          <t>VANSBRO</t>
        </is>
      </c>
      <c r="I358" t="n">
        <v>6.8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37499-2026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46275</v>
      </c>
      <c r="E359" s="1" t="n">
        <v>46313</v>
      </c>
      <c r="F359" t="inlineStr">
        <is>
          <t>DALARNAS LÄN</t>
        </is>
      </c>
      <c r="G359" t="inlineStr">
        <is>
          <t>VANSBRO</t>
        </is>
      </c>
      <c r="H359" t="inlineStr">
        <is>
          <t>Kyrkan</t>
        </is>
      </c>
      <c r="I359" t="n">
        <v>0.9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37247-2026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46274</v>
      </c>
      <c r="E360" s="1" t="n">
        <v>46313</v>
      </c>
      <c r="F360" t="inlineStr">
        <is>
          <t>DALARNAS LÄN</t>
        </is>
      </c>
      <c r="G360" t="inlineStr">
        <is>
          <t>VANSBRO</t>
        </is>
      </c>
      <c r="H360" t="inlineStr">
        <is>
          <t>Bergvik skog öst AB</t>
        </is>
      </c>
      <c r="I360" t="n">
        <v>2.6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31867-2026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46231</v>
      </c>
      <c r="E361" s="1" t="n">
        <v>46313</v>
      </c>
      <c r="F361" t="inlineStr">
        <is>
          <t>DALARNAS LÄN</t>
        </is>
      </c>
      <c r="G361" t="inlineStr">
        <is>
          <t>VANSBRO</t>
        </is>
      </c>
      <c r="H361" t="inlineStr">
        <is>
          <t>Bergvik skog väst AB</t>
        </is>
      </c>
      <c r="I361" t="n">
        <v>20.2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24481-2023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45082</v>
      </c>
      <c r="E362" s="1" t="n">
        <v>46313</v>
      </c>
      <c r="F362" t="inlineStr">
        <is>
          <t>DALARNAS LÄN</t>
        </is>
      </c>
      <c r="G362" t="inlineStr">
        <is>
          <t>VANSBRO</t>
        </is>
      </c>
      <c r="H362" t="inlineStr">
        <is>
          <t>Bergvik skog väst AB</t>
        </is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50741-2022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44867</v>
      </c>
      <c r="E363" s="1" t="n">
        <v>46313</v>
      </c>
      <c r="F363" t="inlineStr">
        <is>
          <t>DALARNAS LÄN</t>
        </is>
      </c>
      <c r="G363" t="inlineStr">
        <is>
          <t>VANSBRO</t>
        </is>
      </c>
      <c r="I363" t="n">
        <v>1.7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43589-2022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44837</v>
      </c>
      <c r="E364" s="1" t="n">
        <v>46313</v>
      </c>
      <c r="F364" t="inlineStr">
        <is>
          <t>DALARNAS LÄN</t>
        </is>
      </c>
      <c r="G364" t="inlineStr">
        <is>
          <t>VANSBRO</t>
        </is>
      </c>
      <c r="H364" t="inlineStr">
        <is>
          <t>Bergvik skog väst AB</t>
        </is>
      </c>
      <c r="I364" t="n">
        <v>0.9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16823-2025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45754</v>
      </c>
      <c r="E365" s="1" t="n">
        <v>46313</v>
      </c>
      <c r="F365" t="inlineStr">
        <is>
          <t>DALARNAS LÄN</t>
        </is>
      </c>
      <c r="G365" t="inlineStr">
        <is>
          <t>VANSBRO</t>
        </is>
      </c>
      <c r="I365" t="n">
        <v>9.9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37596-2026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46276</v>
      </c>
      <c r="E366" s="1" t="n">
        <v>46313</v>
      </c>
      <c r="F366" t="inlineStr">
        <is>
          <t>DALARNAS LÄN</t>
        </is>
      </c>
      <c r="G366" t="inlineStr">
        <is>
          <t>VANSBRO</t>
        </is>
      </c>
      <c r="H366" t="inlineStr">
        <is>
          <t>Bergvik skog väst AB</t>
        </is>
      </c>
      <c r="I366" t="n">
        <v>0.7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17807-2022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44673</v>
      </c>
      <c r="E367" s="1" t="n">
        <v>46313</v>
      </c>
      <c r="F367" t="inlineStr">
        <is>
          <t>DALARNAS LÄN</t>
        </is>
      </c>
      <c r="G367" t="inlineStr">
        <is>
          <t>VANSBRO</t>
        </is>
      </c>
      <c r="I367" t="n">
        <v>0.9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37593-2026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46276</v>
      </c>
      <c r="E368" s="1" t="n">
        <v>46313</v>
      </c>
      <c r="F368" t="inlineStr">
        <is>
          <t>DALARNAS LÄN</t>
        </is>
      </c>
      <c r="G368" t="inlineStr">
        <is>
          <t>VANSBRO</t>
        </is>
      </c>
      <c r="H368" t="inlineStr">
        <is>
          <t>Bergvik skog väst AB</t>
        </is>
      </c>
      <c r="I368" t="n">
        <v>4.2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56129-2023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45240</v>
      </c>
      <c r="E369" s="1" t="n">
        <v>46313</v>
      </c>
      <c r="F369" t="inlineStr">
        <is>
          <t>DALARNAS LÄN</t>
        </is>
      </c>
      <c r="G369" t="inlineStr">
        <is>
          <t>VANSBRO</t>
        </is>
      </c>
      <c r="I369" t="n">
        <v>2.7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33520-2024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45519</v>
      </c>
      <c r="E370" s="1" t="n">
        <v>46313</v>
      </c>
      <c r="F370" t="inlineStr">
        <is>
          <t>DALARNAS LÄN</t>
        </is>
      </c>
      <c r="G370" t="inlineStr">
        <is>
          <t>VANSBRO</t>
        </is>
      </c>
      <c r="I370" t="n">
        <v>0.9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38253-2026</t>
        </is>
      </c>
      <c r="B371" t="inlineStr">
        <is>
          <t>avverkningsanmälan</t>
        </is>
      </c>
      <c r="C371" t="inlineStr">
        <is>
          <t>Avverkning för annat ändamål</t>
        </is>
      </c>
      <c r="D371" s="1" t="n">
        <v>46281</v>
      </c>
      <c r="E371" s="1" t="n">
        <v>46313</v>
      </c>
      <c r="F371" t="inlineStr">
        <is>
          <t>DALARNAS LÄN</t>
        </is>
      </c>
      <c r="G371" t="inlineStr">
        <is>
          <t>VANSBRO</t>
        </is>
      </c>
      <c r="I371" t="n">
        <v>0.9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37964-2026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46280</v>
      </c>
      <c r="E372" s="1" t="n">
        <v>46313</v>
      </c>
      <c r="F372" t="inlineStr">
        <is>
          <t>DALARNAS LÄN</t>
        </is>
      </c>
      <c r="G372" t="inlineStr">
        <is>
          <t>VANSBRO</t>
        </is>
      </c>
      <c r="H372" t="inlineStr">
        <is>
          <t>Bergvik skog väst AB</t>
        </is>
      </c>
      <c r="I372" t="n">
        <v>4.6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37960-2026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46280</v>
      </c>
      <c r="E373" s="1" t="n">
        <v>46313</v>
      </c>
      <c r="F373" t="inlineStr">
        <is>
          <t>DALARNAS LÄN</t>
        </is>
      </c>
      <c r="G373" t="inlineStr">
        <is>
          <t>VANSBRO</t>
        </is>
      </c>
      <c r="H373" t="inlineStr">
        <is>
          <t>Bergvik skog öst AB</t>
        </is>
      </c>
      <c r="I373" t="n">
        <v>4.7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37966-2026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46280</v>
      </c>
      <c r="E374" s="1" t="n">
        <v>46313</v>
      </c>
      <c r="F374" t="inlineStr">
        <is>
          <t>DALARNAS LÄN</t>
        </is>
      </c>
      <c r="G374" t="inlineStr">
        <is>
          <t>VANSBRO</t>
        </is>
      </c>
      <c r="H374" t="inlineStr">
        <is>
          <t>Bergvik skog väst AB</t>
        </is>
      </c>
      <c r="I374" t="n">
        <v>0.8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37987-2026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46280</v>
      </c>
      <c r="E375" s="1" t="n">
        <v>46313</v>
      </c>
      <c r="F375" t="inlineStr">
        <is>
          <t>DALARNAS LÄN</t>
        </is>
      </c>
      <c r="G375" t="inlineStr">
        <is>
          <t>VANSBRO</t>
        </is>
      </c>
      <c r="H375" t="inlineStr">
        <is>
          <t>Bergvik skog öst AB</t>
        </is>
      </c>
      <c r="I375" t="n">
        <v>1.9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32393-2026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46238</v>
      </c>
      <c r="E376" s="1" t="n">
        <v>46313</v>
      </c>
      <c r="F376" t="inlineStr">
        <is>
          <t>DALARNAS LÄN</t>
        </is>
      </c>
      <c r="G376" t="inlineStr">
        <is>
          <t>VANSBRO</t>
        </is>
      </c>
      <c r="H376" t="inlineStr">
        <is>
          <t>Bergvik skog väst AB</t>
        </is>
      </c>
      <c r="I376" t="n">
        <v>29.6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51606-2023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45222</v>
      </c>
      <c r="E377" s="1" t="n">
        <v>46313</v>
      </c>
      <c r="F377" t="inlineStr">
        <is>
          <t>DALARNAS LÄN</t>
        </is>
      </c>
      <c r="G377" t="inlineStr">
        <is>
          <t>VANSBRO</t>
        </is>
      </c>
      <c r="H377" t="inlineStr">
        <is>
          <t>Bergvik skog väst AB</t>
        </is>
      </c>
      <c r="I377" t="n">
        <v>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38270-2026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46281</v>
      </c>
      <c r="E378" s="1" t="n">
        <v>46313</v>
      </c>
      <c r="F378" t="inlineStr">
        <is>
          <t>DALARNAS LÄN</t>
        </is>
      </c>
      <c r="G378" t="inlineStr">
        <is>
          <t>VANSBRO</t>
        </is>
      </c>
      <c r="I378" t="n">
        <v>1.9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38248-2026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46281</v>
      </c>
      <c r="E379" s="1" t="n">
        <v>46313</v>
      </c>
      <c r="F379" t="inlineStr">
        <is>
          <t>DALARNAS LÄN</t>
        </is>
      </c>
      <c r="G379" t="inlineStr">
        <is>
          <t>VANSBRO</t>
        </is>
      </c>
      <c r="I379" t="n">
        <v>3.5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48005-2022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44855</v>
      </c>
      <c r="E380" s="1" t="n">
        <v>46313</v>
      </c>
      <c r="F380" t="inlineStr">
        <is>
          <t>DALARNAS LÄN</t>
        </is>
      </c>
      <c r="G380" t="inlineStr">
        <is>
          <t>VANSBRO</t>
        </is>
      </c>
      <c r="I380" t="n">
        <v>4.1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38231-2026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46281</v>
      </c>
      <c r="E381" s="1" t="n">
        <v>46313</v>
      </c>
      <c r="F381" t="inlineStr">
        <is>
          <t>DALARNAS LÄN</t>
        </is>
      </c>
      <c r="G381" t="inlineStr">
        <is>
          <t>VANSBRO</t>
        </is>
      </c>
      <c r="H381" t="inlineStr">
        <is>
          <t>Bergvik skog öst AB</t>
        </is>
      </c>
      <c r="I381" t="n">
        <v>1.4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56773-2023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45244</v>
      </c>
      <c r="E382" s="1" t="n">
        <v>46313</v>
      </c>
      <c r="F382" t="inlineStr">
        <is>
          <t>DALARNAS LÄN</t>
        </is>
      </c>
      <c r="G382" t="inlineStr">
        <is>
          <t>VANSBRO</t>
        </is>
      </c>
      <c r="I382" t="n">
        <v>0.6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60031-2022</t>
        </is>
      </c>
      <c r="B383" t="inlineStr">
        <is>
          <t>avverkningsanmälan</t>
        </is>
      </c>
      <c r="C383" t="inlineStr">
        <is>
          <t>Avverkning för annat ändamål</t>
        </is>
      </c>
      <c r="D383" s="1" t="n">
        <v>44909</v>
      </c>
      <c r="E383" s="1" t="n">
        <v>46313</v>
      </c>
      <c r="F383" t="inlineStr">
        <is>
          <t>DALARNAS LÄN</t>
        </is>
      </c>
      <c r="G383" t="inlineStr">
        <is>
          <t>VANSBRO</t>
        </is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38644-2026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46283</v>
      </c>
      <c r="E384" s="1" t="n">
        <v>46313</v>
      </c>
      <c r="F384" t="inlineStr">
        <is>
          <t>DALARNAS LÄN</t>
        </is>
      </c>
      <c r="G384" t="inlineStr">
        <is>
          <t>VANSBRO</t>
        </is>
      </c>
      <c r="H384" t="inlineStr">
        <is>
          <t>Bergvik skog öst AB</t>
        </is>
      </c>
      <c r="I384" t="n">
        <v>0.9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38627-2026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46283</v>
      </c>
      <c r="E385" s="1" t="n">
        <v>46313</v>
      </c>
      <c r="F385" t="inlineStr">
        <is>
          <t>DALARNAS LÄN</t>
        </is>
      </c>
      <c r="G385" t="inlineStr">
        <is>
          <t>VANSBRO</t>
        </is>
      </c>
      <c r="H385" t="inlineStr">
        <is>
          <t>Bergvik skog öst AB</t>
        </is>
      </c>
      <c r="I385" t="n">
        <v>1.3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5420-2024</t>
        </is>
      </c>
      <c r="B386" t="inlineStr">
        <is>
          <t>avverkningsanmälan</t>
        </is>
      </c>
      <c r="C386" t="inlineStr">
        <is>
          <t>Avverkning för annat ändamål</t>
        </is>
      </c>
      <c r="D386" s="1" t="n">
        <v>45331</v>
      </c>
      <c r="E386" s="1" t="n">
        <v>46313</v>
      </c>
      <c r="F386" t="inlineStr">
        <is>
          <t>DALARNAS LÄN</t>
        </is>
      </c>
      <c r="G386" t="inlineStr">
        <is>
          <t>VANSBRO</t>
        </is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59600-2023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45254</v>
      </c>
      <c r="E387" s="1" t="n">
        <v>46313</v>
      </c>
      <c r="F387" t="inlineStr">
        <is>
          <t>DALARNAS LÄN</t>
        </is>
      </c>
      <c r="G387" t="inlineStr">
        <is>
          <t>VANSBRO</t>
        </is>
      </c>
      <c r="I387" t="n">
        <v>5.5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11274-2024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45371</v>
      </c>
      <c r="E388" s="1" t="n">
        <v>46313</v>
      </c>
      <c r="F388" t="inlineStr">
        <is>
          <t>DALARNAS LÄN</t>
        </is>
      </c>
      <c r="G388" t="inlineStr">
        <is>
          <t>VANSBRO</t>
        </is>
      </c>
      <c r="I388" t="n">
        <v>1.3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625-2023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44930</v>
      </c>
      <c r="E389" s="1" t="n">
        <v>46313</v>
      </c>
      <c r="F389" t="inlineStr">
        <is>
          <t>DALARNAS LÄN</t>
        </is>
      </c>
      <c r="G389" t="inlineStr">
        <is>
          <t>VANSBRO</t>
        </is>
      </c>
      <c r="I389" t="n">
        <v>1.1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56986-2023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45244</v>
      </c>
      <c r="E390" s="1" t="n">
        <v>46313</v>
      </c>
      <c r="F390" t="inlineStr">
        <is>
          <t>DALARNAS LÄN</t>
        </is>
      </c>
      <c r="G390" t="inlineStr">
        <is>
          <t>VANSBRO</t>
        </is>
      </c>
      <c r="I390" t="n">
        <v>2.7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38797-2026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46286</v>
      </c>
      <c r="E391" s="1" t="n">
        <v>46313</v>
      </c>
      <c r="F391" t="inlineStr">
        <is>
          <t>DALARNAS LÄN</t>
        </is>
      </c>
      <c r="G391" t="inlineStr">
        <is>
          <t>VANSBRO</t>
        </is>
      </c>
      <c r="H391" t="inlineStr">
        <is>
          <t>Bergvik skog väst AB</t>
        </is>
      </c>
      <c r="I391" t="n">
        <v>2.8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57903-2024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45631</v>
      </c>
      <c r="E392" s="1" t="n">
        <v>46313</v>
      </c>
      <c r="F392" t="inlineStr">
        <is>
          <t>DALARNAS LÄN</t>
        </is>
      </c>
      <c r="G392" t="inlineStr">
        <is>
          <t>VANSBRO</t>
        </is>
      </c>
      <c r="I392" t="n">
        <v>1.2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13327-2025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45735</v>
      </c>
      <c r="E393" s="1" t="n">
        <v>46313</v>
      </c>
      <c r="F393" t="inlineStr">
        <is>
          <t>DALARNAS LÄN</t>
        </is>
      </c>
      <c r="G393" t="inlineStr">
        <is>
          <t>VANSBRO</t>
        </is>
      </c>
      <c r="H393" t="inlineStr">
        <is>
          <t>Kommuner</t>
        </is>
      </c>
      <c r="I393" t="n">
        <v>0.3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5581-2023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44960</v>
      </c>
      <c r="E394" s="1" t="n">
        <v>46313</v>
      </c>
      <c r="F394" t="inlineStr">
        <is>
          <t>DALARNAS LÄN</t>
        </is>
      </c>
      <c r="G394" t="inlineStr">
        <is>
          <t>VANSBRO</t>
        </is>
      </c>
      <c r="I394" t="n">
        <v>3.9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39352-2026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46288</v>
      </c>
      <c r="E395" s="1" t="n">
        <v>46313</v>
      </c>
      <c r="F395" t="inlineStr">
        <is>
          <t>DALARNAS LÄN</t>
        </is>
      </c>
      <c r="G395" t="inlineStr">
        <is>
          <t>VANSBRO</t>
        </is>
      </c>
      <c r="I395" t="n">
        <v>3.5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39500-2026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46289</v>
      </c>
      <c r="E396" s="1" t="n">
        <v>46313</v>
      </c>
      <c r="F396" t="inlineStr">
        <is>
          <t>DALARNAS LÄN</t>
        </is>
      </c>
      <c r="G396" t="inlineStr">
        <is>
          <t>VANSBRO</t>
        </is>
      </c>
      <c r="I396" t="n">
        <v>1.3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57947-2023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45247</v>
      </c>
      <c r="E397" s="1" t="n">
        <v>46313</v>
      </c>
      <c r="F397" t="inlineStr">
        <is>
          <t>DALARNAS LÄN</t>
        </is>
      </c>
      <c r="G397" t="inlineStr">
        <is>
          <t>VANSBRO</t>
        </is>
      </c>
      <c r="I397" t="n">
        <v>0.5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757-2023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44931</v>
      </c>
      <c r="E398" s="1" t="n">
        <v>46313</v>
      </c>
      <c r="F398" t="inlineStr">
        <is>
          <t>DALARNAS LÄN</t>
        </is>
      </c>
      <c r="G398" t="inlineStr">
        <is>
          <t>VANSBRO</t>
        </is>
      </c>
      <c r="I398" t="n">
        <v>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47790-2024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45588</v>
      </c>
      <c r="E399" s="1" t="n">
        <v>46313</v>
      </c>
      <c r="F399" t="inlineStr">
        <is>
          <t>DALARNAS LÄN</t>
        </is>
      </c>
      <c r="G399" t="inlineStr">
        <is>
          <t>VANSBRO</t>
        </is>
      </c>
      <c r="H399" t="inlineStr">
        <is>
          <t>Övriga statliga verk och myndigheter</t>
        </is>
      </c>
      <c r="I399" t="n">
        <v>0.6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18658-2025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45763</v>
      </c>
      <c r="E400" s="1" t="n">
        <v>46313</v>
      </c>
      <c r="F400" t="inlineStr">
        <is>
          <t>DALARNAS LÄN</t>
        </is>
      </c>
      <c r="G400" t="inlineStr">
        <is>
          <t>VANSBRO</t>
        </is>
      </c>
      <c r="I400" t="n">
        <v>2.7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40382-2023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45169</v>
      </c>
      <c r="E401" s="1" t="n">
        <v>46313</v>
      </c>
      <c r="F401" t="inlineStr">
        <is>
          <t>DALARNAS LÄN</t>
        </is>
      </c>
      <c r="G401" t="inlineStr">
        <is>
          <t>VANSBRO</t>
        </is>
      </c>
      <c r="I401" t="n">
        <v>2.9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39871-2026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46290</v>
      </c>
      <c r="E402" s="1" t="n">
        <v>46313</v>
      </c>
      <c r="F402" t="inlineStr">
        <is>
          <t>DALARNAS LÄN</t>
        </is>
      </c>
      <c r="G402" t="inlineStr">
        <is>
          <t>VANSBRO</t>
        </is>
      </c>
      <c r="H402" t="inlineStr">
        <is>
          <t>Bergvik skog öst AB</t>
        </is>
      </c>
      <c r="I402" t="n">
        <v>1.7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30392-2024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45491</v>
      </c>
      <c r="E403" s="1" t="n">
        <v>46313</v>
      </c>
      <c r="F403" t="inlineStr">
        <is>
          <t>DALARNAS LÄN</t>
        </is>
      </c>
      <c r="G403" t="inlineStr">
        <is>
          <t>VANSBRO</t>
        </is>
      </c>
      <c r="I403" t="n">
        <v>2.1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40012-2026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46293</v>
      </c>
      <c r="E404" s="1" t="n">
        <v>46313</v>
      </c>
      <c r="F404" t="inlineStr">
        <is>
          <t>DALARNAS LÄN</t>
        </is>
      </c>
      <c r="G404" t="inlineStr">
        <is>
          <t>VANSBRO</t>
        </is>
      </c>
      <c r="H404" t="inlineStr">
        <is>
          <t>Bergvik skog väst AB</t>
        </is>
      </c>
      <c r="I404" t="n">
        <v>1.2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2147-2025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45672</v>
      </c>
      <c r="E405" s="1" t="n">
        <v>46313</v>
      </c>
      <c r="F405" t="inlineStr">
        <is>
          <t>DALARNAS LÄN</t>
        </is>
      </c>
      <c r="G405" t="inlineStr">
        <is>
          <t>VANSBRO</t>
        </is>
      </c>
      <c r="I405" t="n">
        <v>3.6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18306-2025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45762</v>
      </c>
      <c r="E406" s="1" t="n">
        <v>46313</v>
      </c>
      <c r="F406" t="inlineStr">
        <is>
          <t>DALARNAS LÄN</t>
        </is>
      </c>
      <c r="G406" t="inlineStr">
        <is>
          <t>VANSBRO</t>
        </is>
      </c>
      <c r="H406" t="inlineStr">
        <is>
          <t>Bergvik skog väst AB</t>
        </is>
      </c>
      <c r="I406" t="n">
        <v>2.4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10886-2025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45722</v>
      </c>
      <c r="E407" s="1" t="n">
        <v>46313</v>
      </c>
      <c r="F407" t="inlineStr">
        <is>
          <t>DALARNAS LÄN</t>
        </is>
      </c>
      <c r="G407" t="inlineStr">
        <is>
          <t>VANSBRO</t>
        </is>
      </c>
      <c r="I407" t="n">
        <v>15.5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6643-2025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45700</v>
      </c>
      <c r="E408" s="1" t="n">
        <v>46313</v>
      </c>
      <c r="F408" t="inlineStr">
        <is>
          <t>DALARNAS LÄN</t>
        </is>
      </c>
      <c r="G408" t="inlineStr">
        <is>
          <t>VANSBRO</t>
        </is>
      </c>
      <c r="I408" t="n">
        <v>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33953-2026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46252</v>
      </c>
      <c r="E409" s="1" t="n">
        <v>46313</v>
      </c>
      <c r="F409" t="inlineStr">
        <is>
          <t>DALARNAS LÄN</t>
        </is>
      </c>
      <c r="G409" t="inlineStr">
        <is>
          <t>VANSBRO</t>
        </is>
      </c>
      <c r="H409" t="inlineStr">
        <is>
          <t>Bergvik skog väst AB</t>
        </is>
      </c>
      <c r="I409" t="n">
        <v>0.9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33944-2026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46252</v>
      </c>
      <c r="E410" s="1" t="n">
        <v>46313</v>
      </c>
      <c r="F410" t="inlineStr">
        <is>
          <t>DALARNAS LÄN</t>
        </is>
      </c>
      <c r="G410" t="inlineStr">
        <is>
          <t>VANSBRO</t>
        </is>
      </c>
      <c r="H410" t="inlineStr">
        <is>
          <t>Bergvik skog väst AB</t>
        </is>
      </c>
      <c r="I410" t="n">
        <v>2.4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40447-2026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46294</v>
      </c>
      <c r="E411" s="1" t="n">
        <v>46313</v>
      </c>
      <c r="F411" t="inlineStr">
        <is>
          <t>DALARNAS LÄN</t>
        </is>
      </c>
      <c r="G411" t="inlineStr">
        <is>
          <t>VANSBRO</t>
        </is>
      </c>
      <c r="H411" t="inlineStr">
        <is>
          <t>Bergvik skog väst AB</t>
        </is>
      </c>
      <c r="I411" t="n">
        <v>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40367-2026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46294</v>
      </c>
      <c r="E412" s="1" t="n">
        <v>46313</v>
      </c>
      <c r="F412" t="inlineStr">
        <is>
          <t>DALARNAS LÄN</t>
        </is>
      </c>
      <c r="G412" t="inlineStr">
        <is>
          <t>VANSBRO</t>
        </is>
      </c>
      <c r="H412" t="inlineStr">
        <is>
          <t>Bergvik skog väst AB</t>
        </is>
      </c>
      <c r="I412" t="n">
        <v>0.7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40143-2026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46293</v>
      </c>
      <c r="E413" s="1" t="n">
        <v>46313</v>
      </c>
      <c r="F413" t="inlineStr">
        <is>
          <t>DALARNAS LÄN</t>
        </is>
      </c>
      <c r="G413" t="inlineStr">
        <is>
          <t>VANSBRO</t>
        </is>
      </c>
      <c r="H413" t="inlineStr">
        <is>
          <t>Bergvik skog väst AB</t>
        </is>
      </c>
      <c r="I413" t="n">
        <v>2.3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33949-2026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46252</v>
      </c>
      <c r="E414" s="1" t="n">
        <v>46313</v>
      </c>
      <c r="F414" t="inlineStr">
        <is>
          <t>DALARNAS LÄN</t>
        </is>
      </c>
      <c r="G414" t="inlineStr">
        <is>
          <t>VANSBRO</t>
        </is>
      </c>
      <c r="H414" t="inlineStr">
        <is>
          <t>Bergvik skog väst AB</t>
        </is>
      </c>
      <c r="I414" t="n">
        <v>5.9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40424-2026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46294</v>
      </c>
      <c r="E415" s="1" t="n">
        <v>46313</v>
      </c>
      <c r="F415" t="inlineStr">
        <is>
          <t>DALARNAS LÄN</t>
        </is>
      </c>
      <c r="G415" t="inlineStr">
        <is>
          <t>VANSBRO</t>
        </is>
      </c>
      <c r="H415" t="inlineStr">
        <is>
          <t>Bergvik skog väst AB</t>
        </is>
      </c>
      <c r="I415" t="n">
        <v>10.1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40343-2026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46294</v>
      </c>
      <c r="E416" s="1" t="n">
        <v>46313</v>
      </c>
      <c r="F416" t="inlineStr">
        <is>
          <t>DALARNAS LÄN</t>
        </is>
      </c>
      <c r="G416" t="inlineStr">
        <is>
          <t>VANSBRO</t>
        </is>
      </c>
      <c r="H416" t="inlineStr">
        <is>
          <t>Bergvik skog väst AB</t>
        </is>
      </c>
      <c r="I416" t="n">
        <v>0.8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40391-2026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46294</v>
      </c>
      <c r="E417" s="1" t="n">
        <v>46313</v>
      </c>
      <c r="F417" t="inlineStr">
        <is>
          <t>DALARNAS LÄN</t>
        </is>
      </c>
      <c r="G417" t="inlineStr">
        <is>
          <t>VANSBRO</t>
        </is>
      </c>
      <c r="H417" t="inlineStr">
        <is>
          <t>Bergvik skog öst AB</t>
        </is>
      </c>
      <c r="I417" t="n">
        <v>2.7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34214-2026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46253</v>
      </c>
      <c r="E418" s="1" t="n">
        <v>46313</v>
      </c>
      <c r="F418" t="inlineStr">
        <is>
          <t>DALARNAS LÄN</t>
        </is>
      </c>
      <c r="G418" t="inlineStr">
        <is>
          <t>VANSBRO</t>
        </is>
      </c>
      <c r="H418" t="inlineStr">
        <is>
          <t>Bergvik skog väst AB</t>
        </is>
      </c>
      <c r="I418" t="n">
        <v>17.3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61515-2022</t>
        </is>
      </c>
      <c r="B419" t="inlineStr">
        <is>
          <t>avverkningsanmälan</t>
        </is>
      </c>
      <c r="C419" t="inlineStr">
        <is>
          <t>Avverkning för annat ändamål</t>
        </is>
      </c>
      <c r="D419" s="1" t="n">
        <v>44916</v>
      </c>
      <c r="E419" s="1" t="n">
        <v>46313</v>
      </c>
      <c r="F419" t="inlineStr">
        <is>
          <t>DALARNAS LÄN</t>
        </is>
      </c>
      <c r="G419" t="inlineStr">
        <is>
          <t>VANSBRO</t>
        </is>
      </c>
      <c r="H419" t="inlineStr">
        <is>
          <t>Bergvik skog väst AB</t>
        </is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40996-2026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46297</v>
      </c>
      <c r="E420" s="1" t="n">
        <v>46313</v>
      </c>
      <c r="F420" t="inlineStr">
        <is>
          <t>DALARNAS LÄN</t>
        </is>
      </c>
      <c r="G420" t="inlineStr">
        <is>
          <t>VANSBRO</t>
        </is>
      </c>
      <c r="H420" t="inlineStr">
        <is>
          <t>Bergvik skog öst AB</t>
        </is>
      </c>
      <c r="I420" t="n">
        <v>1.3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34374-2026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46254</v>
      </c>
      <c r="E421" s="1" t="n">
        <v>46313</v>
      </c>
      <c r="F421" t="inlineStr">
        <is>
          <t>DALARNAS LÄN</t>
        </is>
      </c>
      <c r="G421" t="inlineStr">
        <is>
          <t>VANSBRO</t>
        </is>
      </c>
      <c r="H421" t="inlineStr">
        <is>
          <t>Bergvik skog väst AB</t>
        </is>
      </c>
      <c r="I421" t="n">
        <v>2.5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34207-2026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46253</v>
      </c>
      <c r="E422" s="1" t="n">
        <v>46313</v>
      </c>
      <c r="F422" t="inlineStr">
        <is>
          <t>DALARNAS LÄN</t>
        </is>
      </c>
      <c r="G422" t="inlineStr">
        <is>
          <t>VANSBRO</t>
        </is>
      </c>
      <c r="H422" t="inlineStr">
        <is>
          <t>Bergvik skog väst AB</t>
        </is>
      </c>
      <c r="I422" t="n">
        <v>12.1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34210-2026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46253</v>
      </c>
      <c r="E423" s="1" t="n">
        <v>46313</v>
      </c>
      <c r="F423" t="inlineStr">
        <is>
          <t>DALARNAS LÄN</t>
        </is>
      </c>
      <c r="G423" t="inlineStr">
        <is>
          <t>VANSBRO</t>
        </is>
      </c>
      <c r="H423" t="inlineStr">
        <is>
          <t>Bergvik skog väst AB</t>
        </is>
      </c>
      <c r="I423" t="n">
        <v>1.6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34211-2026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46253</v>
      </c>
      <c r="E424" s="1" t="n">
        <v>46313</v>
      </c>
      <c r="F424" t="inlineStr">
        <is>
          <t>DALARNAS LÄN</t>
        </is>
      </c>
      <c r="G424" t="inlineStr">
        <is>
          <t>VANSBRO</t>
        </is>
      </c>
      <c r="H424" t="inlineStr">
        <is>
          <t>Bergvik skog väst AB</t>
        </is>
      </c>
      <c r="I424" t="n">
        <v>13.3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41015-2026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46297</v>
      </c>
      <c r="E425" s="1" t="n">
        <v>46313</v>
      </c>
      <c r="F425" t="inlineStr">
        <is>
          <t>DALARNAS LÄN</t>
        </is>
      </c>
      <c r="G425" t="inlineStr">
        <is>
          <t>VANSBRO</t>
        </is>
      </c>
      <c r="H425" t="inlineStr">
        <is>
          <t>Bergvik skog öst AB</t>
        </is>
      </c>
      <c r="I425" t="n">
        <v>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34216-2026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46253</v>
      </c>
      <c r="E426" s="1" t="n">
        <v>46313</v>
      </c>
      <c r="F426" t="inlineStr">
        <is>
          <t>DALARNAS LÄN</t>
        </is>
      </c>
      <c r="G426" t="inlineStr">
        <is>
          <t>VANSBRO</t>
        </is>
      </c>
      <c r="H426" t="inlineStr">
        <is>
          <t>Bergvik skog väst AB</t>
        </is>
      </c>
      <c r="I426" t="n">
        <v>18.9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34209-2026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46253</v>
      </c>
      <c r="E427" s="1" t="n">
        <v>46313</v>
      </c>
      <c r="F427" t="inlineStr">
        <is>
          <t>DALARNAS LÄN</t>
        </is>
      </c>
      <c r="G427" t="inlineStr">
        <is>
          <t>VANSBRO</t>
        </is>
      </c>
      <c r="H427" t="inlineStr">
        <is>
          <t>Bergvik skog väst AB</t>
        </is>
      </c>
      <c r="I427" t="n">
        <v>2.2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27930-2026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46191</v>
      </c>
      <c r="E428" s="1" t="n">
        <v>46313</v>
      </c>
      <c r="F428" t="inlineStr">
        <is>
          <t>DALARNAS LÄN</t>
        </is>
      </c>
      <c r="G428" t="inlineStr">
        <is>
          <t>VANSBRO</t>
        </is>
      </c>
      <c r="H428" t="inlineStr">
        <is>
          <t>Bergvik skog väst AB</t>
        </is>
      </c>
      <c r="I428" t="n">
        <v>0.9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50125-2023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45215</v>
      </c>
      <c r="E429" s="1" t="n">
        <v>46313</v>
      </c>
      <c r="F429" t="inlineStr">
        <is>
          <t>DALARNAS LÄN</t>
        </is>
      </c>
      <c r="G429" t="inlineStr">
        <is>
          <t>VANSBRO</t>
        </is>
      </c>
      <c r="I429" t="n">
        <v>1.4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50141-2023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45215</v>
      </c>
      <c r="E430" s="1" t="n">
        <v>46313</v>
      </c>
      <c r="F430" t="inlineStr">
        <is>
          <t>DALARNAS LÄN</t>
        </is>
      </c>
      <c r="G430" t="inlineStr">
        <is>
          <t>VANSBRO</t>
        </is>
      </c>
      <c r="I430" t="n">
        <v>3.1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41183-2026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46300</v>
      </c>
      <c r="E431" s="1" t="n">
        <v>46313</v>
      </c>
      <c r="F431" t="inlineStr">
        <is>
          <t>DALARNAS LÄN</t>
        </is>
      </c>
      <c r="G431" t="inlineStr">
        <is>
          <t>VANSBRO</t>
        </is>
      </c>
      <c r="H431" t="inlineStr">
        <is>
          <t>Bergvik skog väst AB</t>
        </is>
      </c>
      <c r="I431" t="n">
        <v>2.7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41285-2026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46300</v>
      </c>
      <c r="E432" s="1" t="n">
        <v>46313</v>
      </c>
      <c r="F432" t="inlineStr">
        <is>
          <t>DALARNAS LÄN</t>
        </is>
      </c>
      <c r="G432" t="inlineStr">
        <is>
          <t>VANSBRO</t>
        </is>
      </c>
      <c r="H432" t="inlineStr">
        <is>
          <t>Bergvik skog öst AB</t>
        </is>
      </c>
      <c r="I432" t="n">
        <v>4.1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7764-2026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46062</v>
      </c>
      <c r="E433" s="1" t="n">
        <v>46313</v>
      </c>
      <c r="F433" t="inlineStr">
        <is>
          <t>DALARNAS LÄN</t>
        </is>
      </c>
      <c r="G433" t="inlineStr">
        <is>
          <t>VANSBRO</t>
        </is>
      </c>
      <c r="I433" t="n">
        <v>5.1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21616-2025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45783</v>
      </c>
      <c r="E434" s="1" t="n">
        <v>46313</v>
      </c>
      <c r="F434" t="inlineStr">
        <is>
          <t>DALARNAS LÄN</t>
        </is>
      </c>
      <c r="G434" t="inlineStr">
        <is>
          <t>VANSBRO</t>
        </is>
      </c>
      <c r="I434" t="n">
        <v>1.4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41176-2026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46300</v>
      </c>
      <c r="E435" s="1" t="n">
        <v>46313</v>
      </c>
      <c r="F435" t="inlineStr">
        <is>
          <t>DALARNAS LÄN</t>
        </is>
      </c>
      <c r="G435" t="inlineStr">
        <is>
          <t>VANSBRO</t>
        </is>
      </c>
      <c r="H435" t="inlineStr">
        <is>
          <t>Bergvik skog väst AB</t>
        </is>
      </c>
      <c r="I435" t="n">
        <v>19.7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2558-2025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45674</v>
      </c>
      <c r="E436" s="1" t="n">
        <v>46313</v>
      </c>
      <c r="F436" t="inlineStr">
        <is>
          <t>DALARNAS LÄN</t>
        </is>
      </c>
      <c r="G436" t="inlineStr">
        <is>
          <t>VANSBRO</t>
        </is>
      </c>
      <c r="I436" t="n">
        <v>4.9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21656-2025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45783</v>
      </c>
      <c r="E437" s="1" t="n">
        <v>46313</v>
      </c>
      <c r="F437" t="inlineStr">
        <is>
          <t>DALARNAS LÄN</t>
        </is>
      </c>
      <c r="G437" t="inlineStr">
        <is>
          <t>VANSBRO</t>
        </is>
      </c>
      <c r="I437" t="n">
        <v>3.6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34583-2026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46255</v>
      </c>
      <c r="E438" s="1" t="n">
        <v>46313</v>
      </c>
      <c r="F438" t="inlineStr">
        <is>
          <t>DALARNAS LÄN</t>
        </is>
      </c>
      <c r="G438" t="inlineStr">
        <is>
          <t>VANSBRO</t>
        </is>
      </c>
      <c r="H438" t="inlineStr">
        <is>
          <t>Bergvik skog väst AB</t>
        </is>
      </c>
      <c r="I438" t="n">
        <v>1.9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29288-2024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45483</v>
      </c>
      <c r="E439" s="1" t="n">
        <v>46313</v>
      </c>
      <c r="F439" t="inlineStr">
        <is>
          <t>DALARNAS LÄN</t>
        </is>
      </c>
      <c r="G439" t="inlineStr">
        <is>
          <t>VANSBRO</t>
        </is>
      </c>
      <c r="I439" t="n">
        <v>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30544-2024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45492</v>
      </c>
      <c r="E440" s="1" t="n">
        <v>46313</v>
      </c>
      <c r="F440" t="inlineStr">
        <is>
          <t>DALARNAS LÄN</t>
        </is>
      </c>
      <c r="G440" t="inlineStr">
        <is>
          <t>VANSBRO</t>
        </is>
      </c>
      <c r="I440" t="n">
        <v>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23085-2022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44719</v>
      </c>
      <c r="E441" s="1" t="n">
        <v>46313</v>
      </c>
      <c r="F441" t="inlineStr">
        <is>
          <t>DALARNAS LÄN</t>
        </is>
      </c>
      <c r="G441" t="inlineStr">
        <is>
          <t>VANSBRO</t>
        </is>
      </c>
      <c r="I441" t="n">
        <v>4.1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41279-2026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46300</v>
      </c>
      <c r="E442" s="1" t="n">
        <v>46313</v>
      </c>
      <c r="F442" t="inlineStr">
        <is>
          <t>DALARNAS LÄN</t>
        </is>
      </c>
      <c r="G442" t="inlineStr">
        <is>
          <t>VANSBRO</t>
        </is>
      </c>
      <c r="H442" t="inlineStr">
        <is>
          <t>Bergvik skog väst AB</t>
        </is>
      </c>
      <c r="I442" t="n">
        <v>2.4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41858-2026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46303</v>
      </c>
      <c r="E443" s="1" t="n">
        <v>46313</v>
      </c>
      <c r="F443" t="inlineStr">
        <is>
          <t>DALARNAS LÄN</t>
        </is>
      </c>
      <c r="G443" t="inlineStr">
        <is>
          <t>VANSBRO</t>
        </is>
      </c>
      <c r="H443" t="inlineStr">
        <is>
          <t>Bergvik skog öst AB</t>
        </is>
      </c>
      <c r="I443" t="n">
        <v>4.8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35042-2026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46259</v>
      </c>
      <c r="E444" s="1" t="n">
        <v>46313</v>
      </c>
      <c r="F444" t="inlineStr">
        <is>
          <t>DALARNAS LÄN</t>
        </is>
      </c>
      <c r="G444" t="inlineStr">
        <is>
          <t>VANSBRO</t>
        </is>
      </c>
      <c r="H444" t="inlineStr">
        <is>
          <t>Bergvik skog öst AB</t>
        </is>
      </c>
      <c r="I444" t="n">
        <v>6.9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41606-2026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46302</v>
      </c>
      <c r="E445" s="1" t="n">
        <v>46313</v>
      </c>
      <c r="F445" t="inlineStr">
        <is>
          <t>DALARNAS LÄN</t>
        </is>
      </c>
      <c r="G445" t="inlineStr">
        <is>
          <t>VANSBRO</t>
        </is>
      </c>
      <c r="I445" t="n">
        <v>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41921-2026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46303</v>
      </c>
      <c r="E446" s="1" t="n">
        <v>46313</v>
      </c>
      <c r="F446" t="inlineStr">
        <is>
          <t>DALARNAS LÄN</t>
        </is>
      </c>
      <c r="G446" t="inlineStr">
        <is>
          <t>VANSBRO</t>
        </is>
      </c>
      <c r="I446" t="n">
        <v>0.8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41742-2026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46302</v>
      </c>
      <c r="E447" s="1" t="n">
        <v>46313</v>
      </c>
      <c r="F447" t="inlineStr">
        <is>
          <t>DALARNAS LÄN</t>
        </is>
      </c>
      <c r="G447" t="inlineStr">
        <is>
          <t>VANSBRO</t>
        </is>
      </c>
      <c r="H447" t="inlineStr">
        <is>
          <t>Bergvik skog öst AB</t>
        </is>
      </c>
      <c r="I447" t="n">
        <v>1.5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35050-2026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46259</v>
      </c>
      <c r="E448" s="1" t="n">
        <v>46313</v>
      </c>
      <c r="F448" t="inlineStr">
        <is>
          <t>DALARNAS LÄN</t>
        </is>
      </c>
      <c r="G448" t="inlineStr">
        <is>
          <t>VANSBRO</t>
        </is>
      </c>
      <c r="H448" t="inlineStr">
        <is>
          <t>Bergvik skog öst AB</t>
        </is>
      </c>
      <c r="I448" t="n">
        <v>0.6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23792-2025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45793</v>
      </c>
      <c r="E449" s="1" t="n">
        <v>46313</v>
      </c>
      <c r="F449" t="inlineStr">
        <is>
          <t>DALARNAS LÄN</t>
        </is>
      </c>
      <c r="G449" t="inlineStr">
        <is>
          <t>VANSBRO</t>
        </is>
      </c>
      <c r="I449" t="n">
        <v>1.8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4760-2025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45688</v>
      </c>
      <c r="E450" s="1" t="n">
        <v>46313</v>
      </c>
      <c r="F450" t="inlineStr">
        <is>
          <t>DALARNAS LÄN</t>
        </is>
      </c>
      <c r="G450" t="inlineStr">
        <is>
          <t>VANSBRO</t>
        </is>
      </c>
      <c r="I450" t="n">
        <v>2.9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42352-2026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46307</v>
      </c>
      <c r="E451" s="1" t="n">
        <v>46313</v>
      </c>
      <c r="F451" t="inlineStr">
        <is>
          <t>DALARNAS LÄN</t>
        </is>
      </c>
      <c r="G451" t="inlineStr">
        <is>
          <t>VANSBRO</t>
        </is>
      </c>
      <c r="H451" t="inlineStr">
        <is>
          <t>Bergvik skog väst AB</t>
        </is>
      </c>
      <c r="I451" t="n">
        <v>3.4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29411-2024</t>
        </is>
      </c>
      <c r="B452" t="inlineStr">
        <is>
          <t>avverkningsanmälan</t>
        </is>
      </c>
      <c r="C452" t="inlineStr">
        <is>
          <t>Avverkning för annat ändamål</t>
        </is>
      </c>
      <c r="D452" s="1" t="n">
        <v>45483</v>
      </c>
      <c r="E452" s="1" t="n">
        <v>46313</v>
      </c>
      <c r="F452" t="inlineStr">
        <is>
          <t>DALARNAS LÄN</t>
        </is>
      </c>
      <c r="G452" t="inlineStr">
        <is>
          <t>VANSBRO</t>
        </is>
      </c>
      <c r="H452" t="inlineStr">
        <is>
          <t>Bergvik skog väst AB</t>
        </is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35579-2026</t>
        </is>
      </c>
      <c r="B453" t="inlineStr">
        <is>
          <t>avverkningsanmälan</t>
        </is>
      </c>
      <c r="C453" t="inlineStr">
        <is>
          <t>Avverkning för annat ändamål</t>
        </is>
      </c>
      <c r="D453" s="1" t="n">
        <v>46262</v>
      </c>
      <c r="E453" s="1" t="n">
        <v>46313</v>
      </c>
      <c r="F453" t="inlineStr">
        <is>
          <t>DALARNAS LÄN</t>
        </is>
      </c>
      <c r="G453" t="inlineStr">
        <is>
          <t>VANSBRO</t>
        </is>
      </c>
      <c r="I453" t="n">
        <v>2.4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35516-2024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45531</v>
      </c>
      <c r="E454" s="1" t="n">
        <v>46313</v>
      </c>
      <c r="F454" t="inlineStr">
        <is>
          <t>DALARNAS LÄN</t>
        </is>
      </c>
      <c r="G454" t="inlineStr">
        <is>
          <t>VANSBRO</t>
        </is>
      </c>
      <c r="I454" t="n">
        <v>0.9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39490-2025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45890</v>
      </c>
      <c r="E455" s="1" t="n">
        <v>46313</v>
      </c>
      <c r="F455" t="inlineStr">
        <is>
          <t>DALARNAS LÄN</t>
        </is>
      </c>
      <c r="G455" t="inlineStr">
        <is>
          <t>VANSBRO</t>
        </is>
      </c>
      <c r="H455" t="inlineStr">
        <is>
          <t>Bergvik skog väst AB</t>
        </is>
      </c>
      <c r="I455" t="n">
        <v>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24522-2025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45798</v>
      </c>
      <c r="E456" s="1" t="n">
        <v>46313</v>
      </c>
      <c r="F456" t="inlineStr">
        <is>
          <t>DALARNAS LÄN</t>
        </is>
      </c>
      <c r="G456" t="inlineStr">
        <is>
          <t>VANSBRO</t>
        </is>
      </c>
      <c r="I456" t="n">
        <v>0.8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42021-2026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46304</v>
      </c>
      <c r="E457" s="1" t="n">
        <v>46313</v>
      </c>
      <c r="F457" t="inlineStr">
        <is>
          <t>DALARNAS LÄN</t>
        </is>
      </c>
      <c r="G457" t="inlineStr">
        <is>
          <t>VANSBRO</t>
        </is>
      </c>
      <c r="I457" t="n">
        <v>9.1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42026-2026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46304</v>
      </c>
      <c r="E458" s="1" t="n">
        <v>46313</v>
      </c>
      <c r="F458" t="inlineStr">
        <is>
          <t>DALARNAS LÄN</t>
        </is>
      </c>
      <c r="G458" t="inlineStr">
        <is>
          <t>VANSBRO</t>
        </is>
      </c>
      <c r="I458" t="n">
        <v>3.5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27932-2026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46191</v>
      </c>
      <c r="E459" s="1" t="n">
        <v>46313</v>
      </c>
      <c r="F459" t="inlineStr">
        <is>
          <t>DALARNAS LÄN</t>
        </is>
      </c>
      <c r="G459" t="inlineStr">
        <is>
          <t>VANSBRO</t>
        </is>
      </c>
      <c r="H459" t="inlineStr">
        <is>
          <t>Bergvik skog väst AB</t>
        </is>
      </c>
      <c r="I459" t="n">
        <v>4.2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35330-2026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46261</v>
      </c>
      <c r="E460" s="1" t="n">
        <v>46313</v>
      </c>
      <c r="F460" t="inlineStr">
        <is>
          <t>DALARNAS LÄN</t>
        </is>
      </c>
      <c r="G460" t="inlineStr">
        <is>
          <t>VANSBRO</t>
        </is>
      </c>
      <c r="I460" t="n">
        <v>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42482-2026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46308</v>
      </c>
      <c r="E461" s="1" t="n">
        <v>46313</v>
      </c>
      <c r="F461" t="inlineStr">
        <is>
          <t>DALARNAS LÄN</t>
        </is>
      </c>
      <c r="G461" t="inlineStr">
        <is>
          <t>VANSBRO</t>
        </is>
      </c>
      <c r="H461" t="inlineStr">
        <is>
          <t>Bergvik skog väst AB</t>
        </is>
      </c>
      <c r="I461" t="n">
        <v>2.3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35973-2026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46266</v>
      </c>
      <c r="E462" s="1" t="n">
        <v>46313</v>
      </c>
      <c r="F462" t="inlineStr">
        <is>
          <t>DALARNAS LÄN</t>
        </is>
      </c>
      <c r="G462" t="inlineStr">
        <is>
          <t>VANSBRO</t>
        </is>
      </c>
      <c r="I462" t="n">
        <v>0.9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42651-2026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46309</v>
      </c>
      <c r="E463" s="1" t="n">
        <v>46313</v>
      </c>
      <c r="F463" t="inlineStr">
        <is>
          <t>DALARNAS LÄN</t>
        </is>
      </c>
      <c r="G463" t="inlineStr">
        <is>
          <t>VANSBRO</t>
        </is>
      </c>
      <c r="H463" t="inlineStr">
        <is>
          <t>Bergvik skog väst AB</t>
        </is>
      </c>
      <c r="I463" t="n">
        <v>3.4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42668-2026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46309</v>
      </c>
      <c r="E464" s="1" t="n">
        <v>46313</v>
      </c>
      <c r="F464" t="inlineStr">
        <is>
          <t>DALARNAS LÄN</t>
        </is>
      </c>
      <c r="G464" t="inlineStr">
        <is>
          <t>VANSBRO</t>
        </is>
      </c>
      <c r="H464" t="inlineStr">
        <is>
          <t>Bergvik skog väst AB</t>
        </is>
      </c>
      <c r="I464" t="n">
        <v>1.4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42424-2026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46308</v>
      </c>
      <c r="E465" s="1" t="n">
        <v>46313</v>
      </c>
      <c r="F465" t="inlineStr">
        <is>
          <t>DALARNAS LÄN</t>
        </is>
      </c>
      <c r="G465" t="inlineStr">
        <is>
          <t>VANSBRO</t>
        </is>
      </c>
      <c r="H465" t="inlineStr">
        <is>
          <t>Bergvik skog väst AB</t>
        </is>
      </c>
      <c r="I465" t="n">
        <v>2.6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26510-2025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45807</v>
      </c>
      <c r="E466" s="1" t="n">
        <v>46313</v>
      </c>
      <c r="F466" t="inlineStr">
        <is>
          <t>DALARNAS LÄN</t>
        </is>
      </c>
      <c r="G466" t="inlineStr">
        <is>
          <t>VANSBRO</t>
        </is>
      </c>
      <c r="I466" t="n">
        <v>1.7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26508-2025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45807</v>
      </c>
      <c r="E467" s="1" t="n">
        <v>46313</v>
      </c>
      <c r="F467" t="inlineStr">
        <is>
          <t>DALARNAS LÄN</t>
        </is>
      </c>
      <c r="G467" t="inlineStr">
        <is>
          <t>VANSBRO</t>
        </is>
      </c>
      <c r="I467" t="n">
        <v>4.8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42479-2026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46308</v>
      </c>
      <c r="E468" s="1" t="n">
        <v>46313</v>
      </c>
      <c r="F468" t="inlineStr">
        <is>
          <t>DALARNAS LÄN</t>
        </is>
      </c>
      <c r="G468" t="inlineStr">
        <is>
          <t>VANSBRO</t>
        </is>
      </c>
      <c r="H468" t="inlineStr">
        <is>
          <t>Bergvik skog väst AB</t>
        </is>
      </c>
      <c r="I468" t="n">
        <v>3.7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35752-2026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46265</v>
      </c>
      <c r="E469" s="1" t="n">
        <v>46313</v>
      </c>
      <c r="F469" t="inlineStr">
        <is>
          <t>DALARNAS LÄN</t>
        </is>
      </c>
      <c r="G469" t="inlineStr">
        <is>
          <t>VANSBRO</t>
        </is>
      </c>
      <c r="H469" t="inlineStr">
        <is>
          <t>Bergvik skog öst AB</t>
        </is>
      </c>
      <c r="I469" t="n">
        <v>3.8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26990-2025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45811</v>
      </c>
      <c r="E470" s="1" t="n">
        <v>46313</v>
      </c>
      <c r="F470" t="inlineStr">
        <is>
          <t>DALARNAS LÄN</t>
        </is>
      </c>
      <c r="G470" t="inlineStr">
        <is>
          <t>VANSBRO</t>
        </is>
      </c>
      <c r="I470" t="n">
        <v>0.8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26995-2025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45811</v>
      </c>
      <c r="E471" s="1" t="n">
        <v>46313</v>
      </c>
      <c r="F471" t="inlineStr">
        <is>
          <t>DALARNAS LÄN</t>
        </is>
      </c>
      <c r="G471" t="inlineStr">
        <is>
          <t>VANSBRO</t>
        </is>
      </c>
      <c r="I471" t="n">
        <v>2.2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6050-2025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45695</v>
      </c>
      <c r="E472" s="1" t="n">
        <v>46313</v>
      </c>
      <c r="F472" t="inlineStr">
        <is>
          <t>DALARNAS LÄN</t>
        </is>
      </c>
      <c r="G472" t="inlineStr">
        <is>
          <t>VANSBRO</t>
        </is>
      </c>
      <c r="I472" t="n">
        <v>5.5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36377-2026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46268</v>
      </c>
      <c r="E473" s="1" t="n">
        <v>46313</v>
      </c>
      <c r="F473" t="inlineStr">
        <is>
          <t>DALARNAS LÄN</t>
        </is>
      </c>
      <c r="G473" t="inlineStr">
        <is>
          <t>VANSBRO</t>
        </is>
      </c>
      <c r="H473" t="inlineStr">
        <is>
          <t>Kyrkan</t>
        </is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36379-2026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46268</v>
      </c>
      <c r="E474" s="1" t="n">
        <v>46313</v>
      </c>
      <c r="F474" t="inlineStr">
        <is>
          <t>DALARNAS LÄN</t>
        </is>
      </c>
      <c r="G474" t="inlineStr">
        <is>
          <t>VANSBRO</t>
        </is>
      </c>
      <c r="H474" t="inlineStr">
        <is>
          <t>Kyrkan</t>
        </is>
      </c>
      <c r="I474" t="n">
        <v>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28469-2025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45819</v>
      </c>
      <c r="E475" s="1" t="n">
        <v>46313</v>
      </c>
      <c r="F475" t="inlineStr">
        <is>
          <t>DALARNAS LÄN</t>
        </is>
      </c>
      <c r="G475" t="inlineStr">
        <is>
          <t>VANSBRO</t>
        </is>
      </c>
      <c r="H475" t="inlineStr">
        <is>
          <t>Bergvik skog öst AB</t>
        </is>
      </c>
      <c r="I475" t="n">
        <v>4.8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29281-2025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45824</v>
      </c>
      <c r="E476" s="1" t="n">
        <v>46313</v>
      </c>
      <c r="F476" t="inlineStr">
        <is>
          <t>DALARNAS LÄN</t>
        </is>
      </c>
      <c r="G476" t="inlineStr">
        <is>
          <t>VANSBRO</t>
        </is>
      </c>
      <c r="I476" t="n">
        <v>1.9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36375-2026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46268</v>
      </c>
      <c r="E477" s="1" t="n">
        <v>46313</v>
      </c>
      <c r="F477" t="inlineStr">
        <is>
          <t>DALARNAS LÄN</t>
        </is>
      </c>
      <c r="G477" t="inlineStr">
        <is>
          <t>VANSBRO</t>
        </is>
      </c>
      <c r="H477" t="inlineStr">
        <is>
          <t>Kyrkan</t>
        </is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31196-2025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45832</v>
      </c>
      <c r="E478" s="1" t="n">
        <v>46313</v>
      </c>
      <c r="F478" t="inlineStr">
        <is>
          <t>DALARNAS LÄN</t>
        </is>
      </c>
      <c r="G478" t="inlineStr">
        <is>
          <t>VANSBRO</t>
        </is>
      </c>
      <c r="I478" t="n">
        <v>0.5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31499-2025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45833</v>
      </c>
      <c r="E479" s="1" t="n">
        <v>46313</v>
      </c>
      <c r="F479" t="inlineStr">
        <is>
          <t>DALARNAS LÄN</t>
        </is>
      </c>
      <c r="G479" t="inlineStr">
        <is>
          <t>VANSBRO</t>
        </is>
      </c>
      <c r="I479" t="n">
        <v>27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31489-2025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45833</v>
      </c>
      <c r="E480" s="1" t="n">
        <v>46313</v>
      </c>
      <c r="F480" t="inlineStr">
        <is>
          <t>DALARNAS LÄN</t>
        </is>
      </c>
      <c r="G480" t="inlineStr">
        <is>
          <t>VANSBRO</t>
        </is>
      </c>
      <c r="I480" t="n">
        <v>9.1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32040-2025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45835</v>
      </c>
      <c r="E481" s="1" t="n">
        <v>46313</v>
      </c>
      <c r="F481" t="inlineStr">
        <is>
          <t>DALARNAS LÄN</t>
        </is>
      </c>
      <c r="G481" t="inlineStr">
        <is>
          <t>VANSBRO</t>
        </is>
      </c>
      <c r="I481" t="n">
        <v>3.8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33109-2025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45840</v>
      </c>
      <c r="E482" s="1" t="n">
        <v>46313</v>
      </c>
      <c r="F482" t="inlineStr">
        <is>
          <t>DALARNAS LÄN</t>
        </is>
      </c>
      <c r="G482" t="inlineStr">
        <is>
          <t>VANSBRO</t>
        </is>
      </c>
      <c r="I482" t="n">
        <v>1.3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33056-2025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45840</v>
      </c>
      <c r="E483" s="1" t="n">
        <v>46313</v>
      </c>
      <c r="F483" t="inlineStr">
        <is>
          <t>DALARNAS LÄN</t>
        </is>
      </c>
      <c r="G483" t="inlineStr">
        <is>
          <t>VANSBRO</t>
        </is>
      </c>
      <c r="H483" t="inlineStr">
        <is>
          <t>Bergvik skog öst AB</t>
        </is>
      </c>
      <c r="I483" t="n">
        <v>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33036-2025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45840</v>
      </c>
      <c r="E484" s="1" t="n">
        <v>46313</v>
      </c>
      <c r="F484" t="inlineStr">
        <is>
          <t>DALARNAS LÄN</t>
        </is>
      </c>
      <c r="G484" t="inlineStr">
        <is>
          <t>VANSBRO</t>
        </is>
      </c>
      <c r="H484" t="inlineStr">
        <is>
          <t>Bergvik skog öst AB</t>
        </is>
      </c>
      <c r="I484" t="n">
        <v>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34440-2025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45846</v>
      </c>
      <c r="E485" s="1" t="n">
        <v>46313</v>
      </c>
      <c r="F485" t="inlineStr">
        <is>
          <t>DALARNAS LÄN</t>
        </is>
      </c>
      <c r="G485" t="inlineStr">
        <is>
          <t>VANSBRO</t>
        </is>
      </c>
      <c r="I485" t="n">
        <v>1.6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35284-2025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45854</v>
      </c>
      <c r="E486" s="1" t="n">
        <v>46313</v>
      </c>
      <c r="F486" t="inlineStr">
        <is>
          <t>DALARNAS LÄN</t>
        </is>
      </c>
      <c r="G486" t="inlineStr">
        <is>
          <t>VANSBRO</t>
        </is>
      </c>
      <c r="I486" t="n">
        <v>0.7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17366-2025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45756</v>
      </c>
      <c r="E487" s="1" t="n">
        <v>46313</v>
      </c>
      <c r="F487" t="inlineStr">
        <is>
          <t>DALARNAS LÄN</t>
        </is>
      </c>
      <c r="G487" t="inlineStr">
        <is>
          <t>VANSBRO</t>
        </is>
      </c>
      <c r="I487" t="n">
        <v>2.9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35782-2025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45860</v>
      </c>
      <c r="E488" s="1" t="n">
        <v>46313</v>
      </c>
      <c r="F488" t="inlineStr">
        <is>
          <t>DALARNAS LÄN</t>
        </is>
      </c>
      <c r="G488" t="inlineStr">
        <is>
          <t>VANSBRO</t>
        </is>
      </c>
      <c r="H488" t="inlineStr">
        <is>
          <t>Bergvik skog öst AB</t>
        </is>
      </c>
      <c r="I488" t="n">
        <v>2.4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16830-2025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45754</v>
      </c>
      <c r="E489" s="1" t="n">
        <v>46313</v>
      </c>
      <c r="F489" t="inlineStr">
        <is>
          <t>DALARNAS LÄN</t>
        </is>
      </c>
      <c r="G489" t="inlineStr">
        <is>
          <t>VANSBRO</t>
        </is>
      </c>
      <c r="I489" t="n">
        <v>2.7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36382-2025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45868</v>
      </c>
      <c r="E490" s="1" t="n">
        <v>46313</v>
      </c>
      <c r="F490" t="inlineStr">
        <is>
          <t>DALARNAS LÄN</t>
        </is>
      </c>
      <c r="G490" t="inlineStr">
        <is>
          <t>VANSBRO</t>
        </is>
      </c>
      <c r="H490" t="inlineStr">
        <is>
          <t>Bergvik skog öst AB</t>
        </is>
      </c>
      <c r="I490" t="n">
        <v>1.3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37285-2025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45876</v>
      </c>
      <c r="E491" s="1" t="n">
        <v>46313</v>
      </c>
      <c r="F491" t="inlineStr">
        <is>
          <t>DALARNAS LÄN</t>
        </is>
      </c>
      <c r="G491" t="inlineStr">
        <is>
          <t>VANSBRO</t>
        </is>
      </c>
      <c r="I491" t="n">
        <v>1.6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37287-2025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45876</v>
      </c>
      <c r="E492" s="1" t="n">
        <v>46313</v>
      </c>
      <c r="F492" t="inlineStr">
        <is>
          <t>DALARNAS LÄN</t>
        </is>
      </c>
      <c r="G492" t="inlineStr">
        <is>
          <t>VANSBRO</t>
        </is>
      </c>
      <c r="I492" t="n">
        <v>1.1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S 1286-2024</t>
        </is>
      </c>
      <c r="B493" t="inlineStr">
        <is>
          <t>samrådsanmälan</t>
        </is>
      </c>
      <c r="C493" t="inlineStr">
        <is>
          <t>Skogsgödsling</t>
        </is>
      </c>
      <c r="D493" s="1" t="n">
        <v>45401</v>
      </c>
      <c r="E493" s="1" t="n">
        <v>46313</v>
      </c>
      <c r="F493" t="inlineStr">
        <is>
          <t>DALARNAS LÄN</t>
        </is>
      </c>
      <c r="G493" t="inlineStr">
        <is>
          <t>VANSBRO</t>
        </is>
      </c>
      <c r="H493" t="inlineStr">
        <is>
          <t>Bergvik skog väst AB</t>
        </is>
      </c>
      <c r="I493" t="n">
        <v>220.8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S 4782-2022</t>
        </is>
      </c>
      <c r="B494" t="inlineStr">
        <is>
          <t>samrådsanmälan</t>
        </is>
      </c>
      <c r="C494" t="inlineStr">
        <is>
          <t>Skogsbilväg</t>
        </is>
      </c>
      <c r="D494" s="1" t="n">
        <v>44802</v>
      </c>
      <c r="E494" s="1" t="n">
        <v>46313</v>
      </c>
      <c r="F494" t="inlineStr">
        <is>
          <t>DALARNAS LÄN</t>
        </is>
      </c>
      <c r="G494" t="inlineStr">
        <is>
          <t>VANSBRO</t>
        </is>
      </c>
      <c r="I494" t="n">
        <v>0.2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S 3514-2023</t>
        </is>
      </c>
      <c r="B495" t="inlineStr">
        <is>
          <t>samrådsanmälan</t>
        </is>
      </c>
      <c r="C495" t="inlineStr">
        <is>
          <t>Annan skogsbruksåtgärd</t>
        </is>
      </c>
      <c r="D495" s="1" t="n">
        <v>45208</v>
      </c>
      <c r="E495" s="1" t="n">
        <v>46313</v>
      </c>
      <c r="F495" t="inlineStr">
        <is>
          <t>DALARNAS LÄN</t>
        </is>
      </c>
      <c r="G495" t="inlineStr">
        <is>
          <t>VANSBRO</t>
        </is>
      </c>
      <c r="H495" t="inlineStr">
        <is>
          <t>Bergvik skog väst AB</t>
        </is>
      </c>
      <c r="I495" t="n">
        <v>37.8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S 409-2025</t>
        </is>
      </c>
      <c r="B496" t="inlineStr">
        <is>
          <t>samrådsanmälan</t>
        </is>
      </c>
      <c r="C496" t="inlineStr">
        <is>
          <t>Skogsgödsling</t>
        </is>
      </c>
      <c r="D496" s="1" t="n">
        <v>45699</v>
      </c>
      <c r="E496" s="1" t="n">
        <v>46313</v>
      </c>
      <c r="F496" t="inlineStr">
        <is>
          <t>DALARNAS LÄN</t>
        </is>
      </c>
      <c r="G496" t="inlineStr">
        <is>
          <t>VANSBRO</t>
        </is>
      </c>
      <c r="H496" t="inlineStr">
        <is>
          <t>Bergvik skog öst AB</t>
        </is>
      </c>
      <c r="I496" t="n">
        <v>277.1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S 91-2026</t>
        </is>
      </c>
      <c r="B497" t="inlineStr">
        <is>
          <t>samrådsanmälan</t>
        </is>
      </c>
      <c r="C497" t="inlineStr">
        <is>
          <t>Skogsgödsling</t>
        </is>
      </c>
      <c r="D497" s="1" t="n">
        <v>46035</v>
      </c>
      <c r="E497" s="1" t="n">
        <v>46313</v>
      </c>
      <c r="F497" t="inlineStr">
        <is>
          <t>DALARNAS LÄN</t>
        </is>
      </c>
      <c r="G497" t="inlineStr">
        <is>
          <t>VANSBRO</t>
        </is>
      </c>
      <c r="H497" t="inlineStr">
        <is>
          <t>Bergvik skog väst AB</t>
        </is>
      </c>
      <c r="I497" t="n">
        <v>153.5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>
      <c r="A498" t="inlineStr">
        <is>
          <t>S 747-2026</t>
        </is>
      </c>
      <c r="B498" t="inlineStr">
        <is>
          <t>samrådsanmälan</t>
        </is>
      </c>
      <c r="C498" t="inlineStr">
        <is>
          <t>Skogsgödsling</t>
        </is>
      </c>
      <c r="D498" s="1" t="n">
        <v>46089</v>
      </c>
      <c r="E498" s="1" t="n">
        <v>46313</v>
      </c>
      <c r="F498" t="inlineStr">
        <is>
          <t>DALARNAS LÄN</t>
        </is>
      </c>
      <c r="G498" t="inlineStr">
        <is>
          <t>VANSBRO</t>
        </is>
      </c>
      <c r="H498" t="inlineStr">
        <is>
          <t>Bergvik skog öst AB</t>
        </is>
      </c>
      <c r="I498" t="n">
        <v>82.40000000000001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2026-10-18T08:07:27Z</dcterms:created>
  <dcterms:modified xmlns:dcterms="http://purl.org/dc/terms/" xmlns:xsi="http://www.w3.org/2001/XMLSchema-instance" xsi:type="dcterms:W3CDTF">2026-10-18T08:07:28Z</dcterms:modified>
</cp:coreProperties>
</file>