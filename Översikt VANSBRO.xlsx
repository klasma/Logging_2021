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42021-2026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46304</v>
      </c>
      <c r="E6" s="1" t="n">
        <v>46321</v>
      </c>
      <c r="F6" t="inlineStr">
        <is>
          <t>DALARNAS LÄN</t>
        </is>
      </c>
      <c r="G6" t="inlineStr">
        <is>
          <t>VANSBRO</t>
        </is>
      </c>
      <c r="I6" t="n">
        <v>9.1</v>
      </c>
      <c r="J6" t="n">
        <v>4</v>
      </c>
      <c r="K6" t="n">
        <v>4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13</v>
      </c>
      <c r="T6" t="n">
        <v>51</v>
      </c>
      <c r="U6" t="n">
        <v>51</v>
      </c>
      <c r="V6" s="2" t="inlineStr">
        <is>
          <t>Garnlav
Knärot
Kattfotslav
Stjärntagging
Talltita
Tretåig hackspett
Ullticka
Vedtrappmossa
Mindre märgborre
Vedticka
Vågbandad barkbock
Zontaggsvamp
Spillkråka</t>
        </is>
      </c>
      <c r="W6">
        <f>HYPERLINK("https://klasma.github.io/Logging_2021/artfynd/A 42021-2026 artfynd.xlsx", "A 42021-2026")</f>
        <v/>
      </c>
      <c r="X6">
        <f>HYPERLINK("https://klasma.github.io/Logging_2021/kartor/A 42021-2026 karta.png", "A 42021-2026")</f>
        <v/>
      </c>
      <c r="Y6">
        <f>HYPERLINK("https://klasma.github.io/Logging_2021/kartor_geotiff/A 42021-2026 georefererad karta.tif", "A 42021-2026")</f>
        <v/>
      </c>
      <c r="Z6">
        <f>HYPERLINK("https://klasma.github.io/Logging_2021/knärot/A 42021-2026 karta knärot.png", "A 42021-2026")</f>
        <v/>
      </c>
      <c r="AA6">
        <f>HYPERLINK("https://klasma.github.io/Logging_2021/klagomål/A 42021-2026 FSC-klagomål.docx", "A 42021-2026")</f>
        <v/>
      </c>
      <c r="AB6">
        <f>HYPERLINK("https://klasma.github.io/Logging_2021/klagomålsmail/A 42021-2026 FSC-klagomål mail.docx", "A 42021-2026")</f>
        <v/>
      </c>
      <c r="AC6">
        <f>HYPERLINK("https://klasma.github.io/Logging_2021/tillsyn/A 42021-2026 tillsynsbegäran.docx", "A 42021-2026")</f>
        <v/>
      </c>
      <c r="AD6">
        <f>HYPERLINK("https://klasma.github.io/Logging_2021/tillsynsmail/A 42021-2026 tillsynsbegäran mail.docx", "A 42021-2026")</f>
        <v/>
      </c>
      <c r="AE6">
        <f>HYPERLINK("https://klasma.github.io/Logging_2021/fåglar/A 42021-2026 prioriterade fågelarter.docx", "A 42021-2026")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46321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41917-2026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46303</v>
      </c>
      <c r="E8" s="1" t="n">
        <v>46321</v>
      </c>
      <c r="F8" t="inlineStr">
        <is>
          <t>DALARNAS LÄN</t>
        </is>
      </c>
      <c r="G8" t="inlineStr">
        <is>
          <t>VANSBRO</t>
        </is>
      </c>
      <c r="I8" t="n">
        <v>7.5</v>
      </c>
      <c r="J8" t="n">
        <v>6</v>
      </c>
      <c r="K8" t="n">
        <v>3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23</v>
      </c>
      <c r="U8" t="n">
        <v>23</v>
      </c>
      <c r="V8" s="2" t="inlineStr">
        <is>
          <t>Garnlav
Rynkskinn
Tallticka
Talltita
Tretåig hackspett
Ullticka
Bollvitmossa
Mindre märgborre
Plattlummer
Mattlummer
Spillkråka
Revlummer</t>
        </is>
      </c>
      <c r="W8">
        <f>HYPERLINK("https://klasma.github.io/Logging_2021/artfynd/A 41917-2026 artfynd.xlsx", "A 41917-2026")</f>
        <v/>
      </c>
      <c r="X8">
        <f>HYPERLINK("https://klasma.github.io/Logging_2021/kartor/A 41917-2026 karta.png", "A 41917-2026")</f>
        <v/>
      </c>
      <c r="Y8">
        <f>HYPERLINK("https://klasma.github.io/Logging_2021/kartor_geotiff/A 41917-2026 georefererad karta.tif", "A 41917-2026")</f>
        <v/>
      </c>
      <c r="AA8">
        <f>HYPERLINK("https://klasma.github.io/Logging_2021/klagomål/A 41917-2026 FSC-klagomål.docx", "A 41917-2026")</f>
        <v/>
      </c>
      <c r="AB8">
        <f>HYPERLINK("https://klasma.github.io/Logging_2021/klagomålsmail/A 41917-2026 FSC-klagomål mail.docx", "A 41917-2026")</f>
        <v/>
      </c>
      <c r="AC8">
        <f>HYPERLINK("https://klasma.github.io/Logging_2021/tillsyn/A 41917-2026 tillsynsbegäran.docx", "A 41917-2026")</f>
        <v/>
      </c>
      <c r="AD8">
        <f>HYPERLINK("https://klasma.github.io/Logging_2021/tillsynsmail/A 41917-2026 tillsynsbegäran mail.docx", "A 41917-2026")</f>
        <v/>
      </c>
      <c r="AE8">
        <f>HYPERLINK("https://klasma.github.io/Logging_2021/fåglar/A 41917-2026 prioriterade fågelarter.docx", "A 41917-2026")</f>
        <v/>
      </c>
    </row>
    <row r="9" ht="15" customHeight="1">
      <c r="A9" t="inlineStr">
        <is>
          <t>A 63676-2025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46321</v>
      </c>
      <c r="F9" t="inlineStr">
        <is>
          <t>DALARNAS LÄN</t>
        </is>
      </c>
      <c r="G9" t="inlineStr">
        <is>
          <t>VANSBRO</t>
        </is>
      </c>
      <c r="I9" t="n">
        <v>12.3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11</v>
      </c>
      <c r="T9" t="n">
        <v>37</v>
      </c>
      <c r="U9" t="n">
        <v>0</v>
      </c>
      <c r="V9" s="2" t="inlineStr">
        <is>
          <t>Garnlav
Dropptaggsvamp
Kolflarnlav
Mörk kolflarnlav
Tallticka
Tretåig hackspett
Vaddporing
Mindre märgborre
Spillkråka
Tjäder
Revlummer</t>
        </is>
      </c>
      <c r="W9">
        <f>HYPERLINK("https://klasma.github.io/Logging_2021/artfynd/A 63676-2025 artfynd.xlsx", "A 63676-2025")</f>
        <v/>
      </c>
      <c r="X9">
        <f>HYPERLINK("https://klasma.github.io/Logging_2021/kartor/A 63676-2025 karta.png", "A 63676-2025")</f>
        <v/>
      </c>
      <c r="Y9">
        <f>HYPERLINK("https://klasma.github.io/Logging_2021/kartor_geotiff/A 63676-2025 georefererad karta.tif", "A 63676-2025")</f>
        <v/>
      </c>
      <c r="AA9">
        <f>HYPERLINK("https://klasma.github.io/Logging_2021/klagomål/A 63676-2025 FSC-klagomål.docx", "A 63676-2025")</f>
        <v/>
      </c>
      <c r="AB9">
        <f>HYPERLINK("https://klasma.github.io/Logging_2021/klagomålsmail/A 63676-2025 FSC-klagomål mail.docx", "A 63676-2025")</f>
        <v/>
      </c>
      <c r="AC9">
        <f>HYPERLINK("https://klasma.github.io/Logging_2021/tillsyn/A 63676-2025 tillsynsbegäran.docx", "A 63676-2025")</f>
        <v/>
      </c>
      <c r="AD9">
        <f>HYPERLINK("https://klasma.github.io/Logging_2021/tillsynsmail/A 63676-2025 tillsynsbegäran mail.docx", "A 63676-2025")</f>
        <v/>
      </c>
      <c r="AE9">
        <f>HYPERLINK("https://klasma.github.io/Logging_2021/fåglar/A 63676-2025 prioriterade fågelarter.docx", "A 63676-2025")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46321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46321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62461-2025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46321</v>
      </c>
      <c r="F12" t="inlineStr">
        <is>
          <t>DALARNAS LÄN</t>
        </is>
      </c>
      <c r="G12" t="inlineStr">
        <is>
          <t>VANSBRO</t>
        </is>
      </c>
      <c r="I12" t="n">
        <v>11.9</v>
      </c>
      <c r="J12" t="n">
        <v>4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10</v>
      </c>
      <c r="T12" t="n">
        <v>26</v>
      </c>
      <c r="U12" t="n">
        <v>0</v>
      </c>
      <c r="V12" s="2" t="inlineStr">
        <is>
          <t>Garnlav
Knärot
Dropptaggsvamp
Kolflarnlav
Mörk kolflarnlav
Tretåig hackspett
Vaddporing
Bollvitmossa
Spillkråka
Tjäder</t>
        </is>
      </c>
      <c r="W12">
        <f>HYPERLINK("https://klasma.github.io/Logging_2021/artfynd/A 62461-2025 artfynd.xlsx", "A 62461-2025")</f>
        <v/>
      </c>
      <c r="X12">
        <f>HYPERLINK("https://klasma.github.io/Logging_2021/kartor/A 62461-2025 karta.png", "A 62461-2025")</f>
        <v/>
      </c>
      <c r="Y12">
        <f>HYPERLINK("https://klasma.github.io/Logging_2021/kartor_geotiff/A 62461-2025 georefererad karta.tif", "A 62461-2025")</f>
        <v/>
      </c>
      <c r="Z12">
        <f>HYPERLINK("https://klasma.github.io/Logging_2021/knärot/A 62461-2025 karta knärot.png", "A 62461-2025")</f>
        <v/>
      </c>
      <c r="AA12">
        <f>HYPERLINK("https://klasma.github.io/Logging_2021/klagomål/A 62461-2025 FSC-klagomål.docx", "A 62461-2025")</f>
        <v/>
      </c>
      <c r="AB12">
        <f>HYPERLINK("https://klasma.github.io/Logging_2021/klagomålsmail/A 62461-2025 FSC-klagomål mail.docx", "A 62461-2025")</f>
        <v/>
      </c>
      <c r="AC12">
        <f>HYPERLINK("https://klasma.github.io/Logging_2021/tillsyn/A 62461-2025 tillsynsbegäran.docx", "A 62461-2025")</f>
        <v/>
      </c>
      <c r="AD12">
        <f>HYPERLINK("https://klasma.github.io/Logging_2021/tillsynsmail/A 62461-2025 tillsynsbegäran mail.docx", "A 62461-2025")</f>
        <v/>
      </c>
      <c r="AE12">
        <f>HYPERLINK("https://klasma.github.io/Logging_2021/fåglar/A 62461-2025 prioriterade fågelarter.docx", "A 62461-2025")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46321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60229-2025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46321</v>
      </c>
      <c r="F14" t="inlineStr">
        <is>
          <t>DALARNAS LÄN</t>
        </is>
      </c>
      <c r="G14" t="inlineStr">
        <is>
          <t>VANSBRO</t>
        </is>
      </c>
      <c r="I14" t="n">
        <v>4.9</v>
      </c>
      <c r="J14" t="n">
        <v>3</v>
      </c>
      <c r="K14" t="n">
        <v>1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73</v>
      </c>
      <c r="U14" t="n">
        <v>73</v>
      </c>
      <c r="V14" s="2" t="inlineStr">
        <is>
          <t>Garnlav
Knärot
Kolflarnlav
Mörk kolflarnlav
Tallticka
Tretåig hackspett
Ullticka
Grönpyrola
Spillkråka</t>
        </is>
      </c>
      <c r="W14">
        <f>HYPERLINK("https://klasma.github.io/Logging_2021/artfynd/A 60229-2025 artfynd.xlsx", "A 60229-2025")</f>
        <v/>
      </c>
      <c r="X14">
        <f>HYPERLINK("https://klasma.github.io/Logging_2021/kartor/A 60229-2025 karta.png", "A 60229-2025")</f>
        <v/>
      </c>
      <c r="Y14">
        <f>HYPERLINK("https://klasma.github.io/Logging_2021/kartor_geotiff/A 60229-2025 georefererad karta.tif", "A 60229-2025")</f>
        <v/>
      </c>
      <c r="Z14">
        <f>HYPERLINK("https://klasma.github.io/Logging_2021/knärot/A 60229-2025 karta knärot.png", "A 60229-2025")</f>
        <v/>
      </c>
      <c r="AA14">
        <f>HYPERLINK("https://klasma.github.io/Logging_2021/klagomål/A 60229-2025 FSC-klagomål.docx", "A 60229-2025")</f>
        <v/>
      </c>
      <c r="AB14">
        <f>HYPERLINK("https://klasma.github.io/Logging_2021/klagomålsmail/A 60229-2025 FSC-klagomål mail.docx", "A 60229-2025")</f>
        <v/>
      </c>
      <c r="AC14">
        <f>HYPERLINK("https://klasma.github.io/Logging_2021/tillsyn/A 60229-2025 tillsynsbegäran.docx", "A 60229-2025")</f>
        <v/>
      </c>
      <c r="AD14">
        <f>HYPERLINK("https://klasma.github.io/Logging_2021/tillsynsmail/A 60229-2025 tillsynsbegäran mail.docx", "A 60229-2025")</f>
        <v/>
      </c>
      <c r="AE14">
        <f>HYPERLINK("https://klasma.github.io/Logging_2021/fåglar/A 60229-2025 prioriterade fågelarter.docx", "A 60229-2025")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46321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6640-2026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46321</v>
      </c>
      <c r="F16" t="inlineStr">
        <is>
          <t>DALARNAS LÄN</t>
        </is>
      </c>
      <c r="G16" t="inlineStr">
        <is>
          <t>VANSBRO</t>
        </is>
      </c>
      <c r="I16" t="n">
        <v>5.4</v>
      </c>
      <c r="J16" t="n">
        <v>1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35</v>
      </c>
      <c r="U16" t="n">
        <v>0</v>
      </c>
      <c r="V16" s="2" t="inlineStr">
        <is>
          <t>Garnlav
Dvärgbägarlav
Mörk kolflarnlav
Tallticka
Vedskivlav
Mindre märgborre
Nästlav
Tjäder</t>
        </is>
      </c>
      <c r="W16">
        <f>HYPERLINK("https://klasma.github.io/Logging_2021/artfynd/A 6640-2026 artfynd.xlsx", "A 6640-2026")</f>
        <v/>
      </c>
      <c r="X16">
        <f>HYPERLINK("https://klasma.github.io/Logging_2021/kartor/A 6640-2026 karta.png", "A 6640-2026")</f>
        <v/>
      </c>
      <c r="Y16">
        <f>HYPERLINK("https://klasma.github.io/Logging_2021/kartor_geotiff/A 6640-2026 georefererad karta.tif", "A 6640-2026")</f>
        <v/>
      </c>
      <c r="AA16">
        <f>HYPERLINK("https://klasma.github.io/Logging_2021/klagomål/A 6640-2026 FSC-klagomål.docx", "A 6640-2026")</f>
        <v/>
      </c>
      <c r="AB16">
        <f>HYPERLINK("https://klasma.github.io/Logging_2021/klagomålsmail/A 6640-2026 FSC-klagomål mail.docx", "A 6640-2026")</f>
        <v/>
      </c>
      <c r="AC16">
        <f>HYPERLINK("https://klasma.github.io/Logging_2021/tillsyn/A 6640-2026 tillsynsbegäran.docx", "A 6640-2026")</f>
        <v/>
      </c>
      <c r="AD16">
        <f>HYPERLINK("https://klasma.github.io/Logging_2021/tillsynsmail/A 6640-2026 tillsynsbegäran mail.docx", "A 6640-2026")</f>
        <v/>
      </c>
      <c r="AE16">
        <f>HYPERLINK("https://klasma.github.io/Logging_2021/fåglar/A 6640-2026 prioriterade fågelarter.docx", "A 6640-2026")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46321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46321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6671-2026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46321</v>
      </c>
      <c r="F19" t="inlineStr">
        <is>
          <t>DALARNAS LÄN</t>
        </is>
      </c>
      <c r="G19" t="inlineStr">
        <is>
          <t>VANSBRO</t>
        </is>
      </c>
      <c r="I19" t="n">
        <v>13.9</v>
      </c>
      <c r="J19" t="n">
        <v>1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27</v>
      </c>
      <c r="U19" t="n">
        <v>0</v>
      </c>
      <c r="V19" s="2" t="inlineStr">
        <is>
          <t>Garnlav
Kolflarnlav
Mörk kolflarnlav
Rynkskinn
Mindre märgborre
Tjäder</t>
        </is>
      </c>
      <c r="W19">
        <f>HYPERLINK("https://klasma.github.io/Logging_2021/artfynd/A 6671-2026 artfynd.xlsx", "A 6671-2026")</f>
        <v/>
      </c>
      <c r="X19">
        <f>HYPERLINK("https://klasma.github.io/Logging_2021/kartor/A 6671-2026 karta.png", "A 6671-2026")</f>
        <v/>
      </c>
      <c r="Y19">
        <f>HYPERLINK("https://klasma.github.io/Logging_2021/kartor_geotiff/A 6671-2026 georefererad karta.tif", "A 6671-2026")</f>
        <v/>
      </c>
      <c r="AA19">
        <f>HYPERLINK("https://klasma.github.io/Logging_2021/klagomål/A 6671-2026 FSC-klagomål.docx", "A 6671-2026")</f>
        <v/>
      </c>
      <c r="AB19">
        <f>HYPERLINK("https://klasma.github.io/Logging_2021/klagomålsmail/A 6671-2026 FSC-klagomål mail.docx", "A 6671-2026")</f>
        <v/>
      </c>
      <c r="AC19">
        <f>HYPERLINK("https://klasma.github.io/Logging_2021/tillsyn/A 6671-2026 tillsynsbegäran.docx", "A 6671-2026")</f>
        <v/>
      </c>
      <c r="AD19">
        <f>HYPERLINK("https://klasma.github.io/Logging_2021/tillsynsmail/A 6671-2026 tillsynsbegäran mail.docx", "A 6671-2026")</f>
        <v/>
      </c>
      <c r="AE19">
        <f>HYPERLINK("https://klasma.github.io/Logging_2021/fåglar/A 6671-2026 prioriterade fågelarter.docx", "A 6671-2026")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46321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3363-2026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46321</v>
      </c>
      <c r="F21" t="inlineStr">
        <is>
          <t>DALARNAS LÄN</t>
        </is>
      </c>
      <c r="G21" t="inlineStr">
        <is>
          <t>VANSBRO</t>
        </is>
      </c>
      <c r="I21" t="n">
        <v>5.3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5</v>
      </c>
      <c r="T21" t="n">
        <v>39</v>
      </c>
      <c r="U21" t="n">
        <v>39</v>
      </c>
      <c r="V21" s="2" t="inlineStr">
        <is>
          <t>Garnlav
Knärot
Tretåig hackspett
Ullticka
Tjäder</t>
        </is>
      </c>
      <c r="W21">
        <f>HYPERLINK("https://klasma.github.io/Logging_2021/artfynd/A 3363-2026 artfynd.xlsx", "A 3363-2026")</f>
        <v/>
      </c>
      <c r="X21">
        <f>HYPERLINK("https://klasma.github.io/Logging_2021/kartor/A 3363-2026 karta.png", "A 3363-2026")</f>
        <v/>
      </c>
      <c r="Y21">
        <f>HYPERLINK("https://klasma.github.io/Logging_2021/kartor_geotiff/A 3363-2026 georefererad karta.tif", "A 3363-2026")</f>
        <v/>
      </c>
      <c r="Z21">
        <f>HYPERLINK("https://klasma.github.io/Logging_2021/knärot/A 3363-2026 karta knärot.png", "A 3363-2026")</f>
        <v/>
      </c>
      <c r="AA21">
        <f>HYPERLINK("https://klasma.github.io/Logging_2021/klagomål/A 3363-2026 FSC-klagomål.docx", "A 3363-2026")</f>
        <v/>
      </c>
      <c r="AB21">
        <f>HYPERLINK("https://klasma.github.io/Logging_2021/klagomålsmail/A 3363-2026 FSC-klagomål mail.docx", "A 3363-2026")</f>
        <v/>
      </c>
      <c r="AC21">
        <f>HYPERLINK("https://klasma.github.io/Logging_2021/tillsyn/A 3363-2026 tillsynsbegäran.docx", "A 3363-2026")</f>
        <v/>
      </c>
      <c r="AD21">
        <f>HYPERLINK("https://klasma.github.io/Logging_2021/tillsynsmail/A 3363-2026 tillsynsbegäran mail.docx", "A 3363-2026")</f>
        <v/>
      </c>
      <c r="AE21">
        <f>HYPERLINK("https://klasma.github.io/Logging_2021/fåglar/A 3363-2026 prioriterade fågelarter.docx", "A 3363-2026")</f>
        <v/>
      </c>
    </row>
    <row r="22" ht="15" customHeight="1">
      <c r="A22" t="inlineStr">
        <is>
          <t>A 62734-2021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46321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öst AB</t>
        </is>
      </c>
      <c r="I22" t="n">
        <v>5.6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Doftskinn
Ullticka
Violettgrå tagellav
Stuplav</t>
        </is>
      </c>
      <c r="W22">
        <f>HYPERLINK("https://klasma.github.io/Logging_2021/artfynd/A 62734-2021 artfynd.xlsx", "A 62734-2021")</f>
        <v/>
      </c>
      <c r="X22">
        <f>HYPERLINK("https://klasma.github.io/Logging_2021/kartor/A 62734-2021 karta.png", "A 62734-2021")</f>
        <v/>
      </c>
      <c r="Y22">
        <f>HYPERLINK("https://klasma.github.io/Logging_2021/kartor_geotiff/A 62734-2021 georefererad karta.tif", "A 62734-2021")</f>
        <v/>
      </c>
      <c r="AA22">
        <f>HYPERLINK("https://klasma.github.io/Logging_2021/klagomål/A 62734-2021 FSC-klagomål.docx", "A 62734-2021")</f>
        <v/>
      </c>
      <c r="AB22">
        <f>HYPERLINK("https://klasma.github.io/Logging_2021/klagomålsmail/A 62734-2021 FSC-klagomål mail.docx", "A 62734-2021")</f>
        <v/>
      </c>
      <c r="AC22">
        <f>HYPERLINK("https://klasma.github.io/Logging_2021/tillsyn/A 62734-2021 tillsynsbegäran.docx", "A 62734-2021")</f>
        <v/>
      </c>
      <c r="AD22">
        <f>HYPERLINK("https://klasma.github.io/Logging_2021/tillsynsmail/A 62734-2021 tillsynsbegäran mail.docx", "A 62734-2021")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46321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46321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46321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46321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46321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3854-2024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45322</v>
      </c>
      <c r="E28" s="1" t="n">
        <v>46321</v>
      </c>
      <c r="F28" t="inlineStr">
        <is>
          <t>DALARNAS LÄN</t>
        </is>
      </c>
      <c r="G28" t="inlineStr">
        <is>
          <t>VANSBRO</t>
        </is>
      </c>
      <c r="H28" t="inlineStr">
        <is>
          <t>Kyrkan</t>
        </is>
      </c>
      <c r="I28" t="n">
        <v>4.6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3</v>
      </c>
      <c r="V28" s="2" t="inlineStr">
        <is>
          <t>Garnlav
Tretåig hackspett
Björksplintborre
Utter</t>
        </is>
      </c>
      <c r="W28">
        <f>HYPERLINK("https://klasma.github.io/Logging_2021/artfynd/A 3854-2024 artfynd.xlsx", "A 3854-2024")</f>
        <v/>
      </c>
      <c r="X28">
        <f>HYPERLINK("https://klasma.github.io/Logging_2021/kartor/A 3854-2024 karta.png", "A 3854-2024")</f>
        <v/>
      </c>
      <c r="Y28">
        <f>HYPERLINK("https://klasma.github.io/Logging_2021/kartor_geotiff/A 3854-2024 georefererad karta.tif", "A 3854-2024")</f>
        <v/>
      </c>
      <c r="AA28">
        <f>HYPERLINK("https://klasma.github.io/Logging_2021/klagomål/A 3854-2024 FSC-klagomål.docx", "A 3854-2024")</f>
        <v/>
      </c>
      <c r="AB28">
        <f>HYPERLINK("https://klasma.github.io/Logging_2021/klagomålsmail/A 3854-2024 FSC-klagomål mail.docx", "A 3854-2024")</f>
        <v/>
      </c>
      <c r="AC28">
        <f>HYPERLINK("https://klasma.github.io/Logging_2021/tillsyn/A 3854-2024 tillsynsbegäran.docx", "A 3854-2024")</f>
        <v/>
      </c>
      <c r="AD28">
        <f>HYPERLINK("https://klasma.github.io/Logging_2021/tillsynsmail/A 3854-2024 tillsynsbegäran mail.docx", "A 3854-2024")</f>
        <v/>
      </c>
      <c r="AE28">
        <f>HYPERLINK("https://klasma.github.io/Logging_2021/fåglar/A 3854-2024 prioriterade fågelarter.docx", "A 3854-2024")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46321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41377-2026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46301</v>
      </c>
      <c r="E30" s="1" t="n">
        <v>46321</v>
      </c>
      <c r="F30" t="inlineStr">
        <is>
          <t>DALARNAS LÄN</t>
        </is>
      </c>
      <c r="G30" t="inlineStr">
        <is>
          <t>VANSBRO</t>
        </is>
      </c>
      <c r="I30" t="n">
        <v>0.6</v>
      </c>
      <c r="J30" t="n">
        <v>1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3</v>
      </c>
      <c r="T30" t="n">
        <v>4</v>
      </c>
      <c r="U30" t="n">
        <v>0</v>
      </c>
      <c r="V30" s="2" t="inlineStr">
        <is>
          <t>Garnlav
Knärot
Ullticka</t>
        </is>
      </c>
      <c r="W30">
        <f>HYPERLINK("https://klasma.github.io/Logging_2021/artfynd/A 41377-2026 artfynd.xlsx", "A 41377-2026")</f>
        <v/>
      </c>
      <c r="X30">
        <f>HYPERLINK("https://klasma.github.io/Logging_2021/kartor/A 41377-2026 karta.png", "A 41377-2026")</f>
        <v/>
      </c>
      <c r="Y30">
        <f>HYPERLINK("https://klasma.github.io/Logging_2021/kartor_geotiff/A 41377-2026 georefererad karta.tif", "A 41377-2026")</f>
        <v/>
      </c>
      <c r="Z30">
        <f>HYPERLINK("https://klasma.github.io/Logging_2021/knärot/A 41377-2026 karta knärot.png", "A 41377-2026")</f>
        <v/>
      </c>
      <c r="AA30">
        <f>HYPERLINK("https://klasma.github.io/Logging_2021/klagomål/A 41377-2026 FSC-klagomål.docx", "A 41377-2026")</f>
        <v/>
      </c>
      <c r="AB30">
        <f>HYPERLINK("https://klasma.github.io/Logging_2021/klagomålsmail/A 41377-2026 FSC-klagomål mail.docx", "A 41377-2026")</f>
        <v/>
      </c>
      <c r="AC30">
        <f>HYPERLINK("https://klasma.github.io/Logging_2021/tillsyn/A 41377-2026 tillsynsbegäran.docx", "A 41377-2026")</f>
        <v/>
      </c>
      <c r="AD30">
        <f>HYPERLINK("https://klasma.github.io/Logging_2021/tillsynsmail/A 41377-2026 tillsynsbegäran mail.docx", "A 41377-2026")</f>
        <v/>
      </c>
    </row>
    <row r="31" ht="15" customHeight="1">
      <c r="A31" t="inlineStr">
        <is>
          <t>A 41690-2026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46321</v>
      </c>
      <c r="F31" t="inlineStr">
        <is>
          <t>DALARNAS LÄN</t>
        </is>
      </c>
      <c r="G31" t="inlineStr">
        <is>
          <t>VANSBRO</t>
        </is>
      </c>
      <c r="I31" t="n">
        <v>2.4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Drillsnäppa
Ullticka
Älg</t>
        </is>
      </c>
      <c r="W31">
        <f>HYPERLINK("https://klasma.github.io/Logging_2021/artfynd/A 41690-2026 artfynd.xlsx", "A 41690-2026")</f>
        <v/>
      </c>
      <c r="X31">
        <f>HYPERLINK("https://klasma.github.io/Logging_2021/kartor/A 41690-2026 karta.png", "A 41690-2026")</f>
        <v/>
      </c>
      <c r="Y31">
        <f>HYPERLINK("https://klasma.github.io/Logging_2021/kartor_geotiff/A 41690-2026 georefererad karta.tif", "A 41690-2026")</f>
        <v/>
      </c>
      <c r="AA31">
        <f>HYPERLINK("https://klasma.github.io/Logging_2021/klagomål/A 41690-2026 FSC-klagomål.docx", "A 41690-2026")</f>
        <v/>
      </c>
      <c r="AB31">
        <f>HYPERLINK("https://klasma.github.io/Logging_2021/klagomålsmail/A 41690-2026 FSC-klagomål mail.docx", "A 41690-2026")</f>
        <v/>
      </c>
      <c r="AC31">
        <f>HYPERLINK("https://klasma.github.io/Logging_2021/tillsyn/A 41690-2026 tillsynsbegäran.docx", "A 41690-2026")</f>
        <v/>
      </c>
      <c r="AD31">
        <f>HYPERLINK("https://klasma.github.io/Logging_2021/tillsynsmail/A 41690-2026 tillsynsbegäran mail.docx", "A 41690-2026")</f>
        <v/>
      </c>
      <c r="AE31">
        <f>HYPERLINK("https://klasma.github.io/Logging_2021/fåglar/A 41690-2026 prioriterade fågelarter.docx", "A 41690-2026")</f>
        <v/>
      </c>
    </row>
    <row r="32" ht="15" customHeight="1">
      <c r="A32" t="inlineStr">
        <is>
          <t>A 27504-2025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45813</v>
      </c>
      <c r="E32" s="1" t="n">
        <v>46321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3.4</v>
      </c>
      <c r="J32" t="n">
        <v>0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5</v>
      </c>
      <c r="U32" t="n">
        <v>0</v>
      </c>
      <c r="V32" s="2" t="inlineStr">
        <is>
          <t>Garnlav
Kortskaftad ärgspik
Vedticka</t>
        </is>
      </c>
      <c r="W32">
        <f>HYPERLINK("https://klasma.github.io/Logging_2021/artfynd/A 27504-2025 artfynd.xlsx", "A 27504-2025")</f>
        <v/>
      </c>
      <c r="X32">
        <f>HYPERLINK("https://klasma.github.io/Logging_2021/kartor/A 27504-2025 karta.png", "A 27504-2025")</f>
        <v/>
      </c>
      <c r="Y32">
        <f>HYPERLINK("https://klasma.github.io/Logging_2021/kartor_geotiff/A 27504-2025 georefererad karta.tif", "A 27504-2025")</f>
        <v/>
      </c>
      <c r="AA32">
        <f>HYPERLINK("https://klasma.github.io/Logging_2021/klagomål/A 27504-2025 FSC-klagomål.docx", "A 27504-2025")</f>
        <v/>
      </c>
      <c r="AB32">
        <f>HYPERLINK("https://klasma.github.io/Logging_2021/klagomålsmail/A 27504-2025 FSC-klagomål mail.docx", "A 27504-2025")</f>
        <v/>
      </c>
      <c r="AC32">
        <f>HYPERLINK("https://klasma.github.io/Logging_2021/tillsyn/A 27504-2025 tillsynsbegäran.docx", "A 27504-2025")</f>
        <v/>
      </c>
      <c r="AD32">
        <f>HYPERLINK("https://klasma.github.io/Logging_2021/tillsynsmail/A 27504-2025 tillsynsbegäran mail.docx", "A 27504-2025")</f>
        <v/>
      </c>
    </row>
    <row r="33" ht="15" customHeight="1">
      <c r="A33" t="inlineStr">
        <is>
          <t>A 16725-2024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45409</v>
      </c>
      <c r="E33" s="1" t="n">
        <v>46321</v>
      </c>
      <c r="F33" t="inlineStr">
        <is>
          <t>DALARNAS LÄN</t>
        </is>
      </c>
      <c r="G33" t="inlineStr">
        <is>
          <t>VANSBRO</t>
        </is>
      </c>
      <c r="I33" t="n">
        <v>3.1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Dropptaggsvamp
Skuggblåslav
Bollvitmossa</t>
        </is>
      </c>
      <c r="W33">
        <f>HYPERLINK("https://klasma.github.io/Logging_2021/artfynd/A 16725-2024 artfynd.xlsx", "A 16725-2024")</f>
        <v/>
      </c>
      <c r="X33">
        <f>HYPERLINK("https://klasma.github.io/Logging_2021/kartor/A 16725-2024 karta.png", "A 16725-2024")</f>
        <v/>
      </c>
      <c r="Y33">
        <f>HYPERLINK("https://klasma.github.io/Logging_2021/kartor_geotiff/A 16725-2024 georefererad karta.tif", "A 16725-2024")</f>
        <v/>
      </c>
      <c r="AA33">
        <f>HYPERLINK("https://klasma.github.io/Logging_2021/klagomål/A 16725-2024 FSC-klagomål.docx", "A 16725-2024")</f>
        <v/>
      </c>
      <c r="AB33">
        <f>HYPERLINK("https://klasma.github.io/Logging_2021/klagomålsmail/A 16725-2024 FSC-klagomål mail.docx", "A 16725-2024")</f>
        <v/>
      </c>
      <c r="AC33">
        <f>HYPERLINK("https://klasma.github.io/Logging_2021/tillsyn/A 16725-2024 tillsynsbegäran.docx", "A 16725-2024")</f>
        <v/>
      </c>
      <c r="AD33">
        <f>HYPERLINK("https://klasma.github.io/Logging_2021/tillsynsmail/A 16725-2024 tillsynsbegäran mail.docx", "A 16725-2024")</f>
        <v/>
      </c>
    </row>
    <row r="34" ht="15" customHeight="1">
      <c r="A34" t="inlineStr">
        <is>
          <t>A 11433-2025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45726</v>
      </c>
      <c r="E34" s="1" t="n">
        <v>46321</v>
      </c>
      <c r="F34" t="inlineStr">
        <is>
          <t>DALARNAS LÄN</t>
        </is>
      </c>
      <c r="G34" t="inlineStr">
        <is>
          <t>VANSBRO</t>
        </is>
      </c>
      <c r="I34" t="n">
        <v>7.5</v>
      </c>
      <c r="J34" t="n">
        <v>1</v>
      </c>
      <c r="K34" t="n">
        <v>1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24</v>
      </c>
      <c r="U34" t="n">
        <v>24</v>
      </c>
      <c r="V34" s="2" t="inlineStr">
        <is>
          <t>Garnlav
Knärot
Bollvitmossa</t>
        </is>
      </c>
      <c r="W34">
        <f>HYPERLINK("https://klasma.github.io/Logging_2021/artfynd/A 11433-2025 artfynd.xlsx", "A 11433-2025")</f>
        <v/>
      </c>
      <c r="X34">
        <f>HYPERLINK("https://klasma.github.io/Logging_2021/kartor/A 11433-2025 karta.png", "A 11433-2025")</f>
        <v/>
      </c>
      <c r="Y34">
        <f>HYPERLINK("https://klasma.github.io/Logging_2021/kartor_geotiff/A 11433-2025 georefererad karta.tif", "A 11433-2025")</f>
        <v/>
      </c>
      <c r="Z34">
        <f>HYPERLINK("https://klasma.github.io/Logging_2021/knärot/A 11433-2025 karta knärot.png", "A 11433-2025")</f>
        <v/>
      </c>
      <c r="AA34">
        <f>HYPERLINK("https://klasma.github.io/Logging_2021/klagomål/A 11433-2025 FSC-klagomål.docx", "A 11433-2025")</f>
        <v/>
      </c>
      <c r="AB34">
        <f>HYPERLINK("https://klasma.github.io/Logging_2021/klagomålsmail/A 11433-2025 FSC-klagomål mail.docx", "A 11433-2025")</f>
        <v/>
      </c>
      <c r="AC34">
        <f>HYPERLINK("https://klasma.github.io/Logging_2021/tillsyn/A 11433-2025 tillsynsbegäran.docx", "A 11433-2025")</f>
        <v/>
      </c>
      <c r="AD34">
        <f>HYPERLINK("https://klasma.github.io/Logging_2021/tillsynsmail/A 11433-2025 tillsynsbegäran mail.docx", "A 11433-2025")</f>
        <v/>
      </c>
    </row>
    <row r="35" ht="15" customHeight="1">
      <c r="A35" t="inlineStr">
        <is>
          <t>A 33898-2022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46321</v>
      </c>
      <c r="F35" t="inlineStr">
        <is>
          <t>DALARNAS LÄN</t>
        </is>
      </c>
      <c r="G35" t="inlineStr">
        <is>
          <t>VANSBRO</t>
        </is>
      </c>
      <c r="I35" t="n">
        <v>2.8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Kungsfågel</t>
        </is>
      </c>
      <c r="W35">
        <f>HYPERLINK("https://klasma.github.io/Logging_2021/artfynd/A 33898-2022 artfynd.xlsx", "A 33898-2022")</f>
        <v/>
      </c>
      <c r="X35">
        <f>HYPERLINK("https://klasma.github.io/Logging_2021/kartor/A 33898-2022 karta.png", "A 33898-2022")</f>
        <v/>
      </c>
      <c r="Y35">
        <f>HYPERLINK("https://klasma.github.io/Logging_2021/kartor_geotiff/A 33898-2022 georefererad karta.tif", "A 33898-2022")</f>
        <v/>
      </c>
      <c r="Z35">
        <f>HYPERLINK("https://klasma.github.io/Logging_2021/knärot/A 33898-2022 karta knärot.png", "A 33898-2022")</f>
        <v/>
      </c>
      <c r="AA35">
        <f>HYPERLINK("https://klasma.github.io/Logging_2021/klagomål/A 33898-2022 FSC-klagomål.docx", "A 33898-2022")</f>
        <v/>
      </c>
      <c r="AB35">
        <f>HYPERLINK("https://klasma.github.io/Logging_2021/klagomålsmail/A 33898-2022 FSC-klagomål mail.docx", "A 33898-2022")</f>
        <v/>
      </c>
      <c r="AC35">
        <f>HYPERLINK("https://klasma.github.io/Logging_2021/tillsyn/A 33898-2022 tillsynsbegäran.docx", "A 33898-2022")</f>
        <v/>
      </c>
      <c r="AD35">
        <f>HYPERLINK("https://klasma.github.io/Logging_2021/tillsynsmail/A 33898-2022 tillsynsbegäran mail.docx", "A 33898-2022")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46321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46321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46321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19656-2026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46321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18.2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Ängsblåvinge
Berggräsfjäril</t>
        </is>
      </c>
      <c r="W39">
        <f>HYPERLINK("https://klasma.github.io/Logging_2021/artfynd/A 19656-2026 artfynd.xlsx", "A 19656-2026")</f>
        <v/>
      </c>
      <c r="X39">
        <f>HYPERLINK("https://klasma.github.io/Logging_2021/kartor/A 19656-2026 karta.png", "A 19656-2026")</f>
        <v/>
      </c>
      <c r="Y39">
        <f>HYPERLINK("https://klasma.github.io/Logging_2021/kartor_geotiff/A 19656-2026 georefererad karta.tif", "A 19656-2026")</f>
        <v/>
      </c>
      <c r="AA39">
        <f>HYPERLINK("https://klasma.github.io/Logging_2021/klagomål/A 19656-2026 FSC-klagomål.docx", "A 19656-2026")</f>
        <v/>
      </c>
      <c r="AB39">
        <f>HYPERLINK("https://klasma.github.io/Logging_2021/klagomålsmail/A 19656-2026 FSC-klagomål mail.docx", "A 19656-2026")</f>
        <v/>
      </c>
      <c r="AC39">
        <f>HYPERLINK("https://klasma.github.io/Logging_2021/tillsyn/A 19656-2026 tillsynsbegäran.docx", "A 19656-2026")</f>
        <v/>
      </c>
      <c r="AD39">
        <f>HYPERLINK("https://klasma.github.io/Logging_2021/tillsynsmail/A 19656-2026 tillsynsbegäran mail.docx", "A 19656-2026")</f>
        <v/>
      </c>
    </row>
    <row r="40" ht="15" customHeight="1">
      <c r="A40" t="inlineStr">
        <is>
          <t>A 43753-2026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46316</v>
      </c>
      <c r="E40" s="1" t="n">
        <v>46321</v>
      </c>
      <c r="F40" t="inlineStr">
        <is>
          <t>DALARNAS LÄN</t>
        </is>
      </c>
      <c r="G40" t="inlineStr">
        <is>
          <t>VANSBRO</t>
        </is>
      </c>
      <c r="I40" t="n">
        <v>2.7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Kungsfågel</t>
        </is>
      </c>
      <c r="W40">
        <f>HYPERLINK("https://klasma.github.io/Logging_2021/artfynd/A 43753-2026 artfynd.xlsx", "A 43753-2026")</f>
        <v/>
      </c>
      <c r="X40">
        <f>HYPERLINK("https://klasma.github.io/Logging_2021/kartor/A 43753-2026 karta.png", "A 43753-2026")</f>
        <v/>
      </c>
      <c r="Y40">
        <f>HYPERLINK("https://klasma.github.io/Logging_2021/kartor_geotiff/A 43753-2026 georefererad karta.tif", "A 43753-2026")</f>
        <v/>
      </c>
      <c r="Z40">
        <f>HYPERLINK("https://klasma.github.io/Logging_2021/knärot/A 43753-2026 karta knärot.png", "A 43753-2026")</f>
        <v/>
      </c>
      <c r="AA40">
        <f>HYPERLINK("https://klasma.github.io/Logging_2021/klagomål/A 43753-2026 FSC-klagomål.docx", "A 43753-2026")</f>
        <v/>
      </c>
      <c r="AB40">
        <f>HYPERLINK("https://klasma.github.io/Logging_2021/klagomålsmail/A 43753-2026 FSC-klagomål mail.docx", "A 43753-2026")</f>
        <v/>
      </c>
      <c r="AC40">
        <f>HYPERLINK("https://klasma.github.io/Logging_2021/tillsyn/A 43753-2026 tillsynsbegäran.docx", "A 43753-2026")</f>
        <v/>
      </c>
      <c r="AD40">
        <f>HYPERLINK("https://klasma.github.io/Logging_2021/tillsynsmail/A 43753-2026 tillsynsbegäran mail.docx", "A 43753-2026")</f>
        <v/>
      </c>
    </row>
    <row r="41" ht="15" customHeight="1">
      <c r="A41" t="inlineStr">
        <is>
          <t>A 14475-2024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46321</v>
      </c>
      <c r="F41" t="inlineStr">
        <is>
          <t>DALARNAS LÄN</t>
        </is>
      </c>
      <c r="G41" t="inlineStr">
        <is>
          <t>VANSBRO</t>
        </is>
      </c>
      <c r="I41" t="n">
        <v>20.4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3</v>
      </c>
      <c r="V41" s="2" t="inlineStr">
        <is>
          <t>Garnlav
Dropptaggsvamp</t>
        </is>
      </c>
      <c r="W41">
        <f>HYPERLINK("https://klasma.github.io/Logging_2021/artfynd/A 14475-2024 artfynd.xlsx", "A 14475-2024")</f>
        <v/>
      </c>
      <c r="X41">
        <f>HYPERLINK("https://klasma.github.io/Logging_2021/kartor/A 14475-2024 karta.png", "A 14475-2024")</f>
        <v/>
      </c>
      <c r="Y41">
        <f>HYPERLINK("https://klasma.github.io/Logging_2021/kartor_geotiff/A 14475-2024 georefererad karta.tif", "A 14475-2024")</f>
        <v/>
      </c>
      <c r="AA41">
        <f>HYPERLINK("https://klasma.github.io/Logging_2021/klagomål/A 14475-2024 FSC-klagomål.docx", "A 14475-2024")</f>
        <v/>
      </c>
      <c r="AB41">
        <f>HYPERLINK("https://klasma.github.io/Logging_2021/klagomålsmail/A 14475-2024 FSC-klagomål mail.docx", "A 14475-2024")</f>
        <v/>
      </c>
      <c r="AC41">
        <f>HYPERLINK("https://klasma.github.io/Logging_2021/tillsyn/A 14475-2024 tillsynsbegäran.docx", "A 14475-2024")</f>
        <v/>
      </c>
      <c r="AD41">
        <f>HYPERLINK("https://klasma.github.io/Logging_2021/tillsynsmail/A 14475-2024 tillsynsbegäran mail.docx", "A 14475-2024")</f>
        <v/>
      </c>
    </row>
    <row r="42" ht="15" customHeight="1">
      <c r="A42" t="inlineStr">
        <is>
          <t>A 58009-2023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46321</v>
      </c>
      <c r="F42" t="inlineStr">
        <is>
          <t>DALARNAS LÄN</t>
        </is>
      </c>
      <c r="G42" t="inlineStr">
        <is>
          <t>VANSBRO</t>
        </is>
      </c>
      <c r="I42" t="n">
        <v>0.5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Sädesärla
Orre</t>
        </is>
      </c>
      <c r="W42">
        <f>HYPERLINK("https://klasma.github.io/Logging_2021/artfynd/A 58009-2023 artfynd.xlsx", "A 58009-2023")</f>
        <v/>
      </c>
      <c r="X42">
        <f>HYPERLINK("https://klasma.github.io/Logging_2021/kartor/A 58009-2023 karta.png", "A 58009-2023")</f>
        <v/>
      </c>
      <c r="Y42">
        <f>HYPERLINK("https://klasma.github.io/Logging_2021/kartor_geotiff/A 58009-2023 georefererad karta.tif", "A 58009-2023")</f>
        <v/>
      </c>
      <c r="AA42">
        <f>HYPERLINK("https://klasma.github.io/Logging_2021/klagomål/A 58009-2023 FSC-klagomål.docx", "A 58009-2023")</f>
        <v/>
      </c>
      <c r="AB42">
        <f>HYPERLINK("https://klasma.github.io/Logging_2021/klagomålsmail/A 58009-2023 FSC-klagomål mail.docx", "A 58009-2023")</f>
        <v/>
      </c>
      <c r="AC42">
        <f>HYPERLINK("https://klasma.github.io/Logging_2021/tillsyn/A 58009-2023 tillsynsbegäran.docx", "A 58009-2023")</f>
        <v/>
      </c>
      <c r="AD42">
        <f>HYPERLINK("https://klasma.github.io/Logging_2021/tillsynsmail/A 58009-2023 tillsynsbegäran mail.docx", "A 58009-2023")</f>
        <v/>
      </c>
      <c r="AE42">
        <f>HYPERLINK("https://klasma.github.io/Logging_2021/fåglar/A 58009-2023 prioriterade fågelarter.docx", "A 58009-2023")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46321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46321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46321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33250-2024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45518</v>
      </c>
      <c r="E46" s="1" t="n">
        <v>46321</v>
      </c>
      <c r="F46" t="inlineStr">
        <is>
          <t>DALARNAS LÄN</t>
        </is>
      </c>
      <c r="G46" t="inlineStr">
        <is>
          <t>VANSBRO</t>
        </is>
      </c>
      <c r="I46" t="n">
        <v>6.8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Reliktbock</t>
        </is>
      </c>
      <c r="W46">
        <f>HYPERLINK("https://klasma.github.io/Logging_2021/artfynd/A 33250-2024 artfynd.xlsx", "A 33250-2024")</f>
        <v/>
      </c>
      <c r="X46">
        <f>HYPERLINK("https://klasma.github.io/Logging_2021/kartor/A 33250-2024 karta.png", "A 33250-2024")</f>
        <v/>
      </c>
      <c r="Y46">
        <f>HYPERLINK("https://klasma.github.io/Logging_2021/kartor_geotiff/A 33250-2024 georefererad karta.tif", "A 33250-2024")</f>
        <v/>
      </c>
      <c r="AA46">
        <f>HYPERLINK("https://klasma.github.io/Logging_2021/klagomål/A 33250-2024 FSC-klagomål.docx", "A 33250-2024")</f>
        <v/>
      </c>
      <c r="AB46">
        <f>HYPERLINK("https://klasma.github.io/Logging_2021/klagomålsmail/A 33250-2024 FSC-klagomål mail.docx", "A 33250-2024")</f>
        <v/>
      </c>
      <c r="AC46">
        <f>HYPERLINK("https://klasma.github.io/Logging_2021/tillsyn/A 33250-2024 tillsynsbegäran.docx", "A 33250-2024")</f>
        <v/>
      </c>
      <c r="AD46">
        <f>HYPERLINK("https://klasma.github.io/Logging_2021/tillsynsmail/A 33250-2024 tillsynsbegäran mail.docx", "A 33250-2024")</f>
        <v/>
      </c>
    </row>
    <row r="47" ht="15" customHeight="1">
      <c r="A47" t="inlineStr">
        <is>
          <t>A 3918-2026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46321</v>
      </c>
      <c r="F47" t="inlineStr">
        <is>
          <t>DALARNAS LÄN</t>
        </is>
      </c>
      <c r="G47" t="inlineStr">
        <is>
          <t>VANSBRO</t>
        </is>
      </c>
      <c r="I47" t="n">
        <v>6.2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Duvhök</t>
        </is>
      </c>
      <c r="W47">
        <f>HYPERLINK("https://klasma.github.io/Logging_2021/artfynd/A 3918-2026 artfynd.xlsx", "A 3918-2026")</f>
        <v/>
      </c>
      <c r="X47">
        <f>HYPERLINK("https://klasma.github.io/Logging_2021/kartor/A 3918-2026 karta.png", "A 3918-2026")</f>
        <v/>
      </c>
      <c r="Y47">
        <f>HYPERLINK("https://klasma.github.io/Logging_2021/kartor_geotiff/A 3918-2026 georefererad karta.tif", "A 3918-2026")</f>
        <v/>
      </c>
      <c r="AA47">
        <f>HYPERLINK("https://klasma.github.io/Logging_2021/klagomål/A 3918-2026 FSC-klagomål.docx", "A 3918-2026")</f>
        <v/>
      </c>
      <c r="AB47">
        <f>HYPERLINK("https://klasma.github.io/Logging_2021/klagomålsmail/A 3918-2026 FSC-klagomål mail.docx", "A 3918-2026")</f>
        <v/>
      </c>
      <c r="AC47">
        <f>HYPERLINK("https://klasma.github.io/Logging_2021/tillsyn/A 3918-2026 tillsynsbegäran.docx", "A 3918-2026")</f>
        <v/>
      </c>
      <c r="AD47">
        <f>HYPERLINK("https://klasma.github.io/Logging_2021/tillsynsmail/A 3918-2026 tillsynsbegäran mail.docx", "A 3918-2026")</f>
        <v/>
      </c>
      <c r="AE47">
        <f>HYPERLINK("https://klasma.github.io/Logging_2021/fåglar/A 3918-2026 prioriterade fågelarter.docx", "A 3918-2026")</f>
        <v/>
      </c>
    </row>
    <row r="48" ht="15" customHeight="1">
      <c r="A48" t="inlineStr">
        <is>
          <t>A 5659-2026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46321</v>
      </c>
      <c r="F48" t="inlineStr">
        <is>
          <t>DALARNAS LÄN</t>
        </is>
      </c>
      <c r="G48" t="inlineStr">
        <is>
          <t>VANSBRO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rörsvepemossa</t>
        </is>
      </c>
      <c r="W48">
        <f>HYPERLINK("https://klasma.github.io/Logging_2021/artfynd/A 5659-2026 artfynd.xlsx", "A 5659-2026")</f>
        <v/>
      </c>
      <c r="X48">
        <f>HYPERLINK("https://klasma.github.io/Logging_2021/kartor/A 5659-2026 karta.png", "A 5659-2026")</f>
        <v/>
      </c>
      <c r="Y48">
        <f>HYPERLINK("https://klasma.github.io/Logging_2021/kartor_geotiff/A 5659-2026 georefererad karta.tif", "A 5659-2026")</f>
        <v/>
      </c>
      <c r="Z48">
        <f>HYPERLINK("https://klasma.github.io/Logging_2021/knärot/A 5659-2026 karta knärot.png", "A 5659-2026")</f>
        <v/>
      </c>
      <c r="AA48">
        <f>HYPERLINK("https://klasma.github.io/Logging_2021/klagomål/A 5659-2026 FSC-klagomål.docx", "A 5659-2026")</f>
        <v/>
      </c>
      <c r="AB48">
        <f>HYPERLINK("https://klasma.github.io/Logging_2021/klagomålsmail/A 5659-2026 FSC-klagomål mail.docx", "A 5659-2026")</f>
        <v/>
      </c>
      <c r="AC48">
        <f>HYPERLINK("https://klasma.github.io/Logging_2021/tillsyn/A 5659-2026 tillsynsbegäran.docx", "A 5659-2026")</f>
        <v/>
      </c>
      <c r="AD48">
        <f>HYPERLINK("https://klasma.github.io/Logging_2021/tillsynsmail/A 5659-2026 tillsynsbegäran mail.docx", "A 5659-2026")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46321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46321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20076-2026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46321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13.2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Kransrams</t>
        </is>
      </c>
      <c r="W51">
        <f>HYPERLINK("https://klasma.github.io/Logging_2021/artfynd/A 20076-2026 artfynd.xlsx", "A 20076-2026")</f>
        <v/>
      </c>
      <c r="X51">
        <f>HYPERLINK("https://klasma.github.io/Logging_2021/kartor/A 20076-2026 karta.png", "A 20076-2026")</f>
        <v/>
      </c>
      <c r="Y51">
        <f>HYPERLINK("https://klasma.github.io/Logging_2021/kartor_geotiff/A 20076-2026 georefererad karta.tif", "A 20076-2026")</f>
        <v/>
      </c>
      <c r="AA51">
        <f>HYPERLINK("https://klasma.github.io/Logging_2021/klagomål/A 20076-2026 FSC-klagomål.docx", "A 20076-2026")</f>
        <v/>
      </c>
      <c r="AB51">
        <f>HYPERLINK("https://klasma.github.io/Logging_2021/klagomålsmail/A 20076-2026 FSC-klagomål mail.docx", "A 20076-2026")</f>
        <v/>
      </c>
      <c r="AC51">
        <f>HYPERLINK("https://klasma.github.io/Logging_2021/tillsyn/A 20076-2026 tillsynsbegäran.docx", "A 20076-2026")</f>
        <v/>
      </c>
      <c r="AD51">
        <f>HYPERLINK("https://klasma.github.io/Logging_2021/tillsynsmail/A 20076-2026 tillsynsbegäran mail.docx", "A 20076-2026")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46321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52675-2025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45956</v>
      </c>
      <c r="E53" s="1" t="n">
        <v>46321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Motaggsvamp</t>
        </is>
      </c>
      <c r="W53">
        <f>HYPERLINK("https://klasma.github.io/Logging_2021/artfynd/A 52675-2025 artfynd.xlsx", "A 52675-2025")</f>
        <v/>
      </c>
      <c r="X53">
        <f>HYPERLINK("https://klasma.github.io/Logging_2021/kartor/A 52675-2025 karta.png", "A 52675-2025")</f>
        <v/>
      </c>
      <c r="Y53">
        <f>HYPERLINK("https://klasma.github.io/Logging_2021/kartor_geotiff/A 52675-2025 georefererad karta.tif", "A 52675-2025")</f>
        <v/>
      </c>
      <c r="AA53">
        <f>HYPERLINK("https://klasma.github.io/Logging_2021/klagomål/A 52675-2025 FSC-klagomål.docx", "A 52675-2025")</f>
        <v/>
      </c>
      <c r="AB53">
        <f>HYPERLINK("https://klasma.github.io/Logging_2021/klagomålsmail/A 52675-2025 FSC-klagomål mail.docx", "A 52675-2025")</f>
        <v/>
      </c>
      <c r="AC53">
        <f>HYPERLINK("https://klasma.github.io/Logging_2021/tillsyn/A 52675-2025 tillsynsbegäran.docx", "A 52675-2025")</f>
        <v/>
      </c>
      <c r="AD53">
        <f>HYPERLINK("https://klasma.github.io/Logging_2021/tillsynsmail/A 52675-2025 tillsynsbegäran mail.docx", "A 52675-2025")</f>
        <v/>
      </c>
    </row>
    <row r="54" ht="15" customHeight="1">
      <c r="A54" t="inlineStr">
        <is>
          <t>A 37219-2024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46321</v>
      </c>
      <c r="F54" t="inlineStr">
        <is>
          <t>DALARNAS LÄN</t>
        </is>
      </c>
      <c r="G54" t="inlineStr">
        <is>
          <t>VANSBRO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Tjäder</t>
        </is>
      </c>
      <c r="W54">
        <f>HYPERLINK("https://klasma.github.io/Logging_2021/artfynd/A 37219-2024 artfynd.xlsx", "A 37219-2024")</f>
        <v/>
      </c>
      <c r="X54">
        <f>HYPERLINK("https://klasma.github.io/Logging_2021/kartor/A 37219-2024 karta.png", "A 37219-2024")</f>
        <v/>
      </c>
      <c r="Y54">
        <f>HYPERLINK("https://klasma.github.io/Logging_2021/kartor_geotiff/A 37219-2024 georefererad karta.tif", "A 37219-2024")</f>
        <v/>
      </c>
      <c r="AA54">
        <f>HYPERLINK("https://klasma.github.io/Logging_2021/klagomål/A 37219-2024 FSC-klagomål.docx", "A 37219-2024")</f>
        <v/>
      </c>
      <c r="AB54">
        <f>HYPERLINK("https://klasma.github.io/Logging_2021/klagomålsmail/A 37219-2024 FSC-klagomål mail.docx", "A 37219-2024")</f>
        <v/>
      </c>
      <c r="AC54">
        <f>HYPERLINK("https://klasma.github.io/Logging_2021/tillsyn/A 37219-2024 tillsynsbegäran.docx", "A 37219-2024")</f>
        <v/>
      </c>
      <c r="AD54">
        <f>HYPERLINK("https://klasma.github.io/Logging_2021/tillsynsmail/A 37219-2024 tillsynsbegäran mail.docx", "A 37219-2024")</f>
        <v/>
      </c>
      <c r="AE54">
        <f>HYPERLINK("https://klasma.github.io/Logging_2021/fåglar/A 37219-2024 prioriterade fågelarter.docx", "A 37219-2024")</f>
        <v/>
      </c>
    </row>
    <row r="55" ht="15" customHeight="1">
      <c r="A55" t="inlineStr">
        <is>
          <t>A 57810-2023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46321</v>
      </c>
      <c r="F55" t="inlineStr">
        <is>
          <t>DALARNAS LÄN</t>
        </is>
      </c>
      <c r="G55" t="inlineStr">
        <is>
          <t>VANSBRO</t>
        </is>
      </c>
      <c r="I55" t="n">
        <v>0.6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Järnsparv</t>
        </is>
      </c>
      <c r="W55">
        <f>HYPERLINK("https://klasma.github.io/Logging_2021/artfynd/A 57810-2023 artfynd.xlsx", "A 57810-2023")</f>
        <v/>
      </c>
      <c r="X55">
        <f>HYPERLINK("https://klasma.github.io/Logging_2021/kartor/A 57810-2023 karta.png", "A 57810-2023")</f>
        <v/>
      </c>
      <c r="Y55">
        <f>HYPERLINK("https://klasma.github.io/Logging_2021/kartor_geotiff/A 57810-2023 georefererad karta.tif", "A 57810-2023")</f>
        <v/>
      </c>
      <c r="AA55">
        <f>HYPERLINK("https://klasma.github.io/Logging_2021/klagomål/A 57810-2023 FSC-klagomål.docx", "A 57810-2023")</f>
        <v/>
      </c>
      <c r="AB55">
        <f>HYPERLINK("https://klasma.github.io/Logging_2021/klagomålsmail/A 57810-2023 FSC-klagomål mail.docx", "A 57810-2023")</f>
        <v/>
      </c>
      <c r="AC55">
        <f>HYPERLINK("https://klasma.github.io/Logging_2021/tillsyn/A 57810-2023 tillsynsbegäran.docx", "A 57810-2023")</f>
        <v/>
      </c>
      <c r="AD55">
        <f>HYPERLINK("https://klasma.github.io/Logging_2021/tillsynsmail/A 57810-2023 tillsynsbegäran mail.docx", "A 57810-2023")</f>
        <v/>
      </c>
      <c r="AE55">
        <f>HYPERLINK("https://klasma.github.io/Logging_2021/fåglar/A 57810-2023 prioriterade fågelarter.docx", "A 57810-2023")</f>
        <v/>
      </c>
    </row>
    <row r="56" ht="15" customHeight="1">
      <c r="A56" t="inlineStr">
        <is>
          <t>S 146-2023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44942</v>
      </c>
      <c r="E56" s="1" t="n">
        <v>46321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8.9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HYPERLINK("https://klasma.github.io/Logging_2021/artfynd/S 146-2023 artfynd.xlsx", "S 146-2023")</f>
        <v/>
      </c>
      <c r="X56">
        <f>HYPERLINK("https://klasma.github.io/Logging_2021/kartor/S 146-2023 karta.png", "S 146-2023")</f>
        <v/>
      </c>
      <c r="Y56">
        <f>HYPERLINK("https://klasma.github.io/Logging_2021/kartor_geotiff/S 146-2023 georefererad karta.tif", "S 146-2023")</f>
        <v/>
      </c>
      <c r="AA56">
        <f>HYPERLINK("https://klasma.github.io/Logging_2021/klagomål/S 146-2023 FSC-klagomål.docx", "S 146-2023")</f>
        <v/>
      </c>
      <c r="AB56">
        <f>HYPERLINK("https://klasma.github.io/Logging_2021/klagomålsmail/S 146-2023 FSC-klagomål mail.docx", "S 146-2023")</f>
        <v/>
      </c>
      <c r="AC56">
        <f>HYPERLINK("https://klasma.github.io/Logging_2021/tillsyn/S 146-2023 tillsynsbegäran.docx", "S 146-2023")</f>
        <v/>
      </c>
      <c r="AD56">
        <f>HYPERLINK("https://klasma.github.io/Logging_2021/tillsynsmail/S 146-2023 tillsynsbegäran mail.docx", "S 146-2023")</f>
        <v/>
      </c>
    </row>
    <row r="57" ht="15" customHeight="1">
      <c r="A57" t="inlineStr">
        <is>
          <t>S 940-2024</t>
        </is>
      </c>
      <c r="B57" t="inlineStr">
        <is>
          <t>samrådsanmälan</t>
        </is>
      </c>
      <c r="C57" t="inlineStr">
        <is>
          <t>Skogsgödsling</t>
        </is>
      </c>
      <c r="D57" s="1" t="n">
        <v>45377</v>
      </c>
      <c r="E57" s="1" t="n">
        <v>46321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158.9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HYPERLINK("https://klasma.github.io/Logging_2021/artfynd/S 940-2024 artfynd.xlsx", "S 940-2024")</f>
        <v/>
      </c>
      <c r="X57">
        <f>HYPERLINK("https://klasma.github.io/Logging_2021/kartor/S 940-2024 karta.png", "S 940-2024")</f>
        <v/>
      </c>
      <c r="Y57">
        <f>HYPERLINK("https://klasma.github.io/Logging_2021/kartor_geotiff/S 940-2024 georefererad karta.tif", "S 940-2024")</f>
        <v/>
      </c>
      <c r="AA57">
        <f>HYPERLINK("https://klasma.github.io/Logging_2021/klagomål/S 940-2024 FSC-klagomål.docx", "S 940-2024")</f>
        <v/>
      </c>
      <c r="AB57">
        <f>HYPERLINK("https://klasma.github.io/Logging_2021/klagomålsmail/S 940-2024 FSC-klagomål mail.docx", "S 940-2024")</f>
        <v/>
      </c>
      <c r="AC57">
        <f>HYPERLINK("https://klasma.github.io/Logging_2021/tillsyn/S 940-2024 tillsynsbegäran.docx", "S 940-2024")</f>
        <v/>
      </c>
      <c r="AD57">
        <f>HYPERLINK("https://klasma.github.io/Logging_2021/tillsynsmail/S 940-2024 tillsynsbegäran mail.docx", "S 940-2024")</f>
        <v/>
      </c>
    </row>
    <row r="58" ht="15" customHeight="1">
      <c r="A58" t="inlineStr">
        <is>
          <t>A 54023-2022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46321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46321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46321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46321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väst AB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46321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46321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46321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46321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46321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46321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46321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46321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46321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46321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46321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46321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46321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46321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46321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46321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46321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46321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46321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45888</v>
      </c>
      <c r="E81" s="1" t="n">
        <v>46321</v>
      </c>
      <c r="F81" t="inlineStr">
        <is>
          <t>DALARNAS LÄN</t>
        </is>
      </c>
      <c r="G81" t="inlineStr">
        <is>
          <t>VANSBRO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45888</v>
      </c>
      <c r="E82" s="1" t="n">
        <v>46321</v>
      </c>
      <c r="F82" t="inlineStr">
        <is>
          <t>DALARNAS LÄN</t>
        </is>
      </c>
      <c r="G82" t="inlineStr">
        <is>
          <t>VANSBRO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46321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46321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46321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46321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45888</v>
      </c>
      <c r="E87" s="1" t="n">
        <v>46321</v>
      </c>
      <c r="F87" t="inlineStr">
        <is>
          <t>DALARNAS LÄN</t>
        </is>
      </c>
      <c r="G87" t="inlineStr">
        <is>
          <t>VANSBRO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46321</v>
      </c>
      <c r="F88" t="inlineStr">
        <is>
          <t>DALARNAS LÄN</t>
        </is>
      </c>
      <c r="G88" t="inlineStr">
        <is>
          <t>VANSBRO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44673</v>
      </c>
      <c r="E89" s="1" t="n">
        <v>46321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46321</v>
      </c>
      <c r="F90" t="inlineStr">
        <is>
          <t>DALARNAS LÄN</t>
        </is>
      </c>
      <c r="G90" t="inlineStr">
        <is>
          <t>VANSBRO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46321</v>
      </c>
      <c r="F91" t="inlineStr">
        <is>
          <t>DALARNAS LÄN</t>
        </is>
      </c>
      <c r="G91" t="inlineStr">
        <is>
          <t>VANSBRO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46321</v>
      </c>
      <c r="F92" t="inlineStr">
        <is>
          <t>DALARNAS LÄN</t>
        </is>
      </c>
      <c r="G92" t="inlineStr">
        <is>
          <t>VANSBRO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46321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46321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46321</v>
      </c>
      <c r="F95" t="inlineStr">
        <is>
          <t>DALARNAS LÄN</t>
        </is>
      </c>
      <c r="G95" t="inlineStr">
        <is>
          <t>VANSBRO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46321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46321</v>
      </c>
      <c r="F97" t="inlineStr">
        <is>
          <t>DALARNAS LÄN</t>
        </is>
      </c>
      <c r="G97" t="inlineStr">
        <is>
          <t>VANSBRO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46321</v>
      </c>
      <c r="F98" t="inlineStr">
        <is>
          <t>DALARNAS LÄN</t>
        </is>
      </c>
      <c r="G98" t="inlineStr">
        <is>
          <t>VANSBRO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46321</v>
      </c>
      <c r="F99" t="inlineStr">
        <is>
          <t>DALARNAS LÄN</t>
        </is>
      </c>
      <c r="G99" t="inlineStr">
        <is>
          <t>VANSBRO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46321</v>
      </c>
      <c r="F100" t="inlineStr">
        <is>
          <t>DALARNAS LÄN</t>
        </is>
      </c>
      <c r="G100" t="inlineStr">
        <is>
          <t>VANSBRO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46321</v>
      </c>
      <c r="F101" t="inlineStr">
        <is>
          <t>DALARNAS LÄN</t>
        </is>
      </c>
      <c r="G101" t="inlineStr">
        <is>
          <t>VANSBRO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38670-2025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45884</v>
      </c>
      <c r="E102" s="1" t="n">
        <v>46321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46321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23059-2026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46321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öst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45214</v>
      </c>
      <c r="E105" s="1" t="n">
        <v>46321</v>
      </c>
      <c r="F105" t="inlineStr">
        <is>
          <t>DALARNAS LÄN</t>
        </is>
      </c>
      <c r="G105" t="inlineStr">
        <is>
          <t>VANSBRO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45909</v>
      </c>
      <c r="E106" s="1" t="n">
        <v>46321</v>
      </c>
      <c r="F106" t="inlineStr">
        <is>
          <t>DALARNAS LÄN</t>
        </is>
      </c>
      <c r="G106" t="inlineStr">
        <is>
          <t>VANSBRO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45331</v>
      </c>
      <c r="E107" s="1" t="n">
        <v>46321</v>
      </c>
      <c r="F107" t="inlineStr">
        <is>
          <t>DALARNAS LÄN</t>
        </is>
      </c>
      <c r="G107" t="inlineStr">
        <is>
          <t>VANSBRO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45471</v>
      </c>
      <c r="E108" s="1" t="n">
        <v>46321</v>
      </c>
      <c r="F108" t="inlineStr">
        <is>
          <t>DALARNAS LÄN</t>
        </is>
      </c>
      <c r="G108" t="inlineStr">
        <is>
          <t>VANSBRO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46164</v>
      </c>
      <c r="E109" s="1" t="n">
        <v>46321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46321</v>
      </c>
      <c r="F110" t="inlineStr">
        <is>
          <t>DALARNAS LÄN</t>
        </is>
      </c>
      <c r="G110" t="inlineStr">
        <is>
          <t>VANSBRO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46164</v>
      </c>
      <c r="E111" s="1" t="n">
        <v>46321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46321</v>
      </c>
      <c r="F112" t="inlineStr">
        <is>
          <t>DALARNAS LÄN</t>
        </is>
      </c>
      <c r="G112" t="inlineStr">
        <is>
          <t>VANSBRO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46321</v>
      </c>
      <c r="F113" t="inlineStr">
        <is>
          <t>DALARNAS LÄN</t>
        </is>
      </c>
      <c r="G113" t="inlineStr">
        <is>
          <t>VANSBRO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46321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44980</v>
      </c>
      <c r="E115" s="1" t="n">
        <v>46321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46321</v>
      </c>
      <c r="F116" t="inlineStr">
        <is>
          <t>DALARNAS LÄN</t>
        </is>
      </c>
      <c r="G116" t="inlineStr">
        <is>
          <t>VANSBRO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46321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46321</v>
      </c>
      <c r="F118" t="inlineStr">
        <is>
          <t>DALARNAS LÄN</t>
        </is>
      </c>
      <c r="G118" t="inlineStr">
        <is>
          <t>VANSBRO</t>
        </is>
      </c>
      <c r="H118" t="inlineStr">
        <is>
          <t>Övriga statliga verk och myndigheter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44931</v>
      </c>
      <c r="E119" s="1" t="n">
        <v>46321</v>
      </c>
      <c r="F119" t="inlineStr">
        <is>
          <t>DALARNAS LÄN</t>
        </is>
      </c>
      <c r="G119" t="inlineStr">
        <is>
          <t>VANSBRO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46321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45614</v>
      </c>
      <c r="E121" s="1" t="n">
        <v>46321</v>
      </c>
      <c r="F121" t="inlineStr">
        <is>
          <t>DALARNAS LÄN</t>
        </is>
      </c>
      <c r="G121" t="inlineStr">
        <is>
          <t>VANSBRO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46321</v>
      </c>
      <c r="F122" t="inlineStr">
        <is>
          <t>DALARNAS LÄN</t>
        </is>
      </c>
      <c r="G122" t="inlineStr">
        <is>
          <t>VANSBRO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48840-2025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45937</v>
      </c>
      <c r="E123" s="1" t="n">
        <v>46321</v>
      </c>
      <c r="F123" t="inlineStr">
        <is>
          <t>DALARNAS LÄN</t>
        </is>
      </c>
      <c r="G123" t="inlineStr">
        <is>
          <t>VANSBRO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45939</v>
      </c>
      <c r="E124" s="1" t="n">
        <v>46321</v>
      </c>
      <c r="F124" t="inlineStr">
        <is>
          <t>DALARNAS LÄN</t>
        </is>
      </c>
      <c r="G124" t="inlineStr">
        <is>
          <t>VANSBRO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46321</v>
      </c>
      <c r="F125" t="inlineStr">
        <is>
          <t>DALARNAS LÄN</t>
        </is>
      </c>
      <c r="G125" t="inlineStr">
        <is>
          <t>VANSBRO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45939</v>
      </c>
      <c r="E126" s="1" t="n">
        <v>46321</v>
      </c>
      <c r="F126" t="inlineStr">
        <is>
          <t>DALARNAS LÄN</t>
        </is>
      </c>
      <c r="G126" t="inlineStr">
        <is>
          <t>VANSBRO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45939</v>
      </c>
      <c r="E127" s="1" t="n">
        <v>46321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46321</v>
      </c>
      <c r="F128" t="inlineStr">
        <is>
          <t>DALARNAS LÄN</t>
        </is>
      </c>
      <c r="G128" t="inlineStr">
        <is>
          <t>VANSBRO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44837</v>
      </c>
      <c r="E129" s="1" t="n">
        <v>46321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48111-2024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45589</v>
      </c>
      <c r="E130" s="1" t="n">
        <v>46321</v>
      </c>
      <c r="F130" t="inlineStr">
        <is>
          <t>DALARNAS LÄN</t>
        </is>
      </c>
      <c r="G130" t="inlineStr">
        <is>
          <t>VANSBRO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46321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46321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46321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46321</v>
      </c>
      <c r="F134" t="inlineStr">
        <is>
          <t>DALARNAS LÄN</t>
        </is>
      </c>
      <c r="G134" t="inlineStr">
        <is>
          <t>VANSBRO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35943-2024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46321</v>
      </c>
      <c r="F135" t="inlineStr">
        <is>
          <t>DALARNAS LÄN</t>
        </is>
      </c>
      <c r="G135" t="inlineStr">
        <is>
          <t>VANSBRO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46321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46321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25958-2026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46321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45952</v>
      </c>
      <c r="E139" s="1" t="n">
        <v>46321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45141</v>
      </c>
      <c r="E140" s="1" t="n">
        <v>46321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46321</v>
      </c>
      <c r="F141" t="inlineStr">
        <is>
          <t>DALARNAS LÄN</t>
        </is>
      </c>
      <c r="G141" t="inlineStr">
        <is>
          <t>VANSBRO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46321</v>
      </c>
      <c r="F142" t="inlineStr">
        <is>
          <t>DALARNAS LÄN</t>
        </is>
      </c>
      <c r="G142" t="inlineStr">
        <is>
          <t>VANSBRO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46321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46321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46321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46321</v>
      </c>
      <c r="F146" t="inlineStr">
        <is>
          <t>DALARNAS LÄN</t>
        </is>
      </c>
      <c r="G146" t="inlineStr">
        <is>
          <t>VANSBRO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46321</v>
      </c>
      <c r="F147" t="inlineStr">
        <is>
          <t>DALARNAS LÄN</t>
        </is>
      </c>
      <c r="G147" t="inlineStr">
        <is>
          <t>VANSBRO</t>
        </is>
      </c>
      <c r="H147" t="inlineStr">
        <is>
          <t>Övriga statliga verk och myndigheter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44791</v>
      </c>
      <c r="E148" s="1" t="n">
        <v>46321</v>
      </c>
      <c r="F148" t="inlineStr">
        <is>
          <t>DALARNAS LÄN</t>
        </is>
      </c>
      <c r="G148" t="inlineStr">
        <is>
          <t>VANSBRO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46321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45296</v>
      </c>
      <c r="E150" s="1" t="n">
        <v>46321</v>
      </c>
      <c r="F150" t="inlineStr">
        <is>
          <t>DALARNAS LÄN</t>
        </is>
      </c>
      <c r="G150" t="inlineStr">
        <is>
          <t>VANSBRO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46321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46321</v>
      </c>
      <c r="F152" t="inlineStr">
        <is>
          <t>DALARNAS LÄN</t>
        </is>
      </c>
      <c r="G152" t="inlineStr">
        <is>
          <t>VANSBRO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27629-2026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46190</v>
      </c>
      <c r="E153" s="1" t="n">
        <v>46321</v>
      </c>
      <c r="F153" t="inlineStr">
        <is>
          <t>DALARNAS LÄN</t>
        </is>
      </c>
      <c r="G153" t="inlineStr">
        <is>
          <t>VANSBRO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46321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46321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46321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46321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46321</v>
      </c>
      <c r="F158" t="inlineStr">
        <is>
          <t>DALARNAS LÄN</t>
        </is>
      </c>
      <c r="G158" t="inlineStr">
        <is>
          <t>VANSBRO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46321</v>
      </c>
      <c r="F159" t="inlineStr">
        <is>
          <t>DALARNAS LÄN</t>
        </is>
      </c>
      <c r="G159" t="inlineStr">
        <is>
          <t>VANSBRO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46191</v>
      </c>
      <c r="E160" s="1" t="n">
        <v>46321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46321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46321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46321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46321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8447-2022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44612</v>
      </c>
      <c r="E165" s="1" t="n">
        <v>46321</v>
      </c>
      <c r="F165" t="inlineStr">
        <is>
          <t>DALARNAS LÄN</t>
        </is>
      </c>
      <c r="G165" t="inlineStr">
        <is>
          <t>VANSBRO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46321</v>
      </c>
      <c r="F166" t="inlineStr">
        <is>
          <t>DALARNAS LÄN</t>
        </is>
      </c>
      <c r="G166" t="inlineStr">
        <is>
          <t>VANSBRO</t>
        </is>
      </c>
      <c r="H166" t="inlineStr">
        <is>
          <t>Kommuner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46321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10.7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46321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28466-2026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46321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46321</v>
      </c>
      <c r="F170" t="inlineStr">
        <is>
          <t>DALARNAS LÄN</t>
        </is>
      </c>
      <c r="G170" t="inlineStr">
        <is>
          <t>VANSBRO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46321</v>
      </c>
      <c r="F171" t="inlineStr">
        <is>
          <t>DALARNAS LÄN</t>
        </is>
      </c>
      <c r="G171" t="inlineStr">
        <is>
          <t>VANSBRO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46321</v>
      </c>
      <c r="F172" t="inlineStr">
        <is>
          <t>DALARNAS LÄN</t>
        </is>
      </c>
      <c r="G172" t="inlineStr">
        <is>
          <t>VANSBRO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46199</v>
      </c>
      <c r="E173" s="1" t="n">
        <v>46321</v>
      </c>
      <c r="F173" t="inlineStr">
        <is>
          <t>DALARNAS LÄN</t>
        </is>
      </c>
      <c r="G173" t="inlineStr">
        <is>
          <t>VANSBRO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62398-2021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46321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öst AB</t>
        </is>
      </c>
      <c r="I174" t="n">
        <v>22.1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46321</v>
      </c>
      <c r="F175" t="inlineStr">
        <is>
          <t>DALARNAS LÄN</t>
        </is>
      </c>
      <c r="G175" t="inlineStr">
        <is>
          <t>VANSBRO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46203</v>
      </c>
      <c r="E176" s="1" t="n">
        <v>46321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46321</v>
      </c>
      <c r="F177" t="inlineStr">
        <is>
          <t>DALARNAS LÄN</t>
        </is>
      </c>
      <c r="G177" t="inlineStr">
        <is>
          <t>VANSBRO</t>
        </is>
      </c>
      <c r="H177" t="inlineStr">
        <is>
          <t>Övriga statliga verk och myndigheter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29174-2026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46202</v>
      </c>
      <c r="E178" s="1" t="n">
        <v>46321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46203</v>
      </c>
      <c r="E179" s="1" t="n">
        <v>46321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46321</v>
      </c>
      <c r="F180" t="inlineStr">
        <is>
          <t>DALARNAS LÄN</t>
        </is>
      </c>
      <c r="G180" t="inlineStr">
        <is>
          <t>VANSBRO</t>
        </is>
      </c>
      <c r="I180" t="n">
        <v>9.9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46321</v>
      </c>
      <c r="F181" t="inlineStr">
        <is>
          <t>DALARNAS LÄN</t>
        </is>
      </c>
      <c r="G181" t="inlineStr">
        <is>
          <t>VANSBRO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46321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46204</v>
      </c>
      <c r="E183" s="1" t="n">
        <v>46321</v>
      </c>
      <c r="F183" t="inlineStr">
        <is>
          <t>DALARNAS LÄN</t>
        </is>
      </c>
      <c r="G183" t="inlineStr">
        <is>
          <t>VANSBRO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46321</v>
      </c>
      <c r="F184" t="inlineStr">
        <is>
          <t>DALARNAS LÄN</t>
        </is>
      </c>
      <c r="G184" t="inlineStr">
        <is>
          <t>VANSBRO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46204</v>
      </c>
      <c r="E185" s="1" t="n">
        <v>46321</v>
      </c>
      <c r="F185" t="inlineStr">
        <is>
          <t>DALARNAS LÄN</t>
        </is>
      </c>
      <c r="G185" t="inlineStr">
        <is>
          <t>VANSBRO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46321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46204</v>
      </c>
      <c r="E187" s="1" t="n">
        <v>46321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öst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46321</v>
      </c>
      <c r="F188" t="inlineStr">
        <is>
          <t>DALARNAS LÄN</t>
        </is>
      </c>
      <c r="G188" t="inlineStr">
        <is>
          <t>VANSBRO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2086-2024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45309</v>
      </c>
      <c r="E189" s="1" t="n">
        <v>46321</v>
      </c>
      <c r="F189" t="inlineStr">
        <is>
          <t>DALARNAS LÄN</t>
        </is>
      </c>
      <c r="G189" t="inlineStr">
        <is>
          <t>VANSBRO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45987</v>
      </c>
      <c r="E190" s="1" t="n">
        <v>46321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49565-2022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44862</v>
      </c>
      <c r="E191" s="1" t="n">
        <v>46321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46321</v>
      </c>
      <c r="F192" t="inlineStr">
        <is>
          <t>DALARNAS LÄN</t>
        </is>
      </c>
      <c r="G192" t="inlineStr">
        <is>
          <t>VANSBRO</t>
        </is>
      </c>
      <c r="H192" t="inlineStr">
        <is>
          <t>Övriga statliga verk och myndigheter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46321</v>
      </c>
      <c r="F193" t="inlineStr">
        <is>
          <t>DALARNAS LÄN</t>
        </is>
      </c>
      <c r="G193" t="inlineStr">
        <is>
          <t>VANSBRO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46321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44546</v>
      </c>
      <c r="E195" s="1" t="n">
        <v>46321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46321</v>
      </c>
      <c r="F196" t="inlineStr">
        <is>
          <t>DALARNAS LÄN</t>
        </is>
      </c>
      <c r="G196" t="inlineStr">
        <is>
          <t>VANSBRO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46321</v>
      </c>
      <c r="F197" t="inlineStr">
        <is>
          <t>DALARNAS LÄN</t>
        </is>
      </c>
      <c r="G197" t="inlineStr">
        <is>
          <t>VANSBRO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46321</v>
      </c>
      <c r="F198" t="inlineStr">
        <is>
          <t>DALARNAS LÄN</t>
        </is>
      </c>
      <c r="G198" t="inlineStr">
        <is>
          <t>VANSBRO</t>
        </is>
      </c>
      <c r="H198" t="inlineStr">
        <is>
          <t>Övriga statliga verk och myndigheter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46321</v>
      </c>
      <c r="F199" t="inlineStr">
        <is>
          <t>DALARNAS LÄN</t>
        </is>
      </c>
      <c r="G199" t="inlineStr">
        <is>
          <t>VANSBRO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46212</v>
      </c>
      <c r="E200" s="1" t="n">
        <v>46321</v>
      </c>
      <c r="F200" t="inlineStr">
        <is>
          <t>DALARNAS LÄN</t>
        </is>
      </c>
      <c r="G200" t="inlineStr">
        <is>
          <t>VANSBRO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46321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46212</v>
      </c>
      <c r="E202" s="1" t="n">
        <v>46321</v>
      </c>
      <c r="F202" t="inlineStr">
        <is>
          <t>DALARNAS LÄN</t>
        </is>
      </c>
      <c r="G202" t="inlineStr">
        <is>
          <t>VANSBRO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46321</v>
      </c>
      <c r="F203" t="inlineStr">
        <is>
          <t>DALARNAS LÄN</t>
        </is>
      </c>
      <c r="G203" t="inlineStr">
        <is>
          <t>VANSBRO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46321</v>
      </c>
      <c r="F204" t="inlineStr">
        <is>
          <t>DALARNAS LÄN</t>
        </is>
      </c>
      <c r="G204" t="inlineStr">
        <is>
          <t>VANSBRO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46321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46321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46231</v>
      </c>
      <c r="E207" s="1" t="n">
        <v>46321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20.2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45483</v>
      </c>
      <c r="E208" s="1" t="n">
        <v>46321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45783</v>
      </c>
      <c r="E209" s="1" t="n">
        <v>46321</v>
      </c>
      <c r="F209" t="inlineStr">
        <is>
          <t>DALARNAS LÄN</t>
        </is>
      </c>
      <c r="G209" t="inlineStr">
        <is>
          <t>VANSBRO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46321</v>
      </c>
      <c r="F210" t="inlineStr">
        <is>
          <t>DALARNAS LÄN</t>
        </is>
      </c>
      <c r="G210" t="inlineStr">
        <is>
          <t>VANSBRO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45783</v>
      </c>
      <c r="E211" s="1" t="n">
        <v>46321</v>
      </c>
      <c r="F211" t="inlineStr">
        <is>
          <t>DALARNAS LÄN</t>
        </is>
      </c>
      <c r="G211" t="inlineStr">
        <is>
          <t>VANSBRO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46321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44719</v>
      </c>
      <c r="E213" s="1" t="n">
        <v>46321</v>
      </c>
      <c r="F213" t="inlineStr">
        <is>
          <t>DALARNAS LÄN</t>
        </is>
      </c>
      <c r="G213" t="inlineStr">
        <is>
          <t>VANSBRO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46280</v>
      </c>
      <c r="E214" s="1" t="n">
        <v>46321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45492</v>
      </c>
      <c r="E215" s="1" t="n">
        <v>46321</v>
      </c>
      <c r="F215" t="inlineStr">
        <is>
          <t>DALARNAS LÄN</t>
        </is>
      </c>
      <c r="G215" t="inlineStr">
        <is>
          <t>VANSBRO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46280</v>
      </c>
      <c r="E216" s="1" t="n">
        <v>46321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46321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38253-2026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46281</v>
      </c>
      <c r="E218" s="1" t="n">
        <v>46321</v>
      </c>
      <c r="F218" t="inlineStr">
        <is>
          <t>DALARNAS LÄN</t>
        </is>
      </c>
      <c r="G218" t="inlineStr">
        <is>
          <t>VANSBRO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46321</v>
      </c>
      <c r="F219" t="inlineStr">
        <is>
          <t>DALARNAS LÄN</t>
        </is>
      </c>
      <c r="G219" t="inlineStr">
        <is>
          <t>VANSBRO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46321</v>
      </c>
      <c r="F220" t="inlineStr">
        <is>
          <t>DALARNAS LÄN</t>
        </is>
      </c>
      <c r="G220" t="inlineStr">
        <is>
          <t>VANSBRO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46281</v>
      </c>
      <c r="E221" s="1" t="n">
        <v>46321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46238</v>
      </c>
      <c r="E222" s="1" t="n">
        <v>46321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29.6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46321</v>
      </c>
      <c r="F223" t="inlineStr">
        <is>
          <t>DALARNAS LÄN</t>
        </is>
      </c>
      <c r="G223" t="inlineStr">
        <is>
          <t>VANSBRO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45483</v>
      </c>
      <c r="E224" s="1" t="n">
        <v>46321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46033</v>
      </c>
      <c r="E225" s="1" t="n">
        <v>46321</v>
      </c>
      <c r="F225" t="inlineStr">
        <is>
          <t>DALARNAS LÄN</t>
        </is>
      </c>
      <c r="G225" t="inlineStr">
        <is>
          <t>VANSBRO</t>
        </is>
      </c>
      <c r="I225" t="n">
        <v>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46321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öst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46321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46321</v>
      </c>
      <c r="F228" t="inlineStr">
        <is>
          <t>DALARNAS LÄN</t>
        </is>
      </c>
      <c r="G228" t="inlineStr">
        <is>
          <t>VANSBRO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46321</v>
      </c>
      <c r="F229" t="inlineStr">
        <is>
          <t>DALARNAS LÄN</t>
        </is>
      </c>
      <c r="G229" t="inlineStr">
        <is>
          <t>VANSBRO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46283</v>
      </c>
      <c r="E230" s="1" t="n">
        <v>46321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46321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46321</v>
      </c>
      <c r="F232" t="inlineStr">
        <is>
          <t>DALARNAS LÄN</t>
        </is>
      </c>
      <c r="G232" t="inlineStr">
        <is>
          <t>VANSBRO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46321</v>
      </c>
      <c r="F233" t="inlineStr">
        <is>
          <t>DALARNAS LÄN</t>
        </is>
      </c>
      <c r="G233" t="inlineStr">
        <is>
          <t>VANSBRO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45688</v>
      </c>
      <c r="E234" s="1" t="n">
        <v>46321</v>
      </c>
      <c r="F234" t="inlineStr">
        <is>
          <t>DALARNAS LÄN</t>
        </is>
      </c>
      <c r="G234" t="inlineStr">
        <is>
          <t>VANSBRO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46321</v>
      </c>
      <c r="F235" t="inlineStr">
        <is>
          <t>DALARNAS LÄN</t>
        </is>
      </c>
      <c r="G235" t="inlineStr">
        <is>
          <t>VANSBRO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45531</v>
      </c>
      <c r="E236" s="1" t="n">
        <v>46321</v>
      </c>
      <c r="F236" t="inlineStr">
        <is>
          <t>DALARNAS LÄN</t>
        </is>
      </c>
      <c r="G236" t="inlineStr">
        <is>
          <t>VANSBRO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46288</v>
      </c>
      <c r="E237" s="1" t="n">
        <v>46321</v>
      </c>
      <c r="F237" t="inlineStr">
        <is>
          <t>DALARNAS LÄN</t>
        </is>
      </c>
      <c r="G237" t="inlineStr">
        <is>
          <t>VANSBRO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46321</v>
      </c>
      <c r="F238" t="inlineStr">
        <is>
          <t>DALARNAS LÄN</t>
        </is>
      </c>
      <c r="G238" t="inlineStr">
        <is>
          <t>VANSBRO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46321</v>
      </c>
      <c r="F239" t="inlineStr">
        <is>
          <t>DALARNAS LÄN</t>
        </is>
      </c>
      <c r="G239" t="inlineStr">
        <is>
          <t>VANSBRO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46321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46321</v>
      </c>
      <c r="F241" t="inlineStr">
        <is>
          <t>DALARNAS LÄN</t>
        </is>
      </c>
      <c r="G241" t="inlineStr">
        <is>
          <t>VANSBRO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46049</v>
      </c>
      <c r="E242" s="1" t="n">
        <v>46321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46289</v>
      </c>
      <c r="E243" s="1" t="n">
        <v>46321</v>
      </c>
      <c r="F243" t="inlineStr">
        <is>
          <t>DALARNAS LÄN</t>
        </is>
      </c>
      <c r="G243" t="inlineStr">
        <is>
          <t>VANSBRO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46321</v>
      </c>
      <c r="F244" t="inlineStr">
        <is>
          <t>DALARNAS LÄN</t>
        </is>
      </c>
      <c r="G244" t="inlineStr">
        <is>
          <t>VANSBRO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46321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46321</v>
      </c>
      <c r="F246" t="inlineStr">
        <is>
          <t>DALARNAS LÄN</t>
        </is>
      </c>
      <c r="G246" t="inlineStr">
        <is>
          <t>VANSBRO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46321</v>
      </c>
      <c r="F247" t="inlineStr">
        <is>
          <t>DALARNAS LÄN</t>
        </is>
      </c>
      <c r="G247" t="inlineStr">
        <is>
          <t>VANSBRO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46321</v>
      </c>
      <c r="F248" t="inlineStr">
        <is>
          <t>DALARNAS LÄN</t>
        </is>
      </c>
      <c r="G248" t="inlineStr">
        <is>
          <t>VANSBRO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45807</v>
      </c>
      <c r="E249" s="1" t="n">
        <v>46321</v>
      </c>
      <c r="F249" t="inlineStr">
        <is>
          <t>DALARNAS LÄN</t>
        </is>
      </c>
      <c r="G249" t="inlineStr">
        <is>
          <t>VANSBRO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46321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46321</v>
      </c>
      <c r="F251" t="inlineStr">
        <is>
          <t>DALARNAS LÄN</t>
        </is>
      </c>
      <c r="G251" t="inlineStr">
        <is>
          <t>VANSBRO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46294</v>
      </c>
      <c r="E252" s="1" t="n">
        <v>46321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46321</v>
      </c>
      <c r="F253" t="inlineStr">
        <is>
          <t>DALARNAS LÄN</t>
        </is>
      </c>
      <c r="G253" t="inlineStr">
        <is>
          <t>VANSBRO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46321</v>
      </c>
      <c r="F254" t="inlineStr">
        <is>
          <t>DALARNAS LÄN</t>
        </is>
      </c>
      <c r="G254" t="inlineStr">
        <is>
          <t>VANSBRO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46321</v>
      </c>
      <c r="F255" t="inlineStr">
        <is>
          <t>DALARNAS LÄN</t>
        </is>
      </c>
      <c r="G255" t="inlineStr">
        <is>
          <t>VANSBRO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46321</v>
      </c>
      <c r="F256" t="inlineStr">
        <is>
          <t>DALARNAS LÄN</t>
        </is>
      </c>
      <c r="G256" t="inlineStr">
        <is>
          <t>VANSBRO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46321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46293</v>
      </c>
      <c r="E258" s="1" t="n">
        <v>46321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46321</v>
      </c>
      <c r="F259" t="inlineStr">
        <is>
          <t>DALARNAS LÄN</t>
        </is>
      </c>
      <c r="G259" t="inlineStr">
        <is>
          <t>VANSBRO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46041</v>
      </c>
      <c r="E260" s="1" t="n">
        <v>46321</v>
      </c>
      <c r="F260" t="inlineStr">
        <is>
          <t>DALARNAS LÄN</t>
        </is>
      </c>
      <c r="G260" t="inlineStr">
        <is>
          <t>VANSBRO</t>
        </is>
      </c>
      <c r="I260" t="n">
        <v>15.1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46294</v>
      </c>
      <c r="E261" s="1" t="n">
        <v>46321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46293</v>
      </c>
      <c r="E262" s="1" t="n">
        <v>46321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45666</v>
      </c>
      <c r="E263" s="1" t="n">
        <v>46321</v>
      </c>
      <c r="F263" t="inlineStr">
        <is>
          <t>DALARNAS LÄN</t>
        </is>
      </c>
      <c r="G263" t="inlineStr">
        <is>
          <t>VANSBRO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46321</v>
      </c>
      <c r="F264" t="inlineStr">
        <is>
          <t>DALARNAS LÄN</t>
        </is>
      </c>
      <c r="G264" t="inlineStr">
        <is>
          <t>VANSBRO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46294</v>
      </c>
      <c r="E265" s="1" t="n">
        <v>46321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46321</v>
      </c>
      <c r="F266" t="inlineStr">
        <is>
          <t>DALARNAS LÄN</t>
        </is>
      </c>
      <c r="G266" t="inlineStr">
        <is>
          <t>VANSBRO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46321</v>
      </c>
      <c r="F267" t="inlineStr">
        <is>
          <t>DALARNAS LÄN</t>
        </is>
      </c>
      <c r="G267" t="inlineStr">
        <is>
          <t>VANSBRO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46021</v>
      </c>
      <c r="E268" s="1" t="n">
        <v>46321</v>
      </c>
      <c r="F268" t="inlineStr">
        <is>
          <t>DALARNAS LÄN</t>
        </is>
      </c>
      <c r="G268" t="inlineStr">
        <is>
          <t>VANSBRO</t>
        </is>
      </c>
      <c r="I268" t="n">
        <v>19.1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46294</v>
      </c>
      <c r="E269" s="1" t="n">
        <v>46321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46321</v>
      </c>
      <c r="F270" t="inlineStr">
        <is>
          <t>DALARNAS LÄN</t>
        </is>
      </c>
      <c r="G270" t="inlineStr">
        <is>
          <t>VANSBRO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46321</v>
      </c>
      <c r="F271" t="inlineStr">
        <is>
          <t>DALARNAS LÄN</t>
        </is>
      </c>
      <c r="G271" t="inlineStr">
        <is>
          <t>VANSBRO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46294</v>
      </c>
      <c r="E272" s="1" t="n">
        <v>46321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46252</v>
      </c>
      <c r="E273" s="1" t="n">
        <v>46321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46321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46253</v>
      </c>
      <c r="E275" s="1" t="n">
        <v>46321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46321</v>
      </c>
      <c r="F276" t="inlineStr">
        <is>
          <t>DALARNAS LÄN</t>
        </is>
      </c>
      <c r="G276" t="inlineStr">
        <is>
          <t>VANSBRO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46321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46253</v>
      </c>
      <c r="E278" s="1" t="n">
        <v>46321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33953-2026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46252</v>
      </c>
      <c r="E279" s="1" t="n">
        <v>46321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46321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46082</v>
      </c>
      <c r="E281" s="1" t="n">
        <v>46321</v>
      </c>
      <c r="F281" t="inlineStr">
        <is>
          <t>DALARNAS LÄN</t>
        </is>
      </c>
      <c r="G281" t="inlineStr">
        <is>
          <t>VANSBRO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46321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46321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46252</v>
      </c>
      <c r="E284" s="1" t="n">
        <v>46321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46082</v>
      </c>
      <c r="E285" s="1" t="n">
        <v>46321</v>
      </c>
      <c r="F285" t="inlineStr">
        <is>
          <t>DALARNAS LÄN</t>
        </is>
      </c>
      <c r="G285" t="inlineStr">
        <is>
          <t>VANSBRO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46321</v>
      </c>
      <c r="F286" t="inlineStr">
        <is>
          <t>DALARNAS LÄN</t>
        </is>
      </c>
      <c r="G286" t="inlineStr">
        <is>
          <t>VANSBRO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46321</v>
      </c>
      <c r="F287" t="inlineStr">
        <is>
          <t>DALARNAS LÄN</t>
        </is>
      </c>
      <c r="G287" t="inlineStr">
        <is>
          <t>VANSBRO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46300</v>
      </c>
      <c r="E288" s="1" t="n">
        <v>46321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46321</v>
      </c>
      <c r="F289" t="inlineStr">
        <is>
          <t>DALARNAS LÄN</t>
        </is>
      </c>
      <c r="G289" t="inlineStr">
        <is>
          <t>VANSBRO</t>
        </is>
      </c>
      <c r="I289" t="n">
        <v>27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41183-2026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46300</v>
      </c>
      <c r="E290" s="1" t="n">
        <v>46321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46321</v>
      </c>
      <c r="F291" t="inlineStr">
        <is>
          <t>DALARNAS LÄN</t>
        </is>
      </c>
      <c r="G291" t="inlineStr">
        <is>
          <t>VANSBRO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46321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46321</v>
      </c>
      <c r="F293" t="inlineStr">
        <is>
          <t>DALARNAS LÄN</t>
        </is>
      </c>
      <c r="G293" t="inlineStr">
        <is>
          <t>VANSBRO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46321</v>
      </c>
      <c r="F294" t="inlineStr">
        <is>
          <t>DALARNAS LÄN</t>
        </is>
      </c>
      <c r="G294" t="inlineStr">
        <is>
          <t>VANSBRO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46321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19.7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46321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46321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46321</v>
      </c>
      <c r="F298" t="inlineStr">
        <is>
          <t>DALARNAS LÄN</t>
        </is>
      </c>
      <c r="G298" t="inlineStr">
        <is>
          <t>VANSBRO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46321</v>
      </c>
      <c r="F299" t="inlineStr">
        <is>
          <t>DALARNAS LÄN</t>
        </is>
      </c>
      <c r="G299" t="inlineStr">
        <is>
          <t>VANSBRO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46321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46321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46321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46321</v>
      </c>
      <c r="F303" t="inlineStr">
        <is>
          <t>DALARNAS LÄN</t>
        </is>
      </c>
      <c r="G303" t="inlineStr">
        <is>
          <t>VANSBRO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46321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46321</v>
      </c>
      <c r="F305" t="inlineStr">
        <is>
          <t>DALARNAS LÄN</t>
        </is>
      </c>
      <c r="G305" t="inlineStr">
        <is>
          <t>VANSBRO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46255</v>
      </c>
      <c r="E306" s="1" t="n">
        <v>46321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46321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46321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46321</v>
      </c>
      <c r="F309" t="inlineStr">
        <is>
          <t>DALARNAS LÄN</t>
        </is>
      </c>
      <c r="G309" t="inlineStr">
        <is>
          <t>VANSBRO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46302</v>
      </c>
      <c r="E310" s="1" t="n">
        <v>46321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46321</v>
      </c>
      <c r="F311" t="inlineStr">
        <is>
          <t>DALARNAS LÄN</t>
        </is>
      </c>
      <c r="G311" t="inlineStr">
        <is>
          <t>VANSBRO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46259</v>
      </c>
      <c r="E312" s="1" t="n">
        <v>46321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45377</v>
      </c>
      <c r="E313" s="1" t="n">
        <v>46321</v>
      </c>
      <c r="F313" t="inlineStr">
        <is>
          <t>DALARNAS LÄN</t>
        </is>
      </c>
      <c r="G313" t="inlineStr">
        <is>
          <t>VANSBRO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46259</v>
      </c>
      <c r="E314" s="1" t="n">
        <v>46321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45854</v>
      </c>
      <c r="E315" s="1" t="n">
        <v>46321</v>
      </c>
      <c r="F315" t="inlineStr">
        <is>
          <t>DALARNAS LÄN</t>
        </is>
      </c>
      <c r="G315" t="inlineStr">
        <is>
          <t>VANSBRO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46321</v>
      </c>
      <c r="F316" t="inlineStr">
        <is>
          <t>DALARNAS LÄN</t>
        </is>
      </c>
      <c r="G316" t="inlineStr">
        <is>
          <t>VANSBRO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46321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46302</v>
      </c>
      <c r="E318" s="1" t="n">
        <v>46321</v>
      </c>
      <c r="F318" t="inlineStr">
        <is>
          <t>DALARNAS LÄN</t>
        </is>
      </c>
      <c r="G318" t="inlineStr">
        <is>
          <t>VANSBRO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46321</v>
      </c>
      <c r="F319" t="inlineStr">
        <is>
          <t>DALARNAS LÄN</t>
        </is>
      </c>
      <c r="G319" t="inlineStr">
        <is>
          <t>VANSBRO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46321</v>
      </c>
      <c r="F320" t="inlineStr">
        <is>
          <t>DALARNAS LÄN</t>
        </is>
      </c>
      <c r="G320" t="inlineStr">
        <is>
          <t>VANSBRO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46304</v>
      </c>
      <c r="E321" s="1" t="n">
        <v>46321</v>
      </c>
      <c r="F321" t="inlineStr">
        <is>
          <t>DALARNAS LÄN</t>
        </is>
      </c>
      <c r="G321" t="inlineStr">
        <is>
          <t>VANSBRO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46321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46321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46321</v>
      </c>
      <c r="F324" t="inlineStr">
        <is>
          <t>DALARNAS LÄN</t>
        </is>
      </c>
      <c r="G324" t="inlineStr">
        <is>
          <t>VANSBRO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46113</v>
      </c>
      <c r="E325" s="1" t="n">
        <v>46321</v>
      </c>
      <c r="F325" t="inlineStr">
        <is>
          <t>DALARNAS LÄN</t>
        </is>
      </c>
      <c r="G325" t="inlineStr">
        <is>
          <t>VANSBRO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46321</v>
      </c>
      <c r="F326" t="inlineStr">
        <is>
          <t>DALARNAS LÄN</t>
        </is>
      </c>
      <c r="G326" t="inlineStr">
        <is>
          <t>VANSBRO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46321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45868</v>
      </c>
      <c r="E328" s="1" t="n">
        <v>46321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46303</v>
      </c>
      <c r="E329" s="1" t="n">
        <v>46321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46321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46321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46321</v>
      </c>
      <c r="F332" t="inlineStr">
        <is>
          <t>DALARNAS LÄN</t>
        </is>
      </c>
      <c r="G332" t="inlineStr">
        <is>
          <t>VANSBRO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46321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46321</v>
      </c>
      <c r="F334" t="inlineStr">
        <is>
          <t>DALARNAS LÄN</t>
        </is>
      </c>
      <c r="G334" t="inlineStr">
        <is>
          <t>VANSBRO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46321</v>
      </c>
      <c r="F335" t="inlineStr">
        <is>
          <t>DALARNAS LÄN</t>
        </is>
      </c>
      <c r="G335" t="inlineStr">
        <is>
          <t>VANSBRO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46303</v>
      </c>
      <c r="E336" s="1" t="n">
        <v>46321</v>
      </c>
      <c r="F336" t="inlineStr">
        <is>
          <t>DALARNAS LÄN</t>
        </is>
      </c>
      <c r="G336" t="inlineStr">
        <is>
          <t>VANSBRO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46124</v>
      </c>
      <c r="E337" s="1" t="n">
        <v>46321</v>
      </c>
      <c r="F337" t="inlineStr">
        <is>
          <t>DALARNAS LÄN</t>
        </is>
      </c>
      <c r="G337" t="inlineStr">
        <is>
          <t>VANSBRO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46125</v>
      </c>
      <c r="E338" s="1" t="n">
        <v>46321</v>
      </c>
      <c r="F338" t="inlineStr">
        <is>
          <t>DALARNAS LÄN</t>
        </is>
      </c>
      <c r="G338" t="inlineStr">
        <is>
          <t>VANSBRO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46321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46321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46321</v>
      </c>
      <c r="F341" t="inlineStr">
        <is>
          <t>DALARNAS LÄN</t>
        </is>
      </c>
      <c r="G341" t="inlineStr">
        <is>
          <t>VANSBRO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46321</v>
      </c>
      <c r="F342" t="inlineStr">
        <is>
          <t>DALARNAS LÄN</t>
        </is>
      </c>
      <c r="G342" t="inlineStr">
        <is>
          <t>VANSBRO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46321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46321</v>
      </c>
      <c r="F344" t="inlineStr">
        <is>
          <t>DALARNAS LÄN</t>
        </is>
      </c>
      <c r="G344" t="inlineStr">
        <is>
          <t>VANSBRO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45876</v>
      </c>
      <c r="E345" s="1" t="n">
        <v>46321</v>
      </c>
      <c r="F345" t="inlineStr">
        <is>
          <t>DALARNAS LÄN</t>
        </is>
      </c>
      <c r="G345" t="inlineStr">
        <is>
          <t>VANSBRO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46321</v>
      </c>
      <c r="F346" t="inlineStr">
        <is>
          <t>DALARNAS LÄN</t>
        </is>
      </c>
      <c r="G346" t="inlineStr">
        <is>
          <t>VANSBRO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46321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46321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46308</v>
      </c>
      <c r="E349" s="1" t="n">
        <v>46321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46265</v>
      </c>
      <c r="E350" s="1" t="n">
        <v>46321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46321</v>
      </c>
      <c r="F351" t="inlineStr">
        <is>
          <t>DALARNAS LÄN</t>
        </is>
      </c>
      <c r="G351" t="inlineStr">
        <is>
          <t>VANSBRO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46321</v>
      </c>
      <c r="F352" t="inlineStr">
        <is>
          <t>DALARNAS LÄN</t>
        </is>
      </c>
      <c r="G352" t="inlineStr">
        <is>
          <t>VANSBRO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46307</v>
      </c>
      <c r="E353" s="1" t="n">
        <v>46321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46321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46321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46321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46321</v>
      </c>
      <c r="F357" t="inlineStr">
        <is>
          <t>DALARNAS LÄN</t>
        </is>
      </c>
      <c r="G357" t="inlineStr">
        <is>
          <t>VANSBRO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63816-2021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44509</v>
      </c>
      <c r="E358" s="1" t="n">
        <v>46321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46321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46321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45491</v>
      </c>
      <c r="E361" s="1" t="n">
        <v>46321</v>
      </c>
      <c r="F361" t="inlineStr">
        <is>
          <t>DALARNAS LÄN</t>
        </is>
      </c>
      <c r="G361" t="inlineStr">
        <is>
          <t>VANSBRO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46321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46321</v>
      </c>
      <c r="F363" t="inlineStr">
        <is>
          <t>DALARNAS LÄN</t>
        </is>
      </c>
      <c r="G363" t="inlineStr">
        <is>
          <t>VANSBRO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46321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46262</v>
      </c>
      <c r="E365" s="1" t="n">
        <v>46321</v>
      </c>
      <c r="F365" t="inlineStr">
        <is>
          <t>DALARNAS LÄN</t>
        </is>
      </c>
      <c r="G365" t="inlineStr">
        <is>
          <t>VANSBRO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46308</v>
      </c>
      <c r="E366" s="1" t="n">
        <v>46321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46321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45806</v>
      </c>
      <c r="E368" s="1" t="n">
        <v>46321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46321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46309</v>
      </c>
      <c r="E370" s="1" t="n">
        <v>46321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46321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46321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46321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46321</v>
      </c>
      <c r="F374" t="inlineStr">
        <is>
          <t>DALARNAS LÄN</t>
        </is>
      </c>
      <c r="G374" t="inlineStr">
        <is>
          <t>VANSBRO</t>
        </is>
      </c>
      <c r="H374" t="inlineStr">
        <is>
          <t>Kyrkan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46268</v>
      </c>
      <c r="E375" s="1" t="n">
        <v>46321</v>
      </c>
      <c r="F375" t="inlineStr">
        <is>
          <t>DALARNAS LÄN</t>
        </is>
      </c>
      <c r="G375" t="inlineStr">
        <is>
          <t>VANSBRO</t>
        </is>
      </c>
      <c r="H375" t="inlineStr">
        <is>
          <t>Kyrkan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46321</v>
      </c>
      <c r="F376" t="inlineStr">
        <is>
          <t>DALARNAS LÄN</t>
        </is>
      </c>
      <c r="G376" t="inlineStr">
        <is>
          <t>VANSBRO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46321</v>
      </c>
      <c r="F377" t="inlineStr">
        <is>
          <t>DALARNAS LÄN</t>
        </is>
      </c>
      <c r="G377" t="inlineStr">
        <is>
          <t>VANSBRO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46321</v>
      </c>
      <c r="F378" t="inlineStr">
        <is>
          <t>DALARNAS LÄN</t>
        </is>
      </c>
      <c r="G378" t="inlineStr">
        <is>
          <t>VANSBRO</t>
        </is>
      </c>
      <c r="H378" t="inlineStr">
        <is>
          <t>Kyrkan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46321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46321</v>
      </c>
      <c r="F380" t="inlineStr">
        <is>
          <t>DALARNAS LÄN</t>
        </is>
      </c>
      <c r="G380" t="inlineStr">
        <is>
          <t>VANSBRO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46321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46321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46272</v>
      </c>
      <c r="E383" s="1" t="n">
        <v>46321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46321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46321</v>
      </c>
      <c r="F385" t="inlineStr">
        <is>
          <t>DALARNAS LÄN</t>
        </is>
      </c>
      <c r="G385" t="inlineStr">
        <is>
          <t>VANSBRO</t>
        </is>
      </c>
      <c r="I385" t="n">
        <v>13.9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46321</v>
      </c>
      <c r="F386" t="inlineStr">
        <is>
          <t>DALARNAS LÄN</t>
        </is>
      </c>
      <c r="G386" t="inlineStr">
        <is>
          <t>VANSBRO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46321</v>
      </c>
      <c r="F387" t="inlineStr">
        <is>
          <t>DALARNAS LÄN</t>
        </is>
      </c>
      <c r="G387" t="inlineStr">
        <is>
          <t>VANSBRO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46321</v>
      </c>
      <c r="F388" t="inlineStr">
        <is>
          <t>DALARNAS LÄN</t>
        </is>
      </c>
      <c r="G388" t="inlineStr">
        <is>
          <t>VANSBRO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46321</v>
      </c>
      <c r="F389" t="inlineStr">
        <is>
          <t>DALARNAS LÄN</t>
        </is>
      </c>
      <c r="G389" t="inlineStr">
        <is>
          <t>VANSBRO</t>
        </is>
      </c>
      <c r="H389" t="inlineStr">
        <is>
          <t>Kyrkan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46318</v>
      </c>
      <c r="E390" s="1" t="n">
        <v>46321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46321</v>
      </c>
      <c r="F391" t="inlineStr">
        <is>
          <t>DALARNAS LÄN</t>
        </is>
      </c>
      <c r="G391" t="inlineStr">
        <is>
          <t>VANSBRO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45363</v>
      </c>
      <c r="E392" s="1" t="n">
        <v>46321</v>
      </c>
      <c r="F392" t="inlineStr">
        <is>
          <t>DALARNAS LÄN</t>
        </is>
      </c>
      <c r="G392" t="inlineStr">
        <is>
          <t>VANSBRO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46321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45817</v>
      </c>
      <c r="E394" s="1" t="n">
        <v>46321</v>
      </c>
      <c r="F394" t="inlineStr">
        <is>
          <t>DALARNAS LÄN</t>
        </is>
      </c>
      <c r="G394" t="inlineStr">
        <is>
          <t>VANSBRO</t>
        </is>
      </c>
      <c r="I394" t="n">
        <v>15.8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46275</v>
      </c>
      <c r="E395" s="1" t="n">
        <v>46321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46318</v>
      </c>
      <c r="E396" s="1" t="n">
        <v>46321</v>
      </c>
      <c r="F396" t="inlineStr">
        <is>
          <t>DALARNAS LÄN</t>
        </is>
      </c>
      <c r="G396" t="inlineStr">
        <is>
          <t>VANSBRO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46318</v>
      </c>
      <c r="E397" s="1" t="n">
        <v>46321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46321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46321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46321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46321</v>
      </c>
      <c r="F401" t="inlineStr">
        <is>
          <t>DALARNAS LÄN</t>
        </is>
      </c>
      <c r="G401" t="inlineStr">
        <is>
          <t>VANSBRO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46321</v>
      </c>
      <c r="F402" t="inlineStr">
        <is>
          <t>DALARNAS LÄN</t>
        </is>
      </c>
      <c r="G402" t="inlineStr">
        <is>
          <t>VANSBRO</t>
        </is>
      </c>
      <c r="H402" t="inlineStr">
        <is>
          <t>Övriga statliga verk och myndigheter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46321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46321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45498</v>
      </c>
      <c r="E405" s="1" t="n">
        <v>46321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44966</v>
      </c>
      <c r="E406" s="1" t="n">
        <v>46321</v>
      </c>
      <c r="F406" t="inlineStr">
        <is>
          <t>DALARNAS LÄN</t>
        </is>
      </c>
      <c r="G406" t="inlineStr">
        <is>
          <t>VANSBRO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45085</v>
      </c>
      <c r="E407" s="1" t="n">
        <v>46321</v>
      </c>
      <c r="F407" t="inlineStr">
        <is>
          <t>DALARNAS LÄN</t>
        </is>
      </c>
      <c r="G407" t="inlineStr">
        <is>
          <t>VANSBRO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46321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46321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46321</v>
      </c>
      <c r="F410" t="inlineStr">
        <is>
          <t>DALARNAS LÄN</t>
        </is>
      </c>
      <c r="G410" t="inlineStr">
        <is>
          <t>VANSBRO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20931-2022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44701</v>
      </c>
      <c r="E411" s="1" t="n">
        <v>46321</v>
      </c>
      <c r="F411" t="inlineStr">
        <is>
          <t>DALARNAS LÄN</t>
        </is>
      </c>
      <c r="G411" t="inlineStr">
        <is>
          <t>VANSBRO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46321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46321</v>
      </c>
      <c r="F413" t="inlineStr">
        <is>
          <t>DALARNAS LÄN</t>
        </is>
      </c>
      <c r="G413" t="inlineStr">
        <is>
          <t>VANSBRO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46321</v>
      </c>
      <c r="F414" t="inlineStr">
        <is>
          <t>DALARNAS LÄN</t>
        </is>
      </c>
      <c r="G414" t="inlineStr">
        <is>
          <t>VANSBRO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45890</v>
      </c>
      <c r="E415" s="1" t="n">
        <v>46321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45772</v>
      </c>
      <c r="E416" s="1" t="n">
        <v>46321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45689</v>
      </c>
      <c r="E417" s="1" t="n">
        <v>46321</v>
      </c>
      <c r="F417" t="inlineStr">
        <is>
          <t>DALARNAS LÄN</t>
        </is>
      </c>
      <c r="G417" t="inlineStr">
        <is>
          <t>VANSBRO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46321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46321</v>
      </c>
      <c r="F419" t="inlineStr">
        <is>
          <t>DALARNAS LÄN</t>
        </is>
      </c>
      <c r="G419" t="inlineStr">
        <is>
          <t>VANSBRO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46321</v>
      </c>
      <c r="F420" t="inlineStr">
        <is>
          <t>DALARNAS LÄN</t>
        </is>
      </c>
      <c r="G420" t="inlineStr">
        <is>
          <t>VANSBRO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50533-2024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46321</v>
      </c>
      <c r="F421" t="inlineStr">
        <is>
          <t>DALARNAS LÄN</t>
        </is>
      </c>
      <c r="G421" t="inlineStr">
        <is>
          <t>VANSBRO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45481</v>
      </c>
      <c r="E422" s="1" t="n">
        <v>46321</v>
      </c>
      <c r="F422" t="inlineStr">
        <is>
          <t>DALARNAS LÄN</t>
        </is>
      </c>
      <c r="G422" t="inlineStr">
        <is>
          <t>VANSBRO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46321</v>
      </c>
      <c r="F423" t="inlineStr">
        <is>
          <t>DALARNAS LÄN</t>
        </is>
      </c>
      <c r="G423" t="inlineStr">
        <is>
          <t>VANSBRO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46321</v>
      </c>
      <c r="F424" t="inlineStr">
        <is>
          <t>DALARNAS LÄN</t>
        </is>
      </c>
      <c r="G424" t="inlineStr">
        <is>
          <t>VANSBRO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46321</v>
      </c>
      <c r="F425" t="inlineStr">
        <is>
          <t>DALARNAS LÄN</t>
        </is>
      </c>
      <c r="G425" t="inlineStr">
        <is>
          <t>VANSBRO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51396-2022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44869</v>
      </c>
      <c r="E426" s="1" t="n">
        <v>46321</v>
      </c>
      <c r="F426" t="inlineStr">
        <is>
          <t>DALARNAS LÄN</t>
        </is>
      </c>
      <c r="G426" t="inlineStr">
        <is>
          <t>VANSBRO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46321</v>
      </c>
      <c r="F427" t="inlineStr">
        <is>
          <t>DALARNAS LÄN</t>
        </is>
      </c>
      <c r="G427" t="inlineStr">
        <is>
          <t>VANSBRO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46321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46321</v>
      </c>
      <c r="F429" t="inlineStr">
        <is>
          <t>DALARNAS LÄN</t>
        </is>
      </c>
      <c r="G429" t="inlineStr">
        <is>
          <t>VANSBRO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46321</v>
      </c>
      <c r="F430" t="inlineStr">
        <is>
          <t>DALARNAS LÄN</t>
        </is>
      </c>
      <c r="G430" t="inlineStr">
        <is>
          <t>VANSBRO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46321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46321</v>
      </c>
      <c r="F432" t="inlineStr">
        <is>
          <t>DALARNAS LÄN</t>
        </is>
      </c>
      <c r="G432" t="inlineStr">
        <is>
          <t>VANSBRO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46321</v>
      </c>
      <c r="F433" t="inlineStr">
        <is>
          <t>DALARNAS LÄN</t>
        </is>
      </c>
      <c r="G433" t="inlineStr">
        <is>
          <t>VANSBRO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4680-2023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44957</v>
      </c>
      <c r="E434" s="1" t="n">
        <v>46321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46321</v>
      </c>
      <c r="F435" t="inlineStr">
        <is>
          <t>DALARNAS LÄN</t>
        </is>
      </c>
      <c r="G435" t="inlineStr">
        <is>
          <t>VANSBRO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45530</v>
      </c>
      <c r="E436" s="1" t="n">
        <v>46321</v>
      </c>
      <c r="F436" t="inlineStr">
        <is>
          <t>DALARNAS LÄN</t>
        </is>
      </c>
      <c r="G436" t="inlineStr">
        <is>
          <t>VANSBRO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45763</v>
      </c>
      <c r="E437" s="1" t="n">
        <v>46321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46321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46321</v>
      </c>
      <c r="F439" t="inlineStr">
        <is>
          <t>DALARNAS LÄN</t>
        </is>
      </c>
      <c r="G439" t="inlineStr">
        <is>
          <t>VANSBRO</t>
        </is>
      </c>
      <c r="H439" t="inlineStr">
        <is>
          <t>Kommuner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45689</v>
      </c>
      <c r="E440" s="1" t="n">
        <v>46321</v>
      </c>
      <c r="F440" t="inlineStr">
        <is>
          <t>DALARNAS LÄN</t>
        </is>
      </c>
      <c r="G440" t="inlineStr">
        <is>
          <t>VANSBRO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45689</v>
      </c>
      <c r="E441" s="1" t="n">
        <v>46321</v>
      </c>
      <c r="F441" t="inlineStr">
        <is>
          <t>DALARNAS LÄN</t>
        </is>
      </c>
      <c r="G441" t="inlineStr">
        <is>
          <t>VANSBRO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8694-2023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44972</v>
      </c>
      <c r="E442" s="1" t="n">
        <v>46321</v>
      </c>
      <c r="F442" t="inlineStr">
        <is>
          <t>DALARNAS LÄN</t>
        </is>
      </c>
      <c r="G442" t="inlineStr">
        <is>
          <t>VANSBRO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46321</v>
      </c>
      <c r="F443" t="inlineStr">
        <is>
          <t>DALARNAS LÄN</t>
        </is>
      </c>
      <c r="G443" t="inlineStr">
        <is>
          <t>VANSBRO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46321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44960</v>
      </c>
      <c r="E445" s="1" t="n">
        <v>46321</v>
      </c>
      <c r="F445" t="inlineStr">
        <is>
          <t>DALARNAS LÄN</t>
        </is>
      </c>
      <c r="G445" t="inlineStr">
        <is>
          <t>VANSBRO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45371</v>
      </c>
      <c r="E446" s="1" t="n">
        <v>46321</v>
      </c>
      <c r="F446" t="inlineStr">
        <is>
          <t>DALARNAS LÄN</t>
        </is>
      </c>
      <c r="G446" t="inlineStr">
        <is>
          <t>VANSBRO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46321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57947-2023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45247</v>
      </c>
      <c r="E448" s="1" t="n">
        <v>46321</v>
      </c>
      <c r="F448" t="inlineStr">
        <is>
          <t>DALARNAS LÄN</t>
        </is>
      </c>
      <c r="G448" t="inlineStr">
        <is>
          <t>VANSBRO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46321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35299-2024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45530</v>
      </c>
      <c r="E450" s="1" t="n">
        <v>46321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13062-2023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45002</v>
      </c>
      <c r="E451" s="1" t="n">
        <v>46321</v>
      </c>
      <c r="F451" t="inlineStr">
        <is>
          <t>DALARNAS LÄN</t>
        </is>
      </c>
      <c r="G451" t="inlineStr">
        <is>
          <t>VANSBRO</t>
        </is>
      </c>
      <c r="H451" t="inlineStr">
        <is>
          <t>Övriga statliga verk och myndigheter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44925</v>
      </c>
      <c r="E452" s="1" t="n">
        <v>46321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46321</v>
      </c>
      <c r="F453" t="inlineStr">
        <is>
          <t>DALARNAS LÄN</t>
        </is>
      </c>
      <c r="G453" t="inlineStr">
        <is>
          <t>VANSBRO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45443</v>
      </c>
      <c r="E454" s="1" t="n">
        <v>46321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5420-2024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45331</v>
      </c>
      <c r="E455" s="1" t="n">
        <v>46321</v>
      </c>
      <c r="F455" t="inlineStr">
        <is>
          <t>DALARNAS LÄN</t>
        </is>
      </c>
      <c r="G455" t="inlineStr">
        <is>
          <t>VANSBRO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46321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öst AB</t>
        </is>
      </c>
      <c r="I456" t="n">
        <v>45.8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46321</v>
      </c>
      <c r="F457" t="inlineStr">
        <is>
          <t>DALARNAS LÄN</t>
        </is>
      </c>
      <c r="G457" t="inlineStr">
        <is>
          <t>VANSBRO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11485-2024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45372</v>
      </c>
      <c r="E458" s="1" t="n">
        <v>46321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44805</v>
      </c>
      <c r="E459" s="1" t="n">
        <v>46321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46321</v>
      </c>
      <c r="F460" t="inlineStr">
        <is>
          <t>DALARNAS LÄN</t>
        </is>
      </c>
      <c r="G460" t="inlineStr">
        <is>
          <t>VANSBRO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13639-2022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44648</v>
      </c>
      <c r="E461" s="1" t="n">
        <v>46321</v>
      </c>
      <c r="F461" t="inlineStr">
        <is>
          <t>DALARNAS LÄN</t>
        </is>
      </c>
      <c r="G461" t="inlineStr">
        <is>
          <t>VANSBRO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921-2025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45665</v>
      </c>
      <c r="E462" s="1" t="n">
        <v>46321</v>
      </c>
      <c r="F462" t="inlineStr">
        <is>
          <t>DALARNAS LÄN</t>
        </is>
      </c>
      <c r="G462" t="inlineStr">
        <is>
          <t>VANSBRO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46321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46321</v>
      </c>
      <c r="F464" t="inlineStr">
        <is>
          <t>DALARNAS LÄN</t>
        </is>
      </c>
      <c r="G464" t="inlineStr">
        <is>
          <t>VANSBRO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46321</v>
      </c>
      <c r="F465" t="inlineStr">
        <is>
          <t>DALARNAS LÄN</t>
        </is>
      </c>
      <c r="G465" t="inlineStr">
        <is>
          <t>VANSBRO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46321</v>
      </c>
      <c r="F466" t="inlineStr">
        <is>
          <t>DALARNAS LÄN</t>
        </is>
      </c>
      <c r="G466" t="inlineStr">
        <is>
          <t>VANSBRO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44728</v>
      </c>
      <c r="E467" s="1" t="n">
        <v>46321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46321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46321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46321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45665</v>
      </c>
      <c r="E471" s="1" t="n">
        <v>46321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46321</v>
      </c>
      <c r="F472" t="inlineStr">
        <is>
          <t>DALARNAS LÄN</t>
        </is>
      </c>
      <c r="G472" t="inlineStr">
        <is>
          <t>VANSBRO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45169</v>
      </c>
      <c r="E473" s="1" t="n">
        <v>46321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46321</v>
      </c>
      <c r="F474" t="inlineStr">
        <is>
          <t>DALARNAS LÄN</t>
        </is>
      </c>
      <c r="G474" t="inlineStr">
        <is>
          <t>VANSBRO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46321</v>
      </c>
      <c r="F475" t="inlineStr">
        <is>
          <t>DALARNAS LÄN</t>
        </is>
      </c>
      <c r="G475" t="inlineStr">
        <is>
          <t>VANSBRO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46321</v>
      </c>
      <c r="F476" t="inlineStr">
        <is>
          <t>DALARNAS LÄN</t>
        </is>
      </c>
      <c r="G476" t="inlineStr">
        <is>
          <t>VANSBRO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50125-2023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45215</v>
      </c>
      <c r="E477" s="1" t="n">
        <v>46321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46321</v>
      </c>
      <c r="F478" t="inlineStr">
        <is>
          <t>DALARNAS LÄN</t>
        </is>
      </c>
      <c r="G478" t="inlineStr">
        <is>
          <t>VANSBRO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46321</v>
      </c>
      <c r="F479" t="inlineStr">
        <is>
          <t>DALARNAS LÄN</t>
        </is>
      </c>
      <c r="G479" t="inlineStr">
        <is>
          <t>VANSBRO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46321</v>
      </c>
      <c r="F480" t="inlineStr">
        <is>
          <t>DALARNAS LÄN</t>
        </is>
      </c>
      <c r="G480" t="inlineStr">
        <is>
          <t>VANSBRO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45322</v>
      </c>
      <c r="E481" s="1" t="n">
        <v>46321</v>
      </c>
      <c r="F481" t="inlineStr">
        <is>
          <t>DALARNAS LÄN</t>
        </is>
      </c>
      <c r="G481" t="inlineStr">
        <is>
          <t>VANSBRO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46321</v>
      </c>
      <c r="F482" t="inlineStr">
        <is>
          <t>DALARNAS LÄN</t>
        </is>
      </c>
      <c r="G482" t="inlineStr">
        <is>
          <t>VANSBRO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44930</v>
      </c>
      <c r="E483" s="1" t="n">
        <v>46321</v>
      </c>
      <c r="F483" t="inlineStr">
        <is>
          <t>DALARNAS LÄN</t>
        </is>
      </c>
      <c r="G483" t="inlineStr">
        <is>
          <t>VANSBRO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55078-2022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44886</v>
      </c>
      <c r="E484" s="1" t="n">
        <v>46321</v>
      </c>
      <c r="F484" t="inlineStr">
        <is>
          <t>DALARNAS LÄN</t>
        </is>
      </c>
      <c r="G484" t="inlineStr">
        <is>
          <t>VANSBRO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46321</v>
      </c>
      <c r="F485" t="inlineStr">
        <is>
          <t>DALARNAS LÄN</t>
        </is>
      </c>
      <c r="G485" t="inlineStr">
        <is>
          <t>VANSBRO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45265</v>
      </c>
      <c r="E486" s="1" t="n">
        <v>46321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45315</v>
      </c>
      <c r="E487" s="1" t="n">
        <v>46321</v>
      </c>
      <c r="F487" t="inlineStr">
        <is>
          <t>DALARNAS LÄN</t>
        </is>
      </c>
      <c r="G487" t="inlineStr">
        <is>
          <t>VANSBRO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11408-2025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45726</v>
      </c>
      <c r="E488" s="1" t="n">
        <v>46321</v>
      </c>
      <c r="F488" t="inlineStr">
        <is>
          <t>DALARNAS LÄN</t>
        </is>
      </c>
      <c r="G488" t="inlineStr">
        <is>
          <t>VANSBRO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45520</v>
      </c>
      <c r="E489" s="1" t="n">
        <v>46321</v>
      </c>
      <c r="F489" t="inlineStr">
        <is>
          <t>DALARNAS LÄN</t>
        </is>
      </c>
      <c r="G489" t="inlineStr">
        <is>
          <t>VANSBRO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46321</v>
      </c>
      <c r="F490" t="inlineStr">
        <is>
          <t>DALARNAS LÄN</t>
        </is>
      </c>
      <c r="G490" t="inlineStr">
        <is>
          <t>VANSBRO</t>
        </is>
      </c>
      <c r="H490" t="inlineStr">
        <is>
          <t>Övriga statliga verk och myndigheter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61515-2022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44916</v>
      </c>
      <c r="E491" s="1" t="n">
        <v>46321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46321</v>
      </c>
      <c r="F492" t="inlineStr">
        <is>
          <t>DALARNAS LÄN</t>
        </is>
      </c>
      <c r="G492" t="inlineStr">
        <is>
          <t>VANSBRO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46321</v>
      </c>
      <c r="F493" t="inlineStr">
        <is>
          <t>DALARNAS LÄN</t>
        </is>
      </c>
      <c r="G493" t="inlineStr">
        <is>
          <t>VANSBRO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41371-2022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44826</v>
      </c>
      <c r="E494" s="1" t="n">
        <v>46321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öst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46321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46321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46321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46321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46321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46321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2026-10-26T03:09:57Z</dcterms:created>
  <dcterms:modified xmlns:dcterms="http://purl.org/dc/terms/" xmlns:xsi="http://www.w3.org/2001/XMLSchema-instance" xsi:type="dcterms:W3CDTF">2026-10-26T03:09:58Z</dcterms:modified>
</cp:coreProperties>
</file>