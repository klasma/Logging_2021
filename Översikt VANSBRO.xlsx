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37715-2025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45880</v>
      </c>
      <c r="E5" s="1" t="n">
        <v>46232</v>
      </c>
      <c r="F5" t="inlineStr">
        <is>
          <t>DALARNAS LÄN</t>
        </is>
      </c>
      <c r="G5" t="inlineStr">
        <is>
          <t>VANSBRO</t>
        </is>
      </c>
      <c r="I5" t="n">
        <v>12.5</v>
      </c>
      <c r="J5" t="n">
        <v>4</v>
      </c>
      <c r="K5" t="n">
        <v>1</v>
      </c>
      <c r="L5" t="n">
        <v>8</v>
      </c>
      <c r="M5" t="n">
        <v>1</v>
      </c>
      <c r="N5" t="n">
        <v>0</v>
      </c>
      <c r="O5" t="n">
        <v>0</v>
      </c>
      <c r="P5" t="n">
        <v>0</v>
      </c>
      <c r="Q5" t="n">
        <v>9</v>
      </c>
      <c r="R5" t="n">
        <v>1</v>
      </c>
      <c r="S5" t="n">
        <v>13</v>
      </c>
      <c r="T5" t="n">
        <v>99</v>
      </c>
      <c r="U5" t="n">
        <v>99</v>
      </c>
      <c r="V5" s="2" t="inlineStr">
        <is>
          <t>Garnlav
Dropptaggsvamp
Kolflarnlav
Lunglav
Mörk kolflarnlav
Tallticka
Tretåig hackspett
Ullticka
Vedskivlav
Mindre märgborre
Spillkråka
Tjäder
Fläcknycklar</t>
        </is>
      </c>
      <c r="W5">
        <f>HYPERLINK("https://klasma.github.io/Logging_2021/artfynd/A 37715-2025 artfynd.xlsx", "A 37715-2025")</f>
        <v/>
      </c>
      <c r="X5">
        <f>HYPERLINK("https://klasma.github.io/Logging_2021/kartor/A 37715-2025 karta.png", "A 37715-2025")</f>
        <v/>
      </c>
      <c r="Y5">
        <f>HYPERLINK("https://klasma.github.io/Logging_2021/kartor_geotiff/A 37715-2025 georefererad karta.tif", "A 37715-2025")</f>
        <v/>
      </c>
      <c r="AA5">
        <f>HYPERLINK("https://klasma.github.io/Logging_2021/klagomål/A 37715-2025 FSC-klagomål.docx", "A 37715-2025")</f>
        <v/>
      </c>
      <c r="AB5">
        <f>HYPERLINK("https://klasma.github.io/Logging_2021/klagomålsmail/A 37715-2025 FSC-klagomål mail.docx", "A 37715-2025")</f>
        <v/>
      </c>
      <c r="AC5">
        <f>HYPERLINK("https://klasma.github.io/Logging_2021/tillsyn/A 37715-2025 tillsynsbegäran.docx", "A 37715-2025")</f>
        <v/>
      </c>
      <c r="AD5">
        <f>HYPERLINK("https://klasma.github.io/Logging_2021/tillsynsmail/A 37715-2025 tillsynsbegäran mail.docx", "A 37715-2025")</f>
        <v/>
      </c>
      <c r="AE5">
        <f>HYPERLINK("https://klasma.github.io/Logging_2021/fåglar/A 37715-2025 prioriterade fågelarter.docx", "A 37715-2025")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46232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3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45</v>
      </c>
      <c r="U6" t="n">
        <v>0</v>
      </c>
      <c r="V6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46232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46232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t="n">
        <v>64</v>
      </c>
      <c r="V8" s="2" t="inlineStr">
        <is>
          <t>Garnlav
Knärot
Fjällig taggsvamp s.str.
Orange taggsvamp
Rynkskinn
Tretåig hackspett
Ullticka
Trådticka
Vedticka
Tjäder</t>
        </is>
      </c>
      <c r="W8">
        <f>HYPERLINK("https://klasma.github.io/Logging_2021/artfynd/A 11713-2025 artfynd.xlsx", "A 11713-2025")</f>
        <v/>
      </c>
      <c r="X8">
        <f>HYPERLINK("https://klasma.github.io/Logging_2021/kartor/A 11713-2025 karta.png", "A 11713-2025")</f>
        <v/>
      </c>
      <c r="Y8">
        <f>HYPERLINK("https://klasma.github.io/Logging_2021/kartor_geotiff/A 11713-2025 georefererad karta.tif", "A 11713-2025")</f>
        <v/>
      </c>
      <c r="Z8">
        <f>HYPERLINK("https://klasma.github.io/Logging_2021/knärot/A 11713-2025 karta knärot.png", "A 11713-2025")</f>
        <v/>
      </c>
      <c r="AA8">
        <f>HYPERLINK("https://klasma.github.io/Logging_2021/klagomål/A 11713-2025 FSC-klagomål.docx", "A 11713-2025")</f>
        <v/>
      </c>
      <c r="AB8">
        <f>HYPERLINK("https://klasma.github.io/Logging_2021/klagomålsmail/A 11713-2025 FSC-klagomål mail.docx", "A 11713-2025")</f>
        <v/>
      </c>
      <c r="AC8">
        <f>HYPERLINK("https://klasma.github.io/Logging_2021/tillsyn/A 11713-2025 tillsynsbegäran.docx", "A 11713-2025")</f>
        <v/>
      </c>
      <c r="AD8">
        <f>HYPERLINK("https://klasma.github.io/Logging_2021/tillsynsmail/A 11713-2025 tillsynsbegäran mail.docx", "A 11713-2025")</f>
        <v/>
      </c>
      <c r="AE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46232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46232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46232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46232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46232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46232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46232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46232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46232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46232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21</v>
      </c>
      <c r="U18" t="n">
        <v>21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46232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34</v>
      </c>
      <c r="U19" t="n">
        <v>34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46232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46232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46232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46232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46232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16725-2024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45409</v>
      </c>
      <c r="E25" s="1" t="n">
        <v>46232</v>
      </c>
      <c r="F25" t="inlineStr">
        <is>
          <t>DALARNAS LÄN</t>
        </is>
      </c>
      <c r="G25" t="inlineStr">
        <is>
          <t>VANSBRO</t>
        </is>
      </c>
      <c r="I25" t="n">
        <v>3.1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Dropptaggsvamp
Skuggblåslav
Bollvitmossa</t>
        </is>
      </c>
      <c r="W25">
        <f>HYPERLINK("https://klasma.github.io/Logging_2021/artfynd/A 16725-2024 artfynd.xlsx", "A 16725-2024")</f>
        <v/>
      </c>
      <c r="X25">
        <f>HYPERLINK("https://klasma.github.io/Logging_2021/kartor/A 16725-2024 karta.png", "A 16725-2024")</f>
        <v/>
      </c>
      <c r="Y25">
        <f>HYPERLINK("https://klasma.github.io/Logging_2021/kartor_geotiff/A 16725-2024 georefererad karta.tif", "A 16725-2024")</f>
        <v/>
      </c>
      <c r="AA25">
        <f>HYPERLINK("https://klasma.github.io/Logging_2021/klagomål/A 16725-2024 FSC-klagomål.docx", "A 16725-2024")</f>
        <v/>
      </c>
      <c r="AB25">
        <f>HYPERLINK("https://klasma.github.io/Logging_2021/klagomålsmail/A 16725-2024 FSC-klagomål mail.docx", "A 16725-2024")</f>
        <v/>
      </c>
      <c r="AC25">
        <f>HYPERLINK("https://klasma.github.io/Logging_2021/tillsyn/A 16725-2024 tillsynsbegäran.docx", "A 16725-2024")</f>
        <v/>
      </c>
      <c r="AD25">
        <f>HYPERLINK("https://klasma.github.io/Logging_2021/tillsynsmail/A 16725-2024 tillsynsbegäran mail.docx", "A 16725-2024")</f>
        <v/>
      </c>
    </row>
    <row r="26" ht="15" customHeight="1">
      <c r="A26" t="inlineStr">
        <is>
          <t>A 33005-2025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46232</v>
      </c>
      <c r="F26" t="inlineStr">
        <is>
          <t>DALARNAS LÄN</t>
        </is>
      </c>
      <c r="G26" t="inlineStr">
        <is>
          <t>VANSBRO</t>
        </is>
      </c>
      <c r="I26" t="n">
        <v>5.5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5</v>
      </c>
      <c r="V26" s="2" t="inlineStr">
        <is>
          <t>Knärot
Kolflarnlav
Tretåig hackspett</t>
        </is>
      </c>
      <c r="W26">
        <f>HYPERLINK("https://klasma.github.io/Logging_2021/artfynd/A 33005-2025 artfynd.xlsx", "A 33005-2025")</f>
        <v/>
      </c>
      <c r="X26">
        <f>HYPERLINK("https://klasma.github.io/Logging_2021/kartor/A 33005-2025 karta.png", "A 33005-2025")</f>
        <v/>
      </c>
      <c r="Y26">
        <f>HYPERLINK("https://klasma.github.io/Logging_2021/kartor_geotiff/A 33005-2025 georefererad karta.tif", "A 33005-2025")</f>
        <v/>
      </c>
      <c r="Z26">
        <f>HYPERLINK("https://klasma.github.io/Logging_2021/knärot/A 33005-2025 karta knärot.png", "A 33005-2025")</f>
        <v/>
      </c>
      <c r="AA26">
        <f>HYPERLINK("https://klasma.github.io/Logging_2021/klagomål/A 33005-2025 FSC-klagomål.docx", "A 33005-2025")</f>
        <v/>
      </c>
      <c r="AB26">
        <f>HYPERLINK("https://klasma.github.io/Logging_2021/klagomålsmail/A 33005-2025 FSC-klagomål mail.docx", "A 33005-2025")</f>
        <v/>
      </c>
      <c r="AC26">
        <f>HYPERLINK("https://klasma.github.io/Logging_2021/tillsyn/A 33005-2025 tillsynsbegäran.docx", "A 33005-2025")</f>
        <v/>
      </c>
      <c r="AD26">
        <f>HYPERLINK("https://klasma.github.io/Logging_2021/tillsynsmail/A 33005-2025 tillsynsbegäran mail.docx", "A 33005-2025")</f>
        <v/>
      </c>
      <c r="AE26">
        <f>HYPERLINK("https://klasma.github.io/Logging_2021/fåglar/A 33005-2025 prioriterade fågelarter.docx", "A 33005-2025")</f>
        <v/>
      </c>
    </row>
    <row r="27" ht="15" customHeight="1">
      <c r="A27" t="inlineStr">
        <is>
          <t>A 27504-2025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46232</v>
      </c>
      <c r="F27" t="inlineStr">
        <is>
          <t>DALARNAS LÄN</t>
        </is>
      </c>
      <c r="G27" t="inlineStr">
        <is>
          <t>VANSBRO</t>
        </is>
      </c>
      <c r="H27" t="inlineStr">
        <is>
          <t>Bergvik skog väst AB</t>
        </is>
      </c>
      <c r="I27" t="n">
        <v>3.4</v>
      </c>
      <c r="J27" t="n">
        <v>0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Garnlav
Kortskaftad ärgspik
Vedticka</t>
        </is>
      </c>
      <c r="W27">
        <f>HYPERLINK("https://klasma.github.io/Logging_2021/artfynd/A 27504-2025 artfynd.xlsx", "A 27504-2025")</f>
        <v/>
      </c>
      <c r="X27">
        <f>HYPERLINK("https://klasma.github.io/Logging_2021/kartor/A 27504-2025 karta.png", "A 27504-2025")</f>
        <v/>
      </c>
      <c r="Y27">
        <f>HYPERLINK("https://klasma.github.io/Logging_2021/kartor_geotiff/A 27504-2025 georefererad karta.tif", "A 27504-2025")</f>
        <v/>
      </c>
      <c r="AA27">
        <f>HYPERLINK("https://klasma.github.io/Logging_2021/klagomål/A 27504-2025 FSC-klagomål.docx", "A 27504-2025")</f>
        <v/>
      </c>
      <c r="AB27">
        <f>HYPERLINK("https://klasma.github.io/Logging_2021/klagomålsmail/A 27504-2025 FSC-klagomål mail.docx", "A 27504-2025")</f>
        <v/>
      </c>
      <c r="AC27">
        <f>HYPERLINK("https://klasma.github.io/Logging_2021/tillsyn/A 27504-2025 tillsynsbegäran.docx", "A 27504-2025")</f>
        <v/>
      </c>
      <c r="AD27">
        <f>HYPERLINK("https://klasma.github.io/Logging_2021/tillsynsmail/A 27504-2025 tillsynsbegäran mail.docx", "A 27504-2025")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46232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33898-2022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46232</v>
      </c>
      <c r="F29" t="inlineStr">
        <is>
          <t>DALARNAS LÄN</t>
        </is>
      </c>
      <c r="G29" t="inlineStr">
        <is>
          <t>VANSBRO</t>
        </is>
      </c>
      <c r="I29" t="n">
        <v>2.8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2</v>
      </c>
      <c r="V29" s="2" t="inlineStr">
        <is>
          <t>Knärot
Kungsfågel</t>
        </is>
      </c>
      <c r="W29">
        <f>HYPERLINK("https://klasma.github.io/Logging_2021/artfynd/A 33898-2022 artfynd.xlsx", "A 33898-2022")</f>
        <v/>
      </c>
      <c r="X29">
        <f>HYPERLINK("https://klasma.github.io/Logging_2021/kartor/A 33898-2022 karta.png", "A 33898-2022")</f>
        <v/>
      </c>
      <c r="Y29">
        <f>HYPERLINK("https://klasma.github.io/Logging_2021/kartor_geotiff/A 33898-2022 georefererad karta.tif", "A 33898-2022")</f>
        <v/>
      </c>
      <c r="Z29">
        <f>HYPERLINK("https://klasma.github.io/Logging_2021/knärot/A 33898-2022 karta knärot.png", "A 33898-2022")</f>
        <v/>
      </c>
      <c r="AA29">
        <f>HYPERLINK("https://klasma.github.io/Logging_2021/klagomål/A 33898-2022 FSC-klagomål.docx", "A 33898-2022")</f>
        <v/>
      </c>
      <c r="AB29">
        <f>HYPERLINK("https://klasma.github.io/Logging_2021/klagomålsmail/A 33898-2022 FSC-klagomål mail.docx", "A 33898-2022")</f>
        <v/>
      </c>
      <c r="AC29">
        <f>HYPERLINK("https://klasma.github.io/Logging_2021/tillsyn/A 33898-2022 tillsynsbegäran.docx", "A 33898-2022")</f>
        <v/>
      </c>
      <c r="AD29">
        <f>HYPERLINK("https://klasma.github.io/Logging_2021/tillsynsmail/A 33898-2022 tillsynsbegäran mail.docx", "A 33898-2022")</f>
        <v/>
      </c>
    </row>
    <row r="30" ht="15" customHeight="1">
      <c r="A30" t="inlineStr">
        <is>
          <t>A 1691-2026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46232</v>
      </c>
      <c r="F30" t="inlineStr">
        <is>
          <t>DALARNAS LÄN</t>
        </is>
      </c>
      <c r="G30" t="inlineStr">
        <is>
          <t>VANSBRO</t>
        </is>
      </c>
      <c r="I30" t="n">
        <v>6.3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Dropptaggsvamp
Motaggsvamp</t>
        </is>
      </c>
      <c r="W30">
        <f>HYPERLINK("https://klasma.github.io/Logging_2021/artfynd/A 1691-2026 artfynd.xlsx", "A 1691-2026")</f>
        <v/>
      </c>
      <c r="X30">
        <f>HYPERLINK("https://klasma.github.io/Logging_2021/kartor/A 1691-2026 karta.png", "A 1691-2026")</f>
        <v/>
      </c>
      <c r="Y30">
        <f>HYPERLINK("https://klasma.github.io/Logging_2021/kartor_geotiff/A 1691-2026 georefererad karta.tif", "A 1691-2026")</f>
        <v/>
      </c>
      <c r="AA30">
        <f>HYPERLINK("https://klasma.github.io/Logging_2021/klagomål/A 1691-2026 FSC-klagomål.docx", "A 1691-2026")</f>
        <v/>
      </c>
      <c r="AB30">
        <f>HYPERLINK("https://klasma.github.io/Logging_2021/klagomålsmail/A 1691-2026 FSC-klagomål mail.docx", "A 1691-2026")</f>
        <v/>
      </c>
      <c r="AC30">
        <f>HYPERLINK("https://klasma.github.io/Logging_2021/tillsyn/A 1691-2026 tillsynsbegäran.docx", "A 1691-2026")</f>
        <v/>
      </c>
      <c r="AD30">
        <f>HYPERLINK("https://klasma.github.io/Logging_2021/tillsynsmail/A 1691-2026 tillsynsbegäran mail.docx", "A 1691-2026")</f>
        <v/>
      </c>
    </row>
    <row r="31" ht="15" customHeight="1">
      <c r="A31" t="inlineStr">
        <is>
          <t>A 13323-2025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45735</v>
      </c>
      <c r="E31" s="1" t="n">
        <v>46232</v>
      </c>
      <c r="F31" t="inlineStr">
        <is>
          <t>DALARNAS LÄN</t>
        </is>
      </c>
      <c r="G31" t="inlineStr">
        <is>
          <t>VANSBRO</t>
        </is>
      </c>
      <c r="I31" t="n">
        <v>2.1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4</v>
      </c>
      <c r="V31" s="2" t="inlineStr">
        <is>
          <t>Knärot
Ullticka</t>
        </is>
      </c>
      <c r="W31">
        <f>HYPERLINK("https://klasma.github.io/Logging_2021/artfynd/A 13323-2025 artfynd.xlsx", "A 13323-2025")</f>
        <v/>
      </c>
      <c r="X31">
        <f>HYPERLINK("https://klasma.github.io/Logging_2021/kartor/A 13323-2025 karta.png", "A 13323-2025")</f>
        <v/>
      </c>
      <c r="Y31">
        <f>HYPERLINK("https://klasma.github.io/Logging_2021/kartor_geotiff/A 13323-2025 georefererad karta.tif", "A 13323-2025")</f>
        <v/>
      </c>
      <c r="Z31">
        <f>HYPERLINK("https://klasma.github.io/Logging_2021/knärot/A 13323-2025 karta knärot.png", "A 13323-2025")</f>
        <v/>
      </c>
      <c r="AA31">
        <f>HYPERLINK("https://klasma.github.io/Logging_2021/klagomål/A 13323-2025 FSC-klagomål.docx", "A 13323-2025")</f>
        <v/>
      </c>
      <c r="AB31">
        <f>HYPERLINK("https://klasma.github.io/Logging_2021/klagomålsmail/A 13323-2025 FSC-klagomål mail.docx", "A 13323-2025")</f>
        <v/>
      </c>
      <c r="AC31">
        <f>HYPERLINK("https://klasma.github.io/Logging_2021/tillsyn/A 13323-2025 tillsynsbegäran.docx", "A 13323-2025")</f>
        <v/>
      </c>
      <c r="AD31">
        <f>HYPERLINK("https://klasma.github.io/Logging_2021/tillsynsmail/A 13323-2025 tillsynsbegäran mail.docx", "A 13323-2025")</f>
        <v/>
      </c>
    </row>
    <row r="32" ht="15" customHeight="1">
      <c r="A32" t="inlineStr">
        <is>
          <t>A 19656-2026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46134</v>
      </c>
      <c r="E32" s="1" t="n">
        <v>46232</v>
      </c>
      <c r="F32" t="inlineStr">
        <is>
          <t>DALARNAS LÄN</t>
        </is>
      </c>
      <c r="G32" t="inlineStr">
        <is>
          <t>VANSBRO</t>
        </is>
      </c>
      <c r="H32" t="inlineStr">
        <is>
          <t>Bergvik skog väst AB</t>
        </is>
      </c>
      <c r="I32" t="n">
        <v>18.2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Ängsblåvinge
Berggräsfjäril</t>
        </is>
      </c>
      <c r="W32">
        <f>HYPERLINK("https://klasma.github.io/Logging_2021/artfynd/A 19656-2026 artfynd.xlsx", "A 19656-2026")</f>
        <v/>
      </c>
      <c r="X32">
        <f>HYPERLINK("https://klasma.github.io/Logging_2021/kartor/A 19656-2026 karta.png", "A 19656-2026")</f>
        <v/>
      </c>
      <c r="Y32">
        <f>HYPERLINK("https://klasma.github.io/Logging_2021/kartor_geotiff/A 19656-2026 georefererad karta.tif", "A 19656-2026")</f>
        <v/>
      </c>
      <c r="AA32">
        <f>HYPERLINK("https://klasma.github.io/Logging_2021/klagomål/A 19656-2026 FSC-klagomål.docx", "A 19656-2026")</f>
        <v/>
      </c>
      <c r="AB32">
        <f>HYPERLINK("https://klasma.github.io/Logging_2021/klagomålsmail/A 19656-2026 FSC-klagomål mail.docx", "A 19656-2026")</f>
        <v/>
      </c>
      <c r="AC32">
        <f>HYPERLINK("https://klasma.github.io/Logging_2021/tillsyn/A 19656-2026 tillsynsbegäran.docx", "A 19656-2026")</f>
        <v/>
      </c>
      <c r="AD32">
        <f>HYPERLINK("https://klasma.github.io/Logging_2021/tillsynsmail/A 19656-2026 tillsynsbegäran mail.docx", "A 19656-2026")</f>
        <v/>
      </c>
    </row>
    <row r="33" ht="15" customHeight="1">
      <c r="A33" t="inlineStr">
        <is>
          <t>A 58009-2023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46232</v>
      </c>
      <c r="F33" t="inlineStr">
        <is>
          <t>DALARNAS LÄN</t>
        </is>
      </c>
      <c r="G33" t="inlineStr">
        <is>
          <t>VANSBRO</t>
        </is>
      </c>
      <c r="I33" t="n">
        <v>0.5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Sädesärla
Orre</t>
        </is>
      </c>
      <c r="W33">
        <f>HYPERLINK("https://klasma.github.io/Logging_2021/artfynd/A 58009-2023 artfynd.xlsx", "A 58009-2023")</f>
        <v/>
      </c>
      <c r="X33">
        <f>HYPERLINK("https://klasma.github.io/Logging_2021/kartor/A 58009-2023 karta.png", "A 58009-2023")</f>
        <v/>
      </c>
      <c r="Y33">
        <f>HYPERLINK("https://klasma.github.io/Logging_2021/kartor_geotiff/A 58009-2023 georefererad karta.tif", "A 58009-2023")</f>
        <v/>
      </c>
      <c r="AA33">
        <f>HYPERLINK("https://klasma.github.io/Logging_2021/klagomål/A 58009-2023 FSC-klagomål.docx", "A 58009-2023")</f>
        <v/>
      </c>
      <c r="AB33">
        <f>HYPERLINK("https://klasma.github.io/Logging_2021/klagomålsmail/A 58009-2023 FSC-klagomål mail.docx", "A 58009-2023")</f>
        <v/>
      </c>
      <c r="AC33">
        <f>HYPERLINK("https://klasma.github.io/Logging_2021/tillsyn/A 58009-2023 tillsynsbegäran.docx", "A 58009-2023")</f>
        <v/>
      </c>
      <c r="AD33">
        <f>HYPERLINK("https://klasma.github.io/Logging_2021/tillsynsmail/A 58009-2023 tillsynsbegäran mail.docx", "A 58009-2023")</f>
        <v/>
      </c>
      <c r="AE33">
        <f>HYPERLINK("https://klasma.github.io/Logging_2021/fåglar/A 58009-2023 prioriterade fågelarter.docx", "A 58009-2023")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46232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45205-2021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46232</v>
      </c>
      <c r="F35" t="inlineStr">
        <is>
          <t>DALARNAS LÄN</t>
        </is>
      </c>
      <c r="G35" t="inlineStr">
        <is>
          <t>VANSBRO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HYPERLINK("https://klasma.github.io/Logging_2021/artfynd/A 45205-2021 artfynd.xlsx", "A 45205-2021")</f>
        <v/>
      </c>
      <c r="X35">
        <f>HYPERLINK("https://klasma.github.io/Logging_2021/kartor/A 45205-2021 karta.png", "A 45205-2021")</f>
        <v/>
      </c>
      <c r="Y35">
        <f>HYPERLINK("https://klasma.github.io/Logging_2021/kartor_geotiff/A 45205-2021 georefererad karta.tif", "A 45205-2021")</f>
        <v/>
      </c>
      <c r="AA35">
        <f>HYPERLINK("https://klasma.github.io/Logging_2021/klagomål/A 45205-2021 FSC-klagomål.docx", "A 45205-2021")</f>
        <v/>
      </c>
      <c r="AB35">
        <f>HYPERLINK("https://klasma.github.io/Logging_2021/klagomålsmail/A 45205-2021 FSC-klagomål mail.docx", "A 45205-2021")</f>
        <v/>
      </c>
      <c r="AC35">
        <f>HYPERLINK("https://klasma.github.io/Logging_2021/tillsyn/A 45205-2021 tillsynsbegäran.docx", "A 45205-2021")</f>
        <v/>
      </c>
      <c r="AD35">
        <f>HYPERLINK("https://klasma.github.io/Logging_2021/tillsynsmail/A 45205-2021 tillsynsbegäran mail.docx", "A 45205-2021")</f>
        <v/>
      </c>
    </row>
    <row r="36" ht="15" customHeight="1">
      <c r="A36" t="inlineStr">
        <is>
          <t>A 50688-2021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46232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Rynkskinn</t>
        </is>
      </c>
      <c r="W36">
        <f>HYPERLINK("https://klasma.github.io/Logging_2021/artfynd/A 50688-2021 artfynd.xlsx", "A 50688-2021")</f>
        <v/>
      </c>
      <c r="X36">
        <f>HYPERLINK("https://klasma.github.io/Logging_2021/kartor/A 50688-2021 karta.png", "A 50688-2021")</f>
        <v/>
      </c>
      <c r="Y36">
        <f>HYPERLINK("https://klasma.github.io/Logging_2021/kartor_geotiff/A 50688-2021 georefererad karta.tif", "A 50688-2021")</f>
        <v/>
      </c>
      <c r="AA36">
        <f>HYPERLINK("https://klasma.github.io/Logging_2021/klagomål/A 50688-2021 FSC-klagomål.docx", "A 50688-2021")</f>
        <v/>
      </c>
      <c r="AB36">
        <f>HYPERLINK("https://klasma.github.io/Logging_2021/klagomålsmail/A 50688-2021 FSC-klagomål mail.docx", "A 50688-2021")</f>
        <v/>
      </c>
      <c r="AC36">
        <f>HYPERLINK("https://klasma.github.io/Logging_2021/tillsyn/A 50688-2021 tillsynsbegäran.docx", "A 50688-2021")</f>
        <v/>
      </c>
      <c r="AD36">
        <f>HYPERLINK("https://klasma.github.io/Logging_2021/tillsynsmail/A 50688-2021 tillsynsbegäran mail.docx", "A 50688-2021")</f>
        <v/>
      </c>
    </row>
    <row r="37" ht="15" customHeight="1">
      <c r="A37" t="inlineStr">
        <is>
          <t>A 3854-2024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46232</v>
      </c>
      <c r="F37" t="inlineStr">
        <is>
          <t>DALARNAS LÄN</t>
        </is>
      </c>
      <c r="G37" t="inlineStr">
        <is>
          <t>VANSBRO</t>
        </is>
      </c>
      <c r="H37" t="inlineStr">
        <is>
          <t>Kyrkan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HYPERLINK("https://klasma.github.io/Logging_2021/artfynd/A 3854-2024 artfynd.xlsx", "A 3854-2024")</f>
        <v/>
      </c>
      <c r="X37">
        <f>HYPERLINK("https://klasma.github.io/Logging_2021/kartor/A 3854-2024 karta.png", "A 3854-2024")</f>
        <v/>
      </c>
      <c r="Y37">
        <f>HYPERLINK("https://klasma.github.io/Logging_2021/kartor_geotiff/A 3854-2024 georefererad karta.tif", "A 3854-2024")</f>
        <v/>
      </c>
      <c r="AA37">
        <f>HYPERLINK("https://klasma.github.io/Logging_2021/klagomål/A 3854-2024 FSC-klagomål.docx", "A 3854-2024")</f>
        <v/>
      </c>
      <c r="AB37">
        <f>HYPERLINK("https://klasma.github.io/Logging_2021/klagomålsmail/A 3854-2024 FSC-klagomål mail.docx", "A 3854-2024")</f>
        <v/>
      </c>
      <c r="AC37">
        <f>HYPERLINK("https://klasma.github.io/Logging_2021/tillsyn/A 3854-2024 tillsynsbegäran.docx", "A 3854-2024")</f>
        <v/>
      </c>
      <c r="AD37">
        <f>HYPERLINK("https://klasma.github.io/Logging_2021/tillsynsmail/A 3854-2024 tillsynsbegäran mail.docx", "A 3854-2024")</f>
        <v/>
      </c>
    </row>
    <row r="38" ht="15" customHeight="1">
      <c r="A38" t="inlineStr">
        <is>
          <t>A 27052-2025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45811</v>
      </c>
      <c r="E38" s="1" t="n">
        <v>46232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HYPERLINK("https://klasma.github.io/Logging_2021/artfynd/A 27052-2025 artfynd.xlsx", "A 27052-2025")</f>
        <v/>
      </c>
      <c r="X38">
        <f>HYPERLINK("https://klasma.github.io/Logging_2021/kartor/A 27052-2025 karta.png", "A 27052-2025")</f>
        <v/>
      </c>
      <c r="Y38">
        <f>HYPERLINK("https://klasma.github.io/Logging_2021/kartor_geotiff/A 27052-2025 georefererad karta.tif", "A 27052-2025")</f>
        <v/>
      </c>
      <c r="AA38">
        <f>HYPERLINK("https://klasma.github.io/Logging_2021/klagomål/A 27052-2025 FSC-klagomål.docx", "A 27052-2025")</f>
        <v/>
      </c>
      <c r="AB38">
        <f>HYPERLINK("https://klasma.github.io/Logging_2021/klagomålsmail/A 27052-2025 FSC-klagomål mail.docx", "A 27052-2025")</f>
        <v/>
      </c>
      <c r="AC38">
        <f>HYPERLINK("https://klasma.github.io/Logging_2021/tillsyn/A 27052-2025 tillsynsbegäran.docx", "A 27052-2025")</f>
        <v/>
      </c>
      <c r="AD38">
        <f>HYPERLINK("https://klasma.github.io/Logging_2021/tillsynsmail/A 27052-2025 tillsynsbegäran mail.docx", "A 27052-2025")</f>
        <v/>
      </c>
      <c r="AE38">
        <f>HYPERLINK("https://klasma.github.io/Logging_2021/fåglar/A 27052-2025 prioriterade fågelarter.docx", "A 27052-2025")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46232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32917-2025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45839</v>
      </c>
      <c r="E40" s="1" t="n">
        <v>46232</v>
      </c>
      <c r="F40" t="inlineStr">
        <is>
          <t>DALARNAS LÄN</t>
        </is>
      </c>
      <c r="G40" t="inlineStr">
        <is>
          <t>VANSBRO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Garnlav</t>
        </is>
      </c>
      <c r="W40">
        <f>HYPERLINK("https://klasma.github.io/Logging_2021/artfynd/A 32917-2025 artfynd.xlsx", "A 32917-2025")</f>
        <v/>
      </c>
      <c r="X40">
        <f>HYPERLINK("https://klasma.github.io/Logging_2021/kartor/A 32917-2025 karta.png", "A 32917-2025")</f>
        <v/>
      </c>
      <c r="Y40">
        <f>HYPERLINK("https://klasma.github.io/Logging_2021/kartor_geotiff/A 32917-2025 georefererad karta.tif", "A 32917-2025")</f>
        <v/>
      </c>
      <c r="AA40">
        <f>HYPERLINK("https://klasma.github.io/Logging_2021/klagomål/A 32917-2025 FSC-klagomål.docx", "A 32917-2025")</f>
        <v/>
      </c>
      <c r="AB40">
        <f>HYPERLINK("https://klasma.github.io/Logging_2021/klagomålsmail/A 32917-2025 FSC-klagomål mail.docx", "A 32917-2025")</f>
        <v/>
      </c>
      <c r="AC40">
        <f>HYPERLINK("https://klasma.github.io/Logging_2021/tillsyn/A 32917-2025 tillsynsbegäran.docx", "A 32917-2025")</f>
        <v/>
      </c>
      <c r="AD40">
        <f>HYPERLINK("https://klasma.github.io/Logging_2021/tillsynsmail/A 32917-2025 tillsynsbegäran mail.docx", "A 32917-2025")</f>
        <v/>
      </c>
    </row>
    <row r="41" ht="15" customHeight="1">
      <c r="A41" t="inlineStr">
        <is>
          <t>A 33003-2025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46232</v>
      </c>
      <c r="F41" t="inlineStr">
        <is>
          <t>DALARNAS LÄN</t>
        </is>
      </c>
      <c r="G41" t="inlineStr">
        <is>
          <t>VANSBRO</t>
        </is>
      </c>
      <c r="I41" t="n">
        <v>2.3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3</v>
      </c>
      <c r="V41" s="2" t="inlineStr">
        <is>
          <t>Knärot</t>
        </is>
      </c>
      <c r="W41">
        <f>HYPERLINK("https://klasma.github.io/Logging_2021/artfynd/A 33003-2025 artfynd.xlsx", "A 33003-2025")</f>
        <v/>
      </c>
      <c r="X41">
        <f>HYPERLINK("https://klasma.github.io/Logging_2021/kartor/A 33003-2025 karta.png", "A 33003-2025")</f>
        <v/>
      </c>
      <c r="Y41">
        <f>HYPERLINK("https://klasma.github.io/Logging_2021/kartor_geotiff/A 33003-2025 georefererad karta.tif", "A 33003-2025")</f>
        <v/>
      </c>
      <c r="Z41">
        <f>HYPERLINK("https://klasma.github.io/Logging_2021/knärot/A 33003-2025 karta knärot.png", "A 33003-2025")</f>
        <v/>
      </c>
      <c r="AA41">
        <f>HYPERLINK("https://klasma.github.io/Logging_2021/klagomål/A 33003-2025 FSC-klagomål.docx", "A 33003-2025")</f>
        <v/>
      </c>
      <c r="AB41">
        <f>HYPERLINK("https://klasma.github.io/Logging_2021/klagomålsmail/A 33003-2025 FSC-klagomål mail.docx", "A 33003-2025")</f>
        <v/>
      </c>
      <c r="AC41">
        <f>HYPERLINK("https://klasma.github.io/Logging_2021/tillsyn/A 33003-2025 tillsynsbegäran.docx", "A 33003-2025")</f>
        <v/>
      </c>
      <c r="AD41">
        <f>HYPERLINK("https://klasma.github.io/Logging_2021/tillsynsmail/A 33003-2025 tillsynsbegäran mail.docx", "A 33003-2025")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46232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5659-2026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46232</v>
      </c>
      <c r="F43" t="inlineStr">
        <is>
          <t>DALARNAS LÄN</t>
        </is>
      </c>
      <c r="G43" t="inlineStr">
        <is>
          <t>VANSBRO</t>
        </is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rörsvepemossa</t>
        </is>
      </c>
      <c r="W43">
        <f>HYPERLINK("https://klasma.github.io/Logging_2021/artfynd/A 5659-2026 artfynd.xlsx", "A 5659-2026")</f>
        <v/>
      </c>
      <c r="X43">
        <f>HYPERLINK("https://klasma.github.io/Logging_2021/kartor/A 5659-2026 karta.png", "A 5659-2026")</f>
        <v/>
      </c>
      <c r="Y43">
        <f>HYPERLINK("https://klasma.github.io/Logging_2021/kartor_geotiff/A 5659-2026 georefererad karta.tif", "A 5659-2026")</f>
        <v/>
      </c>
      <c r="AA43">
        <f>HYPERLINK("https://klasma.github.io/Logging_2021/klagomål/A 5659-2026 FSC-klagomål.docx", "A 5659-2026")</f>
        <v/>
      </c>
      <c r="AB43">
        <f>HYPERLINK("https://klasma.github.io/Logging_2021/klagomålsmail/A 5659-2026 FSC-klagomål mail.docx", "A 5659-2026")</f>
        <v/>
      </c>
      <c r="AC43">
        <f>HYPERLINK("https://klasma.github.io/Logging_2021/tillsyn/A 5659-2026 tillsynsbegäran.docx", "A 5659-2026")</f>
        <v/>
      </c>
      <c r="AD43">
        <f>HYPERLINK("https://klasma.github.io/Logging_2021/tillsynsmail/A 5659-2026 tillsynsbegäran mail.docx", "A 5659-2026")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46232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20076-2026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46136</v>
      </c>
      <c r="E45" s="1" t="n">
        <v>46232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öst AB</t>
        </is>
      </c>
      <c r="I45" t="n">
        <v>13.2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Kransrams</t>
        </is>
      </c>
      <c r="W45">
        <f>HYPERLINK("https://klasma.github.io/Logging_2021/artfynd/A 20076-2026 artfynd.xlsx", "A 20076-2026")</f>
        <v/>
      </c>
      <c r="X45">
        <f>HYPERLINK("https://klasma.github.io/Logging_2021/kartor/A 20076-2026 karta.png", "A 20076-2026")</f>
        <v/>
      </c>
      <c r="Y45">
        <f>HYPERLINK("https://klasma.github.io/Logging_2021/kartor_geotiff/A 20076-2026 georefererad karta.tif", "A 20076-2026")</f>
        <v/>
      </c>
      <c r="AA45">
        <f>HYPERLINK("https://klasma.github.io/Logging_2021/klagomål/A 20076-2026 FSC-klagomål.docx", "A 20076-2026")</f>
        <v/>
      </c>
      <c r="AB45">
        <f>HYPERLINK("https://klasma.github.io/Logging_2021/klagomålsmail/A 20076-2026 FSC-klagomål mail.docx", "A 20076-2026")</f>
        <v/>
      </c>
      <c r="AC45">
        <f>HYPERLINK("https://klasma.github.io/Logging_2021/tillsyn/A 20076-2026 tillsynsbegäran.docx", "A 20076-2026")</f>
        <v/>
      </c>
      <c r="AD45">
        <f>HYPERLINK("https://klasma.github.io/Logging_2021/tillsynsmail/A 20076-2026 tillsynsbegäran mail.docx", "A 20076-2026")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46232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46232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46232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51579-2021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46232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14.3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Kolflarnlav</t>
        </is>
      </c>
      <c r="W49">
        <f>HYPERLINK("https://klasma.github.io/Logging_2021/artfynd/A 51579-2021 artfynd.xlsx", "A 51579-2021")</f>
        <v/>
      </c>
      <c r="X49">
        <f>HYPERLINK("https://klasma.github.io/Logging_2021/kartor/A 51579-2021 karta.png", "A 51579-2021")</f>
        <v/>
      </c>
      <c r="Y49">
        <f>HYPERLINK("https://klasma.github.io/Logging_2021/kartor_geotiff/A 51579-2021 georefererad karta.tif", "A 51579-2021")</f>
        <v/>
      </c>
      <c r="AA49">
        <f>HYPERLINK("https://klasma.github.io/Logging_2021/klagomål/A 51579-2021 FSC-klagomål.docx", "A 51579-2021")</f>
        <v/>
      </c>
      <c r="AB49">
        <f>HYPERLINK("https://klasma.github.io/Logging_2021/klagomålsmail/A 51579-2021 FSC-klagomål mail.docx", "A 51579-2021")</f>
        <v/>
      </c>
      <c r="AC49">
        <f>HYPERLINK("https://klasma.github.io/Logging_2021/tillsyn/A 51579-2021 tillsynsbegäran.docx", "A 51579-2021")</f>
        <v/>
      </c>
      <c r="AD49">
        <f>HYPERLINK("https://klasma.github.io/Logging_2021/tillsynsmail/A 51579-2021 tillsynsbegäran mail.docx", "A 51579-2021")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46232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46232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46232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46232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46232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46232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46232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46232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46232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46232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46232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46232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46232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46232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46232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46232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46232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46232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46232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46232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46232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46232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46232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46232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46232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46232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46232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46232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46232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46232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46232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46232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46232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46232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46232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46232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46232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35288-2024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46232</v>
      </c>
      <c r="F88" t="inlineStr">
        <is>
          <t>DALARNAS LÄN</t>
        </is>
      </c>
      <c r="G88" t="inlineStr">
        <is>
          <t>VANSBRO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4680-2023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44957</v>
      </c>
      <c r="E89" s="1" t="n">
        <v>46232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46232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55078-2022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44886</v>
      </c>
      <c r="E91" s="1" t="n">
        <v>46232</v>
      </c>
      <c r="F91" t="inlineStr">
        <is>
          <t>DALARNAS LÄN</t>
        </is>
      </c>
      <c r="G91" t="inlineStr">
        <is>
          <t>VANSBRO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45141</v>
      </c>
      <c r="E92" s="1" t="n">
        <v>46232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46232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45498</v>
      </c>
      <c r="E94" s="1" t="n">
        <v>46232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46232</v>
      </c>
      <c r="F95" t="inlineStr">
        <is>
          <t>DALARNAS LÄN</t>
        </is>
      </c>
      <c r="G95" t="inlineStr">
        <is>
          <t>VANSBRO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11408-2025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45726</v>
      </c>
      <c r="E96" s="1" t="n">
        <v>46232</v>
      </c>
      <c r="F96" t="inlineStr">
        <is>
          <t>DALARNAS LÄN</t>
        </is>
      </c>
      <c r="G96" t="inlineStr">
        <is>
          <t>VANSBRO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46232</v>
      </c>
      <c r="F97" t="inlineStr">
        <is>
          <t>DALARNAS LÄN</t>
        </is>
      </c>
      <c r="G97" t="inlineStr">
        <is>
          <t>VANSBRO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44442</v>
      </c>
      <c r="E98" s="1" t="n">
        <v>46232</v>
      </c>
      <c r="F98" t="inlineStr">
        <is>
          <t>DALARNAS LÄN</t>
        </is>
      </c>
      <c r="G98" t="inlineStr">
        <is>
          <t>VANSBRO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45183</v>
      </c>
      <c r="E99" s="1" t="n">
        <v>46232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44826</v>
      </c>
      <c r="E100" s="1" t="n">
        <v>46232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46232</v>
      </c>
      <c r="F101" t="inlineStr">
        <is>
          <t>DALARNAS LÄN</t>
        </is>
      </c>
      <c r="G101" t="inlineStr">
        <is>
          <t>VANSBRO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46232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44796</v>
      </c>
      <c r="E103" s="1" t="n">
        <v>46232</v>
      </c>
      <c r="F103" t="inlineStr">
        <is>
          <t>DALARNAS LÄN</t>
        </is>
      </c>
      <c r="G103" t="inlineStr">
        <is>
          <t>VANSBRO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46232</v>
      </c>
      <c r="F104" t="inlineStr">
        <is>
          <t>DALARNAS LÄN</t>
        </is>
      </c>
      <c r="G104" t="inlineStr">
        <is>
          <t>VANSBRO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45637</v>
      </c>
      <c r="E105" s="1" t="n">
        <v>46232</v>
      </c>
      <c r="F105" t="inlineStr">
        <is>
          <t>DALARNAS LÄN</t>
        </is>
      </c>
      <c r="G105" t="inlineStr">
        <is>
          <t>VANSBRO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46232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45689</v>
      </c>
      <c r="E107" s="1" t="n">
        <v>46232</v>
      </c>
      <c r="F107" t="inlineStr">
        <is>
          <t>DALARNAS LÄN</t>
        </is>
      </c>
      <c r="G107" t="inlineStr">
        <is>
          <t>VANSBRO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45512</v>
      </c>
      <c r="E108" s="1" t="n">
        <v>46232</v>
      </c>
      <c r="F108" t="inlineStr">
        <is>
          <t>DALARNAS LÄN</t>
        </is>
      </c>
      <c r="G108" t="inlineStr">
        <is>
          <t>VANSBRO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46232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45754</v>
      </c>
      <c r="E110" s="1" t="n">
        <v>46232</v>
      </c>
      <c r="F110" t="inlineStr">
        <is>
          <t>DALARNAS LÄN</t>
        </is>
      </c>
      <c r="G110" t="inlineStr">
        <is>
          <t>VANSBRO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46232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46232</v>
      </c>
      <c r="F112" t="inlineStr">
        <is>
          <t>DALARNAS LÄN</t>
        </is>
      </c>
      <c r="G112" t="inlineStr">
        <is>
          <t>VANSBRO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35299-2024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45530</v>
      </c>
      <c r="E113" s="1" t="n">
        <v>46232</v>
      </c>
      <c r="F113" t="inlineStr">
        <is>
          <t>DALARNAS LÄN</t>
        </is>
      </c>
      <c r="G113" t="inlineStr">
        <is>
          <t>VANSBRO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46232</v>
      </c>
      <c r="F114" t="inlineStr">
        <is>
          <t>DALARNAS LÄN</t>
        </is>
      </c>
      <c r="G114" t="inlineStr">
        <is>
          <t>VANSBRO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45807</v>
      </c>
      <c r="E115" s="1" t="n">
        <v>46232</v>
      </c>
      <c r="F115" t="inlineStr">
        <is>
          <t>DALARNAS LÄN</t>
        </is>
      </c>
      <c r="G115" t="inlineStr">
        <is>
          <t>VANSBRO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44925</v>
      </c>
      <c r="E116" s="1" t="n">
        <v>46232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38670-2025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45884</v>
      </c>
      <c r="E117" s="1" t="n">
        <v>46232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46232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46232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46232</v>
      </c>
      <c r="F120" t="inlineStr">
        <is>
          <t>DALARNAS LÄN</t>
        </is>
      </c>
      <c r="G120" t="inlineStr">
        <is>
          <t>VANSBRO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45695</v>
      </c>
      <c r="E121" s="1" t="n">
        <v>46232</v>
      </c>
      <c r="F121" t="inlineStr">
        <is>
          <t>DALARNAS LÄN</t>
        </is>
      </c>
      <c r="G121" t="inlineStr">
        <is>
          <t>VANSBRO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46033</v>
      </c>
      <c r="E122" s="1" t="n">
        <v>46232</v>
      </c>
      <c r="F122" t="inlineStr">
        <is>
          <t>DALARNAS LÄN</t>
        </is>
      </c>
      <c r="G122" t="inlineStr">
        <is>
          <t>VANSBRO</t>
        </is>
      </c>
      <c r="I122" t="n">
        <v>9.9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46232</v>
      </c>
      <c r="F123" t="inlineStr">
        <is>
          <t>DALARNAS LÄN</t>
        </is>
      </c>
      <c r="G123" t="inlineStr">
        <is>
          <t>VANSBRO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46232</v>
      </c>
      <c r="F124" t="inlineStr">
        <is>
          <t>DALARNAS LÄN</t>
        </is>
      </c>
      <c r="G124" t="inlineStr">
        <is>
          <t>VANSBRO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46232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49565-2022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44862</v>
      </c>
      <c r="E126" s="1" t="n">
        <v>46232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46232</v>
      </c>
      <c r="F127" t="inlineStr">
        <is>
          <t>DALARNAS LÄN</t>
        </is>
      </c>
      <c r="G127" t="inlineStr">
        <is>
          <t>VANSBRO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46232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46232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46232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46232</v>
      </c>
      <c r="F131" t="inlineStr">
        <is>
          <t>DALARNAS LÄN</t>
        </is>
      </c>
      <c r="G131" t="inlineStr">
        <is>
          <t>VANSBRO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46232</v>
      </c>
      <c r="F132" t="inlineStr">
        <is>
          <t>DALARNAS LÄN</t>
        </is>
      </c>
      <c r="G132" t="inlineStr">
        <is>
          <t>VANSBRO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46232</v>
      </c>
      <c r="F133" t="inlineStr">
        <is>
          <t>DALARNAS LÄN</t>
        </is>
      </c>
      <c r="G133" t="inlineStr">
        <is>
          <t>VANSBRO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46232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46232</v>
      </c>
      <c r="F135" t="inlineStr">
        <is>
          <t>DALARNAS LÄN</t>
        </is>
      </c>
      <c r="G135" t="inlineStr">
        <is>
          <t>VANSBRO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46232</v>
      </c>
      <c r="F136" t="inlineStr">
        <is>
          <t>DALARNAS LÄN</t>
        </is>
      </c>
      <c r="G136" t="inlineStr">
        <is>
          <t>VANSBRO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46232</v>
      </c>
      <c r="F137" t="inlineStr">
        <is>
          <t>DALARNAS LÄN</t>
        </is>
      </c>
      <c r="G137" t="inlineStr">
        <is>
          <t>VANSBRO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46232</v>
      </c>
      <c r="F138" t="inlineStr">
        <is>
          <t>DALARNAS LÄN</t>
        </is>
      </c>
      <c r="G138" t="inlineStr">
        <is>
          <t>VANSBRO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44469</v>
      </c>
      <c r="E139" s="1" t="n">
        <v>46232</v>
      </c>
      <c r="F139" t="inlineStr">
        <is>
          <t>DALARNAS LÄN</t>
        </is>
      </c>
      <c r="G139" t="inlineStr">
        <is>
          <t>VANSBRO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46232</v>
      </c>
      <c r="F140" t="inlineStr">
        <is>
          <t>DALARNAS LÄN</t>
        </is>
      </c>
      <c r="G140" t="inlineStr">
        <is>
          <t>VANSBRO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45832</v>
      </c>
      <c r="E141" s="1" t="n">
        <v>46232</v>
      </c>
      <c r="F141" t="inlineStr">
        <is>
          <t>DALARNAS LÄN</t>
        </is>
      </c>
      <c r="G141" t="inlineStr">
        <is>
          <t>VANSBRO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31499-2025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46232</v>
      </c>
      <c r="F142" t="inlineStr">
        <is>
          <t>DALARNAS LÄN</t>
        </is>
      </c>
      <c r="G142" t="inlineStr">
        <is>
          <t>VANSBRO</t>
        </is>
      </c>
      <c r="I142" t="n">
        <v>27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46232</v>
      </c>
      <c r="F143" t="inlineStr">
        <is>
          <t>DALARNAS LÄN</t>
        </is>
      </c>
      <c r="G143" t="inlineStr">
        <is>
          <t>VANSBRO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46232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46232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46232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46232</v>
      </c>
      <c r="F147" t="inlineStr">
        <is>
          <t>DALARNAS LÄN</t>
        </is>
      </c>
      <c r="G147" t="inlineStr">
        <is>
          <t>VANSBRO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46232</v>
      </c>
      <c r="F148" t="inlineStr">
        <is>
          <t>DALARNAS LÄN</t>
        </is>
      </c>
      <c r="G148" t="inlineStr">
        <is>
          <t>VANSBRO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46232</v>
      </c>
      <c r="F149" t="inlineStr">
        <is>
          <t>DALARNAS LÄN</t>
        </is>
      </c>
      <c r="G149" t="inlineStr">
        <is>
          <t>VANSBRO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46232</v>
      </c>
      <c r="F150" t="inlineStr">
        <is>
          <t>DALARNAS LÄN</t>
        </is>
      </c>
      <c r="G150" t="inlineStr">
        <is>
          <t>VANSBRO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46232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öst AB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33036-2025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46232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öst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46232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45258</v>
      </c>
      <c r="E154" s="1" t="n">
        <v>46232</v>
      </c>
      <c r="F154" t="inlineStr">
        <is>
          <t>DALARNAS LÄN</t>
        </is>
      </c>
      <c r="G154" t="inlineStr">
        <is>
          <t>VANSBRO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45183</v>
      </c>
      <c r="E155" s="1" t="n">
        <v>46232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öst AB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45846</v>
      </c>
      <c r="E156" s="1" t="n">
        <v>46232</v>
      </c>
      <c r="F156" t="inlineStr">
        <is>
          <t>DALARNAS LÄN</t>
        </is>
      </c>
      <c r="G156" t="inlineStr">
        <is>
          <t>VANSBRO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46232</v>
      </c>
      <c r="F157" t="inlineStr">
        <is>
          <t>DALARNAS LÄN</t>
        </is>
      </c>
      <c r="G157" t="inlineStr">
        <is>
          <t>VANSBRO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45764</v>
      </c>
      <c r="E158" s="1" t="n">
        <v>46232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45764</v>
      </c>
      <c r="E159" s="1" t="n">
        <v>46232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45665</v>
      </c>
      <c r="E160" s="1" t="n">
        <v>46232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46232</v>
      </c>
      <c r="F161" t="inlineStr">
        <is>
          <t>DALARNAS LÄN</t>
        </is>
      </c>
      <c r="G161" t="inlineStr">
        <is>
          <t>VANSBRO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45854</v>
      </c>
      <c r="E162" s="1" t="n">
        <v>46232</v>
      </c>
      <c r="F162" t="inlineStr">
        <is>
          <t>DALARNAS LÄN</t>
        </is>
      </c>
      <c r="G162" t="inlineStr">
        <is>
          <t>VANSBRO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45756</v>
      </c>
      <c r="E163" s="1" t="n">
        <v>46232</v>
      </c>
      <c r="F163" t="inlineStr">
        <is>
          <t>DALARNAS LÄN</t>
        </is>
      </c>
      <c r="G163" t="inlineStr">
        <is>
          <t>VANSBRO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46232</v>
      </c>
      <c r="F164" t="inlineStr">
        <is>
          <t>DALARNAS LÄN</t>
        </is>
      </c>
      <c r="G164" t="inlineStr">
        <is>
          <t>VANSBRO</t>
        </is>
      </c>
      <c r="H164" t="inlineStr">
        <is>
          <t>Övriga statliga verk och myndigheter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46232</v>
      </c>
      <c r="F165" t="inlineStr">
        <is>
          <t>DALARNAS LÄN</t>
        </is>
      </c>
      <c r="G165" t="inlineStr">
        <is>
          <t>VANSBRO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46232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46232</v>
      </c>
      <c r="F167" t="inlineStr">
        <is>
          <t>DALARNAS LÄN</t>
        </is>
      </c>
      <c r="G167" t="inlineStr">
        <is>
          <t>VANSBRO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45860</v>
      </c>
      <c r="E168" s="1" t="n">
        <v>46232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46232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45754</v>
      </c>
      <c r="E170" s="1" t="n">
        <v>46232</v>
      </c>
      <c r="F170" t="inlineStr">
        <is>
          <t>DALARNAS LÄN</t>
        </is>
      </c>
      <c r="G170" t="inlineStr">
        <is>
          <t>VANSBRO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46232</v>
      </c>
      <c r="F171" t="inlineStr">
        <is>
          <t>DALARNAS LÄN</t>
        </is>
      </c>
      <c r="G171" t="inlineStr">
        <is>
          <t>VANSBRO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46232</v>
      </c>
      <c r="F172" t="inlineStr">
        <is>
          <t>DALARNAS LÄN</t>
        </is>
      </c>
      <c r="G172" t="inlineStr">
        <is>
          <t>VANSBRO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45463</v>
      </c>
      <c r="E173" s="1" t="n">
        <v>46232</v>
      </c>
      <c r="F173" t="inlineStr">
        <is>
          <t>DALARNAS LÄN</t>
        </is>
      </c>
      <c r="G173" t="inlineStr">
        <is>
          <t>VANSBRO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46232</v>
      </c>
      <c r="F174" t="inlineStr">
        <is>
          <t>DALARNAS LÄN</t>
        </is>
      </c>
      <c r="G174" t="inlineStr">
        <is>
          <t>VANSBRO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45868</v>
      </c>
      <c r="E175" s="1" t="n">
        <v>46232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46232</v>
      </c>
      <c r="F176" t="inlineStr">
        <is>
          <t>DALARNAS LÄN</t>
        </is>
      </c>
      <c r="G176" t="inlineStr">
        <is>
          <t>VANSBRO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48840-2025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45937</v>
      </c>
      <c r="E177" s="1" t="n">
        <v>46232</v>
      </c>
      <c r="F177" t="inlineStr">
        <is>
          <t>DALARNAS LÄN</t>
        </is>
      </c>
      <c r="G177" t="inlineStr">
        <is>
          <t>VANSBRO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46051</v>
      </c>
      <c r="E178" s="1" t="n">
        <v>46232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46232</v>
      </c>
      <c r="F179" t="inlineStr">
        <is>
          <t>DALARNAS LÄN</t>
        </is>
      </c>
      <c r="G179" t="inlineStr">
        <is>
          <t>VANSBRO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46232</v>
      </c>
      <c r="F180" t="inlineStr">
        <is>
          <t>DALARNAS LÄN</t>
        </is>
      </c>
      <c r="G180" t="inlineStr">
        <is>
          <t>VANSBRO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46232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46232</v>
      </c>
      <c r="F182" t="inlineStr">
        <is>
          <t>DALARNAS LÄN</t>
        </is>
      </c>
      <c r="G182" t="inlineStr">
        <is>
          <t>VANSBRO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46232</v>
      </c>
      <c r="F183" t="inlineStr">
        <is>
          <t>DALARNAS LÄN</t>
        </is>
      </c>
      <c r="G183" t="inlineStr">
        <is>
          <t>VANSBRO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46232</v>
      </c>
      <c r="F184" t="inlineStr">
        <is>
          <t>DALARNAS LÄN</t>
        </is>
      </c>
      <c r="G184" t="inlineStr">
        <is>
          <t>VANSBRO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46232</v>
      </c>
      <c r="F185" t="inlineStr">
        <is>
          <t>DALARNAS LÄN</t>
        </is>
      </c>
      <c r="G185" t="inlineStr">
        <is>
          <t>VANSBRO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45876</v>
      </c>
      <c r="E186" s="1" t="n">
        <v>46232</v>
      </c>
      <c r="F186" t="inlineStr">
        <is>
          <t>DALARNAS LÄN</t>
        </is>
      </c>
      <c r="G186" t="inlineStr">
        <is>
          <t>VANSBRO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46232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46232</v>
      </c>
      <c r="F188" t="inlineStr">
        <is>
          <t>DALARNAS LÄN</t>
        </is>
      </c>
      <c r="G188" t="inlineStr">
        <is>
          <t>VANSBRO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46232</v>
      </c>
      <c r="F189" t="inlineStr">
        <is>
          <t>DALARNAS LÄN</t>
        </is>
      </c>
      <c r="G189" t="inlineStr">
        <is>
          <t>VANSBRO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46232</v>
      </c>
      <c r="F190" t="inlineStr">
        <is>
          <t>DALARNAS LÄN</t>
        </is>
      </c>
      <c r="G190" t="inlineStr">
        <is>
          <t>VANSBRO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46232</v>
      </c>
      <c r="F191" t="inlineStr">
        <is>
          <t>DALARNAS LÄN</t>
        </is>
      </c>
      <c r="G191" t="inlineStr">
        <is>
          <t>VANSBRO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46232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46232</v>
      </c>
      <c r="F193" t="inlineStr">
        <is>
          <t>DALARNAS LÄN</t>
        </is>
      </c>
      <c r="G193" t="inlineStr">
        <is>
          <t>VANSBRO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46232</v>
      </c>
      <c r="F194" t="inlineStr">
        <is>
          <t>DALARNAS LÄN</t>
        </is>
      </c>
      <c r="G194" t="inlineStr">
        <is>
          <t>VANSBRO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46232</v>
      </c>
      <c r="F195" t="inlineStr">
        <is>
          <t>DALARNAS LÄN</t>
        </is>
      </c>
      <c r="G195" t="inlineStr">
        <is>
          <t>VANSBRO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45950</v>
      </c>
      <c r="E196" s="1" t="n">
        <v>46232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46232</v>
      </c>
      <c r="F197" t="inlineStr">
        <is>
          <t>DALARNAS LÄN</t>
        </is>
      </c>
      <c r="G197" t="inlineStr">
        <is>
          <t>VANSBRO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46232</v>
      </c>
      <c r="F198" t="inlineStr">
        <is>
          <t>DALARNAS LÄN</t>
        </is>
      </c>
      <c r="G198" t="inlineStr">
        <is>
          <t>VANSBRO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46232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46232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öst AB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45956</v>
      </c>
      <c r="E201" s="1" t="n">
        <v>46232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46232</v>
      </c>
      <c r="F202" t="inlineStr">
        <is>
          <t>DALARNAS LÄN</t>
        </is>
      </c>
      <c r="G202" t="inlineStr">
        <is>
          <t>VANSBRO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45956</v>
      </c>
      <c r="E203" s="1" t="n">
        <v>46232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46232</v>
      </c>
      <c r="F204" t="inlineStr">
        <is>
          <t>DALARNAS LÄN</t>
        </is>
      </c>
      <c r="G204" t="inlineStr">
        <is>
          <t>VANSBRO</t>
        </is>
      </c>
      <c r="I204" t="n">
        <v>15.1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53839-2022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44880</v>
      </c>
      <c r="E205" s="1" t="n">
        <v>46232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öst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46232</v>
      </c>
      <c r="F206" t="inlineStr">
        <is>
          <t>DALARNAS LÄN</t>
        </is>
      </c>
      <c r="G206" t="inlineStr">
        <is>
          <t>VANSBRO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46232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46232</v>
      </c>
      <c r="F208" t="inlineStr">
        <is>
          <t>DALARNAS LÄN</t>
        </is>
      </c>
      <c r="G208" t="inlineStr">
        <is>
          <t>VANSBRO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45666</v>
      </c>
      <c r="E209" s="1" t="n">
        <v>46232</v>
      </c>
      <c r="F209" t="inlineStr">
        <is>
          <t>DALARNAS LÄN</t>
        </is>
      </c>
      <c r="G209" t="inlineStr">
        <is>
          <t>VANSBRO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46232</v>
      </c>
      <c r="F210" t="inlineStr">
        <is>
          <t>DALARNAS LÄN</t>
        </is>
      </c>
      <c r="G210" t="inlineStr">
        <is>
          <t>VANSBRO</t>
        </is>
      </c>
      <c r="I210" t="n">
        <v>19.1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46232</v>
      </c>
      <c r="F211" t="inlineStr">
        <is>
          <t>DALARNAS LÄN</t>
        </is>
      </c>
      <c r="G211" t="inlineStr">
        <is>
          <t>VANSBRO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56269-2023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46232</v>
      </c>
      <c r="F212" t="inlineStr">
        <is>
          <t>DALARNAS LÄN</t>
        </is>
      </c>
      <c r="G212" t="inlineStr">
        <is>
          <t>VANSBRO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46232</v>
      </c>
      <c r="F213" t="inlineStr">
        <is>
          <t>DALARNAS LÄN</t>
        </is>
      </c>
      <c r="G213" t="inlineStr">
        <is>
          <t>VANSBRO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45673</v>
      </c>
      <c r="E214" s="1" t="n">
        <v>46232</v>
      </c>
      <c r="F214" t="inlineStr">
        <is>
          <t>DALARNAS LÄN</t>
        </is>
      </c>
      <c r="G214" t="inlineStr">
        <is>
          <t>VANSBRO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46232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46232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46232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25916-2022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44734</v>
      </c>
      <c r="E218" s="1" t="n">
        <v>46232</v>
      </c>
      <c r="F218" t="inlineStr">
        <is>
          <t>DALARNAS LÄN</t>
        </is>
      </c>
      <c r="G218" t="inlineStr">
        <is>
          <t>VANSBRO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46232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46232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45689</v>
      </c>
      <c r="E221" s="1" t="n">
        <v>46232</v>
      </c>
      <c r="F221" t="inlineStr">
        <is>
          <t>DALARNAS LÄN</t>
        </is>
      </c>
      <c r="G221" t="inlineStr">
        <is>
          <t>VANSBRO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46232</v>
      </c>
      <c r="F222" t="inlineStr">
        <is>
          <t>DALARNAS LÄN</t>
        </is>
      </c>
      <c r="G222" t="inlineStr">
        <is>
          <t>VANSBRO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46071</v>
      </c>
      <c r="E223" s="1" t="n">
        <v>46232</v>
      </c>
      <c r="F223" t="inlineStr">
        <is>
          <t>DALARNAS LÄN</t>
        </is>
      </c>
      <c r="G223" t="inlineStr">
        <is>
          <t>VANSBRO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46232</v>
      </c>
      <c r="F224" t="inlineStr">
        <is>
          <t>DALARNAS LÄN</t>
        </is>
      </c>
      <c r="G224" t="inlineStr">
        <is>
          <t>VANSBRO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45516</v>
      </c>
      <c r="E225" s="1" t="n">
        <v>46232</v>
      </c>
      <c r="F225" t="inlineStr">
        <is>
          <t>DALARNAS LÄN</t>
        </is>
      </c>
      <c r="G225" t="inlineStr">
        <is>
          <t>VANSBRO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35365-2022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44798</v>
      </c>
      <c r="E226" s="1" t="n">
        <v>46232</v>
      </c>
      <c r="F226" t="inlineStr">
        <is>
          <t>DALARNAS LÄN</t>
        </is>
      </c>
      <c r="G226" t="inlineStr">
        <is>
          <t>VANSBRO</t>
        </is>
      </c>
      <c r="H226" t="inlineStr">
        <is>
          <t>Kommuner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46232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46232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45214</v>
      </c>
      <c r="E229" s="1" t="n">
        <v>46232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46232</v>
      </c>
      <c r="F230" t="inlineStr">
        <is>
          <t>DALARNAS LÄN</t>
        </is>
      </c>
      <c r="G230" t="inlineStr">
        <is>
          <t>VANSBRO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45979</v>
      </c>
      <c r="E231" s="1" t="n">
        <v>46232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46232</v>
      </c>
      <c r="F232" t="inlineStr">
        <is>
          <t>DALARNAS LÄN</t>
        </is>
      </c>
      <c r="G232" t="inlineStr">
        <is>
          <t>VANSBRO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46232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46232</v>
      </c>
      <c r="F234" t="inlineStr">
        <is>
          <t>DALARNAS LÄN</t>
        </is>
      </c>
      <c r="G234" t="inlineStr">
        <is>
          <t>VANSBRO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46082</v>
      </c>
      <c r="E235" s="1" t="n">
        <v>46232</v>
      </c>
      <c r="F235" t="inlineStr">
        <is>
          <t>DALARNAS LÄN</t>
        </is>
      </c>
      <c r="G235" t="inlineStr">
        <is>
          <t>VANSBRO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46232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45.8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46082</v>
      </c>
      <c r="E237" s="1" t="n">
        <v>46232</v>
      </c>
      <c r="F237" t="inlineStr">
        <is>
          <t>DALARNAS LÄN</t>
        </is>
      </c>
      <c r="G237" t="inlineStr">
        <is>
          <t>VANSBRO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46232</v>
      </c>
      <c r="F238" t="inlineStr">
        <is>
          <t>DALARNAS LÄN</t>
        </is>
      </c>
      <c r="G238" t="inlineStr">
        <is>
          <t>VANSBRO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45533</v>
      </c>
      <c r="E239" s="1" t="n">
        <v>46232</v>
      </c>
      <c r="F239" t="inlineStr">
        <is>
          <t>DALARNAS LÄN</t>
        </is>
      </c>
      <c r="G239" t="inlineStr">
        <is>
          <t>VANSBRO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46232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45987</v>
      </c>
      <c r="E241" s="1" t="n">
        <v>46232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45665</v>
      </c>
      <c r="E242" s="1" t="n">
        <v>46232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46232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46090</v>
      </c>
      <c r="E244" s="1" t="n">
        <v>46232</v>
      </c>
      <c r="F244" t="inlineStr">
        <is>
          <t>DALARNAS LÄN</t>
        </is>
      </c>
      <c r="G244" t="inlineStr">
        <is>
          <t>VANSBRO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46232</v>
      </c>
      <c r="F245" t="inlineStr">
        <is>
          <t>DALARNAS LÄN</t>
        </is>
      </c>
      <c r="G245" t="inlineStr">
        <is>
          <t>VANSBRO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46232</v>
      </c>
      <c r="F246" t="inlineStr">
        <is>
          <t>DALARNAS LÄN</t>
        </is>
      </c>
      <c r="G246" t="inlineStr">
        <is>
          <t>VANSBRO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46232</v>
      </c>
      <c r="F247" t="inlineStr">
        <is>
          <t>DALARNAS LÄN</t>
        </is>
      </c>
      <c r="G247" t="inlineStr">
        <is>
          <t>VANSBRO</t>
        </is>
      </c>
      <c r="H247" t="inlineStr">
        <is>
          <t>Övriga statliga verk och myndigheter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46232</v>
      </c>
      <c r="F248" t="inlineStr">
        <is>
          <t>DALARNAS LÄN</t>
        </is>
      </c>
      <c r="G248" t="inlineStr">
        <is>
          <t>VANSBRO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46002</v>
      </c>
      <c r="E249" s="1" t="n">
        <v>46232</v>
      </c>
      <c r="F249" t="inlineStr">
        <is>
          <t>DALARNAS LÄN</t>
        </is>
      </c>
      <c r="G249" t="inlineStr">
        <is>
          <t>VANSBRO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45772</v>
      </c>
      <c r="E250" s="1" t="n">
        <v>46232</v>
      </c>
      <c r="F250" t="inlineStr">
        <is>
          <t>DALARNAS LÄN</t>
        </is>
      </c>
      <c r="G250" t="inlineStr">
        <is>
          <t>VANSBRO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46232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13495-2026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46232</v>
      </c>
      <c r="F252" t="inlineStr">
        <is>
          <t>DALARNAS LÄN</t>
        </is>
      </c>
      <c r="G252" t="inlineStr">
        <is>
          <t>VANSBRO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46232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46232</v>
      </c>
      <c r="F254" t="inlineStr">
        <is>
          <t>DALARNAS LÄN</t>
        </is>
      </c>
      <c r="G254" t="inlineStr">
        <is>
          <t>VANSBRO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46232</v>
      </c>
      <c r="F255" t="inlineStr">
        <is>
          <t>DALARNAS LÄN</t>
        </is>
      </c>
      <c r="G255" t="inlineStr">
        <is>
          <t>VANSBRO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8694-2023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44972</v>
      </c>
      <c r="E256" s="1" t="n">
        <v>46232</v>
      </c>
      <c r="F256" t="inlineStr">
        <is>
          <t>DALARNAS LÄN</t>
        </is>
      </c>
      <c r="G256" t="inlineStr">
        <is>
          <t>VANSBRO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46232</v>
      </c>
      <c r="F257" t="inlineStr">
        <is>
          <t>DALARNAS LÄN</t>
        </is>
      </c>
      <c r="G257" t="inlineStr">
        <is>
          <t>VANSBRO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46232</v>
      </c>
      <c r="F258" t="inlineStr">
        <is>
          <t>DALARNAS LÄN</t>
        </is>
      </c>
      <c r="G258" t="inlineStr">
        <is>
          <t>VANSBRO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46099</v>
      </c>
      <c r="E259" s="1" t="n">
        <v>46232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50533-2024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46232</v>
      </c>
      <c r="F260" t="inlineStr">
        <is>
          <t>DALARNAS LÄN</t>
        </is>
      </c>
      <c r="G260" t="inlineStr">
        <is>
          <t>VANSBRO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46232</v>
      </c>
      <c r="F261" t="inlineStr">
        <is>
          <t>DALARNAS LÄN</t>
        </is>
      </c>
      <c r="G261" t="inlineStr">
        <is>
          <t>VANSBRO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46232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46232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8447-2022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44612</v>
      </c>
      <c r="E264" s="1" t="n">
        <v>46232</v>
      </c>
      <c r="F264" t="inlineStr">
        <is>
          <t>DALARNAS LÄN</t>
        </is>
      </c>
      <c r="G264" t="inlineStr">
        <is>
          <t>VANSBRO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46232</v>
      </c>
      <c r="F265" t="inlineStr">
        <is>
          <t>DALARNAS LÄN</t>
        </is>
      </c>
      <c r="G265" t="inlineStr">
        <is>
          <t>VANSBRO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15676-2026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46232</v>
      </c>
      <c r="F266" t="inlineStr">
        <is>
          <t>DALARNAS LÄN</t>
        </is>
      </c>
      <c r="G266" t="inlineStr">
        <is>
          <t>VANSBRO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46232</v>
      </c>
      <c r="F267" t="inlineStr">
        <is>
          <t>DALARNAS LÄN</t>
        </is>
      </c>
      <c r="G267" t="inlineStr">
        <is>
          <t>VANSBRO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46232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45322</v>
      </c>
      <c r="E269" s="1" t="n">
        <v>46232</v>
      </c>
      <c r="F269" t="inlineStr">
        <is>
          <t>DALARNAS LÄN</t>
        </is>
      </c>
      <c r="G269" t="inlineStr">
        <is>
          <t>VANSBRO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45596</v>
      </c>
      <c r="E270" s="1" t="n">
        <v>46232</v>
      </c>
      <c r="F270" t="inlineStr">
        <is>
          <t>DALARNAS LÄN</t>
        </is>
      </c>
      <c r="G270" t="inlineStr">
        <is>
          <t>VANSBRO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46232</v>
      </c>
      <c r="F271" t="inlineStr">
        <is>
          <t>DALARNAS LÄN</t>
        </is>
      </c>
      <c r="G271" t="inlineStr">
        <is>
          <t>VANSBRO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45309</v>
      </c>
      <c r="E272" s="1" t="n">
        <v>46232</v>
      </c>
      <c r="F272" t="inlineStr">
        <is>
          <t>DALARNAS LÄN</t>
        </is>
      </c>
      <c r="G272" t="inlineStr">
        <is>
          <t>VANSBRO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16948-2026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46232</v>
      </c>
      <c r="F273" t="inlineStr">
        <is>
          <t>DALARNAS LÄN</t>
        </is>
      </c>
      <c r="G273" t="inlineStr">
        <is>
          <t>VANSBRO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46119</v>
      </c>
      <c r="E274" s="1" t="n">
        <v>46232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46232</v>
      </c>
      <c r="F275" t="inlineStr">
        <is>
          <t>DALARNAS LÄN</t>
        </is>
      </c>
      <c r="G275" t="inlineStr">
        <is>
          <t>VANSBRO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46232</v>
      </c>
      <c r="F276" t="inlineStr">
        <is>
          <t>DALARNAS LÄN</t>
        </is>
      </c>
      <c r="G276" t="inlineStr">
        <is>
          <t>VANSBRO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46120</v>
      </c>
      <c r="E277" s="1" t="n">
        <v>46232</v>
      </c>
      <c r="F277" t="inlineStr">
        <is>
          <t>DALARNAS LÄN</t>
        </is>
      </c>
      <c r="G277" t="inlineStr">
        <is>
          <t>VANSBRO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46232</v>
      </c>
      <c r="F278" t="inlineStr">
        <is>
          <t>DALARNAS LÄN</t>
        </is>
      </c>
      <c r="G278" t="inlineStr">
        <is>
          <t>VANSBRO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46232</v>
      </c>
      <c r="F279" t="inlineStr">
        <is>
          <t>DALARNAS LÄN</t>
        </is>
      </c>
      <c r="G279" t="inlineStr">
        <is>
          <t>VANSBRO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45471</v>
      </c>
      <c r="E280" s="1" t="n">
        <v>46232</v>
      </c>
      <c r="F280" t="inlineStr">
        <is>
          <t>DALARNAS LÄN</t>
        </is>
      </c>
      <c r="G280" t="inlineStr">
        <is>
          <t>VANSBRO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17609-2026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46121</v>
      </c>
      <c r="E281" s="1" t="n">
        <v>46232</v>
      </c>
      <c r="F281" t="inlineStr">
        <is>
          <t>DALARNAS LÄN</t>
        </is>
      </c>
      <c r="G281" t="inlineStr">
        <is>
          <t>VANSBRO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63816-2021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44509</v>
      </c>
      <c r="E282" s="1" t="n">
        <v>46232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46232</v>
      </c>
      <c r="F283" t="inlineStr">
        <is>
          <t>DALARNAS LÄN</t>
        </is>
      </c>
      <c r="G283" t="inlineStr">
        <is>
          <t>VANSBRO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46124</v>
      </c>
      <c r="E284" s="1" t="n">
        <v>46232</v>
      </c>
      <c r="F284" t="inlineStr">
        <is>
          <t>DALARNAS LÄN</t>
        </is>
      </c>
      <c r="G284" t="inlineStr">
        <is>
          <t>VANSBRO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46232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46232</v>
      </c>
      <c r="F286" t="inlineStr">
        <is>
          <t>DALARNAS LÄN</t>
        </is>
      </c>
      <c r="G286" t="inlineStr">
        <is>
          <t>VANSBRO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45712</v>
      </c>
      <c r="E287" s="1" t="n">
        <v>46232</v>
      </c>
      <c r="F287" t="inlineStr">
        <is>
          <t>DALARNAS LÄN</t>
        </is>
      </c>
      <c r="G287" t="inlineStr">
        <is>
          <t>VANSBRO</t>
        </is>
      </c>
      <c r="I287" t="n">
        <v>13.8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46232</v>
      </c>
      <c r="F288" t="inlineStr">
        <is>
          <t>DALARNAS LÄN</t>
        </is>
      </c>
      <c r="G288" t="inlineStr">
        <is>
          <t>VANSBRO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6632-2023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44966</v>
      </c>
      <c r="E289" s="1" t="n">
        <v>46232</v>
      </c>
      <c r="F289" t="inlineStr">
        <is>
          <t>DALARNAS LÄN</t>
        </is>
      </c>
      <c r="G289" t="inlineStr">
        <is>
          <t>VANSBRO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46128</v>
      </c>
      <c r="E290" s="1" t="n">
        <v>46232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46128</v>
      </c>
      <c r="E291" s="1" t="n">
        <v>46232</v>
      </c>
      <c r="F291" t="inlineStr">
        <is>
          <t>DALARNAS LÄN</t>
        </is>
      </c>
      <c r="G291" t="inlineStr">
        <is>
          <t>VANSBRO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46232</v>
      </c>
      <c r="F292" t="inlineStr">
        <is>
          <t>DALARNAS LÄN</t>
        </is>
      </c>
      <c r="G292" t="inlineStr">
        <is>
          <t>VANSBRO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46232</v>
      </c>
      <c r="F293" t="inlineStr">
        <is>
          <t>DALARNAS LÄN</t>
        </is>
      </c>
      <c r="G293" t="inlineStr">
        <is>
          <t>VANSBRO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46127</v>
      </c>
      <c r="E294" s="1" t="n">
        <v>46232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45481</v>
      </c>
      <c r="E295" s="1" t="n">
        <v>46232</v>
      </c>
      <c r="F295" t="inlineStr">
        <is>
          <t>DALARNAS LÄN</t>
        </is>
      </c>
      <c r="G295" t="inlineStr">
        <is>
          <t>VANSBRO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46232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13.1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46232</v>
      </c>
      <c r="F297" t="inlineStr">
        <is>
          <t>DALARNAS LÄN</t>
        </is>
      </c>
      <c r="G297" t="inlineStr">
        <is>
          <t>VANSBRO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45457</v>
      </c>
      <c r="E298" s="1" t="n">
        <v>46232</v>
      </c>
      <c r="F298" t="inlineStr">
        <is>
          <t>DALARNAS LÄN</t>
        </is>
      </c>
      <c r="G298" t="inlineStr">
        <is>
          <t>VANSBRO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19809-2026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46232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13062-2023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45002</v>
      </c>
      <c r="E300" s="1" t="n">
        <v>46232</v>
      </c>
      <c r="F300" t="inlineStr">
        <is>
          <t>DALARNAS LÄN</t>
        </is>
      </c>
      <c r="G300" t="inlineStr">
        <is>
          <t>VANSBRO</t>
        </is>
      </c>
      <c r="H300" t="inlineStr">
        <is>
          <t>Övriga statliga verk och myndigheter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46232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46232</v>
      </c>
      <c r="F302" t="inlineStr">
        <is>
          <t>DALARNAS LÄN</t>
        </is>
      </c>
      <c r="G302" t="inlineStr">
        <is>
          <t>VANSBRO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46232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46232</v>
      </c>
      <c r="F304" t="inlineStr">
        <is>
          <t>DALARNAS LÄN</t>
        </is>
      </c>
      <c r="G304" t="inlineStr">
        <is>
          <t>VANSBRO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45183</v>
      </c>
      <c r="E305" s="1" t="n">
        <v>46232</v>
      </c>
      <c r="F305" t="inlineStr">
        <is>
          <t>DALARNAS LÄN</t>
        </is>
      </c>
      <c r="G305" t="inlineStr">
        <is>
          <t>VANSBRO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46232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46232</v>
      </c>
      <c r="F307" t="inlineStr">
        <is>
          <t>DALARNAS LÄN</t>
        </is>
      </c>
      <c r="G307" t="inlineStr">
        <is>
          <t>VANSBRO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46232</v>
      </c>
      <c r="F308" t="inlineStr">
        <is>
          <t>DALARNAS LÄN</t>
        </is>
      </c>
      <c r="G308" t="inlineStr">
        <is>
          <t>VANSBRO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46232</v>
      </c>
      <c r="F309" t="inlineStr">
        <is>
          <t>DALARNAS LÄN</t>
        </is>
      </c>
      <c r="G309" t="inlineStr">
        <is>
          <t>VANSBRO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62398-2021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44503</v>
      </c>
      <c r="E310" s="1" t="n">
        <v>46232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22.1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46232</v>
      </c>
      <c r="F311" t="inlineStr">
        <is>
          <t>DALARNAS LÄN</t>
        </is>
      </c>
      <c r="G311" t="inlineStr">
        <is>
          <t>VANSBRO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46232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48111-2024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45589</v>
      </c>
      <c r="E313" s="1" t="n">
        <v>46232</v>
      </c>
      <c r="F313" t="inlineStr">
        <is>
          <t>DALARNAS LÄN</t>
        </is>
      </c>
      <c r="G313" t="inlineStr">
        <is>
          <t>VANSBRO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45806</v>
      </c>
      <c r="E314" s="1" t="n">
        <v>46232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44960</v>
      </c>
      <c r="E315" s="1" t="n">
        <v>46232</v>
      </c>
      <c r="F315" t="inlineStr">
        <is>
          <t>DALARNAS LÄN</t>
        </is>
      </c>
      <c r="G315" t="inlineStr">
        <is>
          <t>VANSBRO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46232</v>
      </c>
      <c r="F316" t="inlineStr">
        <is>
          <t>DALARNAS LÄN</t>
        </is>
      </c>
      <c r="G316" t="inlineStr">
        <is>
          <t>VANSBRO</t>
        </is>
      </c>
      <c r="I316" t="n">
        <v>13.9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46232</v>
      </c>
      <c r="F317" t="inlineStr">
        <is>
          <t>DALARNAS LÄN</t>
        </is>
      </c>
      <c r="G317" t="inlineStr">
        <is>
          <t>VANSBRO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46232</v>
      </c>
      <c r="F318" t="inlineStr">
        <is>
          <t>DALARNAS LÄN</t>
        </is>
      </c>
      <c r="G318" t="inlineStr">
        <is>
          <t>VANSBRO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45085</v>
      </c>
      <c r="E319" s="1" t="n">
        <v>46232</v>
      </c>
      <c r="F319" t="inlineStr">
        <is>
          <t>DALARNAS LÄN</t>
        </is>
      </c>
      <c r="G319" t="inlineStr">
        <is>
          <t>VANSBRO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10013-2024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45363</v>
      </c>
      <c r="E320" s="1" t="n">
        <v>46232</v>
      </c>
      <c r="F320" t="inlineStr">
        <is>
          <t>DALARNAS LÄN</t>
        </is>
      </c>
      <c r="G320" t="inlineStr">
        <is>
          <t>VANSBRO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46232</v>
      </c>
      <c r="F321" t="inlineStr">
        <is>
          <t>DALARNAS LÄN</t>
        </is>
      </c>
      <c r="G321" t="inlineStr">
        <is>
          <t>VANSBRO</t>
        </is>
      </c>
      <c r="I321" t="n">
        <v>15.8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46232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46021</v>
      </c>
      <c r="E323" s="1" t="n">
        <v>46232</v>
      </c>
      <c r="F323" t="inlineStr">
        <is>
          <t>DALARNAS LÄN</t>
        </is>
      </c>
      <c r="G323" t="inlineStr">
        <is>
          <t>VANSBRO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46232</v>
      </c>
      <c r="F324" t="inlineStr">
        <is>
          <t>DALARNAS LÄN</t>
        </is>
      </c>
      <c r="G324" t="inlineStr">
        <is>
          <t>VANSBRO</t>
        </is>
      </c>
      <c r="H324" t="inlineStr">
        <is>
          <t>Övriga statliga verk och myndigheter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72635-2021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44546</v>
      </c>
      <c r="E325" s="1" t="n">
        <v>46232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46232</v>
      </c>
      <c r="F326" t="inlineStr">
        <is>
          <t>DALARNAS LÄN</t>
        </is>
      </c>
      <c r="G326" t="inlineStr">
        <is>
          <t>VANSBRO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46232</v>
      </c>
      <c r="F327" t="inlineStr">
        <is>
          <t>DALARNAS LÄN</t>
        </is>
      </c>
      <c r="G327" t="inlineStr">
        <is>
          <t>VANSBRO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46149</v>
      </c>
      <c r="E328" s="1" t="n">
        <v>46232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46191</v>
      </c>
      <c r="E329" s="1" t="n">
        <v>46232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46232</v>
      </c>
      <c r="F330" t="inlineStr">
        <is>
          <t>DALARNAS LÄN</t>
        </is>
      </c>
      <c r="G330" t="inlineStr">
        <is>
          <t>VANSBRO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46232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46232</v>
      </c>
      <c r="F332" t="inlineStr">
        <is>
          <t>DALARNAS LÄN</t>
        </is>
      </c>
      <c r="G332" t="inlineStr">
        <is>
          <t>VANSBRO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46191</v>
      </c>
      <c r="E333" s="1" t="n">
        <v>46232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46232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45644</v>
      </c>
      <c r="E335" s="1" t="n">
        <v>46232</v>
      </c>
      <c r="F335" t="inlineStr">
        <is>
          <t>DALARNAS LÄN</t>
        </is>
      </c>
      <c r="G335" t="inlineStr">
        <is>
          <t>VANSBRO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46232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41290-2023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45174</v>
      </c>
      <c r="E337" s="1" t="n">
        <v>46232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44739</v>
      </c>
      <c r="E338" s="1" t="n">
        <v>46232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45363</v>
      </c>
      <c r="E339" s="1" t="n">
        <v>46232</v>
      </c>
      <c r="F339" t="inlineStr">
        <is>
          <t>DALARNAS LÄN</t>
        </is>
      </c>
      <c r="G339" t="inlineStr">
        <is>
          <t>VANSBRO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51396-2022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44869</v>
      </c>
      <c r="E340" s="1" t="n">
        <v>46232</v>
      </c>
      <c r="F340" t="inlineStr">
        <is>
          <t>DALARNAS LÄN</t>
        </is>
      </c>
      <c r="G340" t="inlineStr">
        <is>
          <t>VANSBRO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45350</v>
      </c>
      <c r="E341" s="1" t="n">
        <v>46232</v>
      </c>
      <c r="F341" t="inlineStr">
        <is>
          <t>DALARNAS LÄN</t>
        </is>
      </c>
      <c r="G341" t="inlineStr">
        <is>
          <t>VANSBRO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46232</v>
      </c>
      <c r="F342" t="inlineStr">
        <is>
          <t>DALARNAS LÄN</t>
        </is>
      </c>
      <c r="G342" t="inlineStr">
        <is>
          <t>VANSBRO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45749</v>
      </c>
      <c r="E343" s="1" t="n">
        <v>46232</v>
      </c>
      <c r="F343" t="inlineStr">
        <is>
          <t>DALARNAS LÄN</t>
        </is>
      </c>
      <c r="G343" t="inlineStr">
        <is>
          <t>VANSBRO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36855-2022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46232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45299</v>
      </c>
      <c r="E345" s="1" t="n">
        <v>46232</v>
      </c>
      <c r="F345" t="inlineStr">
        <is>
          <t>DALARNAS LÄN</t>
        </is>
      </c>
      <c r="G345" t="inlineStr">
        <is>
          <t>VANSBRO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45689</v>
      </c>
      <c r="E346" s="1" t="n">
        <v>46232</v>
      </c>
      <c r="F346" t="inlineStr">
        <is>
          <t>DALARNAS LÄN</t>
        </is>
      </c>
      <c r="G346" t="inlineStr">
        <is>
          <t>VANSBRO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45689</v>
      </c>
      <c r="E347" s="1" t="n">
        <v>46232</v>
      </c>
      <c r="F347" t="inlineStr">
        <is>
          <t>DALARNAS LÄN</t>
        </is>
      </c>
      <c r="G347" t="inlineStr">
        <is>
          <t>VANSBRO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57904-2024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46232</v>
      </c>
      <c r="F348" t="inlineStr">
        <is>
          <t>DALARNAS LÄN</t>
        </is>
      </c>
      <c r="G348" t="inlineStr">
        <is>
          <t>VANSBRO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45244</v>
      </c>
      <c r="E349" s="1" t="n">
        <v>46232</v>
      </c>
      <c r="F349" t="inlineStr">
        <is>
          <t>DALARNAS LÄN</t>
        </is>
      </c>
      <c r="G349" t="inlineStr">
        <is>
          <t>VANSBRO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59736-2022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46232</v>
      </c>
      <c r="F350" t="inlineStr">
        <is>
          <t>DALARNAS LÄN</t>
        </is>
      </c>
      <c r="G350" t="inlineStr">
        <is>
          <t>VANSBRO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46232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22379-2026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46154</v>
      </c>
      <c r="E352" s="1" t="n">
        <v>46232</v>
      </c>
      <c r="F352" t="inlineStr">
        <is>
          <t>DALARNAS LÄN</t>
        </is>
      </c>
      <c r="G352" t="inlineStr">
        <is>
          <t>VANSBRO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52572-2023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45225</v>
      </c>
      <c r="E353" s="1" t="n">
        <v>46232</v>
      </c>
      <c r="F353" t="inlineStr">
        <is>
          <t>DALARNAS LÄN</t>
        </is>
      </c>
      <c r="G353" t="inlineStr">
        <is>
          <t>VANSBRO</t>
        </is>
      </c>
      <c r="H353" t="inlineStr">
        <is>
          <t>Övriga statliga verk och myndigheter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46232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51414-2021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44461</v>
      </c>
      <c r="E355" s="1" t="n">
        <v>46232</v>
      </c>
      <c r="F355" t="inlineStr">
        <is>
          <t>DALARNAS LÄN</t>
        </is>
      </c>
      <c r="G355" t="inlineStr">
        <is>
          <t>VANSBRO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29035-2026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46232</v>
      </c>
      <c r="F356" t="inlineStr">
        <is>
          <t>DALARNAS LÄN</t>
        </is>
      </c>
      <c r="G356" t="inlineStr">
        <is>
          <t>VANSBRO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40290-2023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45169</v>
      </c>
      <c r="E357" s="1" t="n">
        <v>46232</v>
      </c>
      <c r="F357" t="inlineStr">
        <is>
          <t>DALARNAS LÄN</t>
        </is>
      </c>
      <c r="G357" t="inlineStr">
        <is>
          <t>VANSBRO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46232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20931-2022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44701</v>
      </c>
      <c r="E359" s="1" t="n">
        <v>46232</v>
      </c>
      <c r="F359" t="inlineStr">
        <is>
          <t>DALARNAS LÄN</t>
        </is>
      </c>
      <c r="G359" t="inlineStr">
        <is>
          <t>VANSBRO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45296</v>
      </c>
      <c r="E360" s="1" t="n">
        <v>46232</v>
      </c>
      <c r="F360" t="inlineStr">
        <is>
          <t>DALARNAS LÄN</t>
        </is>
      </c>
      <c r="G360" t="inlineStr">
        <is>
          <t>VANSBRO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46203</v>
      </c>
      <c r="E361" s="1" t="n">
        <v>46232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46232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20419-2025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46232</v>
      </c>
      <c r="F363" t="inlineStr">
        <is>
          <t>DALARNAS LÄN</t>
        </is>
      </c>
      <c r="G363" t="inlineStr">
        <is>
          <t>VANSBRO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46232</v>
      </c>
      <c r="F364" t="inlineStr">
        <is>
          <t>DALARNAS LÄN</t>
        </is>
      </c>
      <c r="G364" t="inlineStr">
        <is>
          <t>VANSBRO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46203</v>
      </c>
      <c r="E365" s="1" t="n">
        <v>46232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46232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46232</v>
      </c>
      <c r="F367" t="inlineStr">
        <is>
          <t>DALARNAS LÄN</t>
        </is>
      </c>
      <c r="G367" t="inlineStr">
        <is>
          <t>VANSBRO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5386-2024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45331</v>
      </c>
      <c r="E368" s="1" t="n">
        <v>46232</v>
      </c>
      <c r="F368" t="inlineStr">
        <is>
          <t>DALARNAS LÄN</t>
        </is>
      </c>
      <c r="G368" t="inlineStr">
        <is>
          <t>VANSBRO</t>
        </is>
      </c>
      <c r="I368" t="n">
        <v>11.4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44930</v>
      </c>
      <c r="E369" s="1" t="n">
        <v>46232</v>
      </c>
      <c r="F369" t="inlineStr">
        <is>
          <t>DALARNAS LÄN</t>
        </is>
      </c>
      <c r="G369" t="inlineStr">
        <is>
          <t>VANSBRO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45265</v>
      </c>
      <c r="E370" s="1" t="n">
        <v>46232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46232</v>
      </c>
      <c r="F371" t="inlineStr">
        <is>
          <t>DALARNAS LÄN</t>
        </is>
      </c>
      <c r="G371" t="inlineStr">
        <is>
          <t>VANSBRO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46232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45471</v>
      </c>
      <c r="E373" s="1" t="n">
        <v>46232</v>
      </c>
      <c r="F373" t="inlineStr">
        <is>
          <t>DALARNAS LÄN</t>
        </is>
      </c>
      <c r="G373" t="inlineStr">
        <is>
          <t>VANSBRO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46232</v>
      </c>
      <c r="F374" t="inlineStr">
        <is>
          <t>DALARNAS LÄN</t>
        </is>
      </c>
      <c r="G374" t="inlineStr">
        <is>
          <t>VANSBRO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23752-2026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46164</v>
      </c>
      <c r="E375" s="1" t="n">
        <v>46232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46164</v>
      </c>
      <c r="E376" s="1" t="n">
        <v>46232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11485-2024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45372</v>
      </c>
      <c r="E377" s="1" t="n">
        <v>46232</v>
      </c>
      <c r="F377" t="inlineStr">
        <is>
          <t>DALARNAS LÄN</t>
        </is>
      </c>
      <c r="G377" t="inlineStr">
        <is>
          <t>VANSBRO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43570-2023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45184</v>
      </c>
      <c r="E378" s="1" t="n">
        <v>46232</v>
      </c>
      <c r="F378" t="inlineStr">
        <is>
          <t>DALARNAS LÄN</t>
        </is>
      </c>
      <c r="G378" t="inlineStr">
        <is>
          <t>VANSBRO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24481-2023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45082</v>
      </c>
      <c r="E379" s="1" t="n">
        <v>46232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50741-2022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44867</v>
      </c>
      <c r="E380" s="1" t="n">
        <v>46232</v>
      </c>
      <c r="F380" t="inlineStr">
        <is>
          <t>DALARNAS LÄN</t>
        </is>
      </c>
      <c r="G380" t="inlineStr">
        <is>
          <t>VANSBRO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43589-2022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44837</v>
      </c>
      <c r="E381" s="1" t="n">
        <v>46232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46232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46232</v>
      </c>
      <c r="F383" t="inlineStr">
        <is>
          <t>DALARNAS LÄN</t>
        </is>
      </c>
      <c r="G383" t="inlineStr">
        <is>
          <t>VANSBRO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46232</v>
      </c>
      <c r="F384" t="inlineStr">
        <is>
          <t>DALARNAS LÄN</t>
        </is>
      </c>
      <c r="G384" t="inlineStr">
        <is>
          <t>VANSBRO</t>
        </is>
      </c>
      <c r="H384" t="inlineStr">
        <is>
          <t>Övriga statliga verk och myndigheter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17807-2022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44673</v>
      </c>
      <c r="E385" s="1" t="n">
        <v>46232</v>
      </c>
      <c r="F385" t="inlineStr">
        <is>
          <t>DALARNAS LÄN</t>
        </is>
      </c>
      <c r="G385" t="inlineStr">
        <is>
          <t>VANSBRO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46232</v>
      </c>
      <c r="F386" t="inlineStr">
        <is>
          <t>DALARNAS LÄN</t>
        </is>
      </c>
      <c r="G386" t="inlineStr">
        <is>
          <t>VANSBRO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56129-2023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45240</v>
      </c>
      <c r="E387" s="1" t="n">
        <v>46232</v>
      </c>
      <c r="F387" t="inlineStr">
        <is>
          <t>DALARNAS LÄN</t>
        </is>
      </c>
      <c r="G387" t="inlineStr">
        <is>
          <t>VANSBRO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45519</v>
      </c>
      <c r="E388" s="1" t="n">
        <v>46232</v>
      </c>
      <c r="F388" t="inlineStr">
        <is>
          <t>DALARNAS LÄN</t>
        </is>
      </c>
      <c r="G388" t="inlineStr">
        <is>
          <t>VANSBRO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46232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46212</v>
      </c>
      <c r="E390" s="1" t="n">
        <v>46232</v>
      </c>
      <c r="F390" t="inlineStr">
        <is>
          <t>DALARNAS LÄN</t>
        </is>
      </c>
      <c r="G390" t="inlineStr">
        <is>
          <t>VANSBRO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46232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48005-2022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46232</v>
      </c>
      <c r="F392" t="inlineStr">
        <is>
          <t>DALARNAS LÄN</t>
        </is>
      </c>
      <c r="G392" t="inlineStr">
        <is>
          <t>VANSBRO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25045-2026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46232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46232</v>
      </c>
      <c r="F394" t="inlineStr">
        <is>
          <t>DALARNAS LÄN</t>
        </is>
      </c>
      <c r="G394" t="inlineStr">
        <is>
          <t>VANSBRO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60031-2022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44909</v>
      </c>
      <c r="E395" s="1" t="n">
        <v>46232</v>
      </c>
      <c r="F395" t="inlineStr">
        <is>
          <t>DALARNAS LÄN</t>
        </is>
      </c>
      <c r="G395" t="inlineStr">
        <is>
          <t>VANSBRO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46232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29174-2026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46202</v>
      </c>
      <c r="E397" s="1" t="n">
        <v>46232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5420-2024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45331</v>
      </c>
      <c r="E398" s="1" t="n">
        <v>46232</v>
      </c>
      <c r="F398" t="inlineStr">
        <is>
          <t>DALARNAS LÄN</t>
        </is>
      </c>
      <c r="G398" t="inlineStr">
        <is>
          <t>VANSBRO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46232</v>
      </c>
      <c r="F399" t="inlineStr">
        <is>
          <t>DALARNAS LÄN</t>
        </is>
      </c>
      <c r="G399" t="inlineStr">
        <is>
          <t>VANSBRO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11274-2024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45371</v>
      </c>
      <c r="E400" s="1" t="n">
        <v>46232</v>
      </c>
      <c r="F400" t="inlineStr">
        <is>
          <t>DALARNAS LÄN</t>
        </is>
      </c>
      <c r="G400" t="inlineStr">
        <is>
          <t>VANSBRO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46232</v>
      </c>
      <c r="F401" t="inlineStr">
        <is>
          <t>DALARNAS LÄN</t>
        </is>
      </c>
      <c r="G401" t="inlineStr">
        <is>
          <t>VANSBRO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46232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56986-2023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45244</v>
      </c>
      <c r="E403" s="1" t="n">
        <v>46232</v>
      </c>
      <c r="F403" t="inlineStr">
        <is>
          <t>DALARNAS LÄN</t>
        </is>
      </c>
      <c r="G403" t="inlineStr">
        <is>
          <t>VANSBRO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46232</v>
      </c>
      <c r="F404" t="inlineStr">
        <is>
          <t>DALARNAS LÄN</t>
        </is>
      </c>
      <c r="G404" t="inlineStr">
        <is>
          <t>VANSBRO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46232</v>
      </c>
      <c r="F405" t="inlineStr">
        <is>
          <t>DALARNAS LÄN</t>
        </is>
      </c>
      <c r="G405" t="inlineStr">
        <is>
          <t>VANSBRO</t>
        </is>
      </c>
      <c r="H405" t="inlineStr">
        <is>
          <t>Kommuner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44960</v>
      </c>
      <c r="E406" s="1" t="n">
        <v>46232</v>
      </c>
      <c r="F406" t="inlineStr">
        <is>
          <t>DALARNAS LÄN</t>
        </is>
      </c>
      <c r="G406" t="inlineStr">
        <is>
          <t>VANSBRO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46232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57947-2023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45247</v>
      </c>
      <c r="E408" s="1" t="n">
        <v>46232</v>
      </c>
      <c r="F408" t="inlineStr">
        <is>
          <t>DALARNAS LÄN</t>
        </is>
      </c>
      <c r="G408" t="inlineStr">
        <is>
          <t>VANSBRO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46232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44931</v>
      </c>
      <c r="E410" s="1" t="n">
        <v>46232</v>
      </c>
      <c r="F410" t="inlineStr">
        <is>
          <t>DALARNAS LÄN</t>
        </is>
      </c>
      <c r="G410" t="inlineStr">
        <is>
          <t>VANSBRO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46232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26669-2026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46184</v>
      </c>
      <c r="E412" s="1" t="n">
        <v>46232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46232</v>
      </c>
      <c r="F413" t="inlineStr">
        <is>
          <t>DALARNAS LÄN</t>
        </is>
      </c>
      <c r="G413" t="inlineStr">
        <is>
          <t>VANSBRO</t>
        </is>
      </c>
      <c r="H413" t="inlineStr">
        <is>
          <t>Övriga statliga verk och myndigheter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47790-2024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45588</v>
      </c>
      <c r="E414" s="1" t="n">
        <v>46232</v>
      </c>
      <c r="F414" t="inlineStr">
        <is>
          <t>DALARNAS LÄN</t>
        </is>
      </c>
      <c r="G414" t="inlineStr">
        <is>
          <t>VANSBRO</t>
        </is>
      </c>
      <c r="H414" t="inlineStr">
        <is>
          <t>Övriga statliga verk och myndigheter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31867-2026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46231</v>
      </c>
      <c r="E415" s="1" t="n">
        <v>46232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20.2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46232</v>
      </c>
      <c r="F416" t="inlineStr">
        <is>
          <t>DALARNAS LÄN</t>
        </is>
      </c>
      <c r="G416" t="inlineStr">
        <is>
          <t>VANSBRO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45169</v>
      </c>
      <c r="E417" s="1" t="n">
        <v>46232</v>
      </c>
      <c r="F417" t="inlineStr">
        <is>
          <t>DALARNAS LÄN</t>
        </is>
      </c>
      <c r="G417" t="inlineStr">
        <is>
          <t>VANSBRO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46232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46232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45491</v>
      </c>
      <c r="E420" s="1" t="n">
        <v>46232</v>
      </c>
      <c r="F420" t="inlineStr">
        <is>
          <t>DALARNAS LÄN</t>
        </is>
      </c>
      <c r="G420" t="inlineStr">
        <is>
          <t>VANSBRO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27334-2026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46232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46232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2147-2025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45672</v>
      </c>
      <c r="E423" s="1" t="n">
        <v>46232</v>
      </c>
      <c r="F423" t="inlineStr">
        <is>
          <t>DALARNAS LÄN</t>
        </is>
      </c>
      <c r="G423" t="inlineStr">
        <is>
          <t>VANSBRO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45762</v>
      </c>
      <c r="E424" s="1" t="n">
        <v>46232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10886-2025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45722</v>
      </c>
      <c r="E425" s="1" t="n">
        <v>46232</v>
      </c>
      <c r="F425" t="inlineStr">
        <is>
          <t>DALARNAS LÄN</t>
        </is>
      </c>
      <c r="G425" t="inlineStr">
        <is>
          <t>VANSBRO</t>
        </is>
      </c>
      <c r="I425" t="n">
        <v>15.5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6643-2025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45700</v>
      </c>
      <c r="E426" s="1" t="n">
        <v>46232</v>
      </c>
      <c r="F426" t="inlineStr">
        <is>
          <t>DALARNAS LÄN</t>
        </is>
      </c>
      <c r="G426" t="inlineStr">
        <is>
          <t>VANSBRO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46232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46232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61515-2022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44916</v>
      </c>
      <c r="E429" s="1" t="n">
        <v>46232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46232</v>
      </c>
      <c r="F430" t="inlineStr">
        <is>
          <t>DALARNAS LÄN</t>
        </is>
      </c>
      <c r="G430" t="inlineStr">
        <is>
          <t>VANSBRO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46232</v>
      </c>
      <c r="F431" t="inlineStr">
        <is>
          <t>DALARNAS LÄN</t>
        </is>
      </c>
      <c r="G431" t="inlineStr">
        <is>
          <t>VANSBRO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46232</v>
      </c>
      <c r="F432" t="inlineStr">
        <is>
          <t>DALARNAS LÄN</t>
        </is>
      </c>
      <c r="G432" t="inlineStr">
        <is>
          <t>VANSBRO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46232</v>
      </c>
      <c r="F433" t="inlineStr">
        <is>
          <t>DALARNAS LÄN</t>
        </is>
      </c>
      <c r="G433" t="inlineStr">
        <is>
          <t>VANSBRO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46232</v>
      </c>
      <c r="F434" t="inlineStr">
        <is>
          <t>DALARNAS LÄN</t>
        </is>
      </c>
      <c r="G434" t="inlineStr">
        <is>
          <t>VANSBRO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42207-2021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44426</v>
      </c>
      <c r="E435" s="1" t="n">
        <v>46232</v>
      </c>
      <c r="F435" t="inlineStr">
        <is>
          <t>DALARNAS LÄN</t>
        </is>
      </c>
      <c r="G435" t="inlineStr">
        <is>
          <t>VANSBRO</t>
        </is>
      </c>
      <c r="I435" t="n">
        <v>25.5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45483</v>
      </c>
      <c r="E436" s="1" t="n">
        <v>46232</v>
      </c>
      <c r="F436" t="inlineStr">
        <is>
          <t>DALARNAS LÄN</t>
        </is>
      </c>
      <c r="G436" t="inlineStr">
        <is>
          <t>VANSBRO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45492</v>
      </c>
      <c r="E437" s="1" t="n">
        <v>46232</v>
      </c>
      <c r="F437" t="inlineStr">
        <is>
          <t>DALARNAS LÄN</t>
        </is>
      </c>
      <c r="G437" t="inlineStr">
        <is>
          <t>VANSBRO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44719</v>
      </c>
      <c r="E438" s="1" t="n">
        <v>46232</v>
      </c>
      <c r="F438" t="inlineStr">
        <is>
          <t>DALARNAS LÄN</t>
        </is>
      </c>
      <c r="G438" t="inlineStr">
        <is>
          <t>VANSBRO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23792-2025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45793</v>
      </c>
      <c r="E439" s="1" t="n">
        <v>46232</v>
      </c>
      <c r="F439" t="inlineStr">
        <is>
          <t>DALARNAS LÄN</t>
        </is>
      </c>
      <c r="G439" t="inlineStr">
        <is>
          <t>VANSBRO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45688</v>
      </c>
      <c r="E440" s="1" t="n">
        <v>46232</v>
      </c>
      <c r="F440" t="inlineStr">
        <is>
          <t>DALARNAS LÄN</t>
        </is>
      </c>
      <c r="G440" t="inlineStr">
        <is>
          <t>VANSBRO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29411-2024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45483</v>
      </c>
      <c r="E441" s="1" t="n">
        <v>46232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46232</v>
      </c>
      <c r="F442" t="inlineStr">
        <is>
          <t>DALARNAS LÄN</t>
        </is>
      </c>
      <c r="G442" t="inlineStr">
        <is>
          <t>VANSBRO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45798</v>
      </c>
      <c r="E443" s="1" t="n">
        <v>46232</v>
      </c>
      <c r="F443" t="inlineStr">
        <is>
          <t>DALARNAS LÄN</t>
        </is>
      </c>
      <c r="G443" t="inlineStr">
        <is>
          <t>VANSBRO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46232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46232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46232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46232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46232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46232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2026-07-29T01:54:13Z</dcterms:created>
  <dcterms:modified xmlns:dcterms="http://purl.org/dc/terms/" xmlns:xsi="http://www.w3.org/2001/XMLSchema-instance" xsi:type="dcterms:W3CDTF">2026-07-29T01:54:14Z</dcterms:modified>
</cp:coreProperties>
</file>