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38194-2026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46288</v>
      </c>
      <c r="F2" t="inlineStr">
        <is>
          <t>DALARNAS LÄN</t>
        </is>
      </c>
      <c r="G2" t="inlineStr">
        <is>
          <t>VANSBRO</t>
        </is>
      </c>
      <c r="H2" t="inlineStr">
        <is>
          <t>Bergvik skog väst AB</t>
        </is>
      </c>
      <c r="I2" t="n">
        <v>11.4</v>
      </c>
      <c r="J2" t="n">
        <v>3</v>
      </c>
      <c r="K2" t="n">
        <v>2</v>
      </c>
      <c r="L2" t="n">
        <v>14</v>
      </c>
      <c r="M2" t="n">
        <v>3</v>
      </c>
      <c r="N2" t="n">
        <v>0</v>
      </c>
      <c r="O2" t="n">
        <v>0</v>
      </c>
      <c r="P2" t="n">
        <v>0</v>
      </c>
      <c r="Q2" t="n">
        <v>17</v>
      </c>
      <c r="R2" t="n">
        <v>3</v>
      </c>
      <c r="S2" t="n">
        <v>20</v>
      </c>
      <c r="T2" t="n">
        <v>74</v>
      </c>
      <c r="U2" t="n">
        <v>74</v>
      </c>
      <c r="V2" s="2" t="inlineStr">
        <is>
          <t>Garnlav
Skrovlig taggsvamp
Torrmusseron
Blå taggsvamp
Dropptaggsvamp
Kolflarnlav
Lunglav
Motaggsvamp
Mörk kolflarnlav
Skarp dropptaggsvamp
Tallticka
Talltita
Tretåig hackspett
Ullticka
Vedskivlav
Vedtrappmossa
Violettgrå tagellav
Mindre märgborre
Vedticka
Spillkråka</t>
        </is>
      </c>
      <c r="W2">
        <f>HYPERLINK("https://klasma.github.io/Logging_2021/artfynd/A 38194-2026 artfynd.xlsx", "A 38194-2026")</f>
        <v/>
      </c>
      <c r="X2">
        <f>HYPERLINK("https://klasma.github.io/Logging_2021/kartor/A 38194-2026 karta.png", "A 38194-2026")</f>
        <v/>
      </c>
      <c r="Y2">
        <f>HYPERLINK("https://klasma.github.io/Logging_2021/kartor_geotiff/A 38194-2026 georefererad karta.tif", "A 38194-2026")</f>
        <v/>
      </c>
      <c r="AA2">
        <f>HYPERLINK("https://klasma.github.io/Logging_2021/klagomål/A 38194-2026 FSC-klagomål.docx", "A 38194-2026")</f>
        <v/>
      </c>
      <c r="AB2">
        <f>HYPERLINK("https://klasma.github.io/Logging_2021/klagomålsmail/A 38194-2026 FSC-klagomål mail.docx", "A 38194-2026")</f>
        <v/>
      </c>
      <c r="AC2">
        <f>HYPERLINK("https://klasma.github.io/Logging_2021/tillsyn/A 38194-2026 tillsynsbegäran.docx", "A 38194-2026")</f>
        <v/>
      </c>
      <c r="AD2">
        <f>HYPERLINK("https://klasma.github.io/Logging_2021/tillsynsmail/A 38194-2026 tillsynsbegäran mail.docx", "A 38194-2026")</f>
        <v/>
      </c>
      <c r="AE2">
        <f>HYPERLINK("https://klasma.github.io/Logging_2021/fåglar/A 38194-2026 prioriterade fågelarter.docx", "A 38194-2026")</f>
        <v/>
      </c>
    </row>
    <row r="3" ht="15" customHeight="1">
      <c r="A3" t="inlineStr">
        <is>
          <t>A 30543-2024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45492</v>
      </c>
      <c r="E3" s="1" t="n">
        <v>46288</v>
      </c>
      <c r="F3" t="inlineStr">
        <is>
          <t>DALARNAS LÄN</t>
        </is>
      </c>
      <c r="G3" t="inlineStr">
        <is>
          <t>VANSBRO</t>
        </is>
      </c>
      <c r="I3" t="n">
        <v>23</v>
      </c>
      <c r="J3" t="n">
        <v>4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18</v>
      </c>
      <c r="T3" t="n">
        <v>58</v>
      </c>
      <c r="U3" t="n">
        <v>58</v>
      </c>
      <c r="V3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3">
        <f>HYPERLINK("https://klasma.github.io/Logging_2021/artfynd/A 30543-2024 artfynd.xlsx", "A 30543-2024")</f>
        <v/>
      </c>
      <c r="X3">
        <f>HYPERLINK("https://klasma.github.io/Logging_2021/kartor/A 30543-2024 karta.png", "A 30543-2024")</f>
        <v/>
      </c>
      <c r="Y3">
        <f>HYPERLINK("https://klasma.github.io/Logging_2021/kartor_geotiff/A 30543-2024 georefererad karta.tif", "A 30543-2024")</f>
        <v/>
      </c>
      <c r="Z3">
        <f>HYPERLINK("https://klasma.github.io/Logging_2021/knärot/A 30543-2024 karta knärot.png", "A 30543-2024")</f>
        <v/>
      </c>
      <c r="AA3">
        <f>HYPERLINK("https://klasma.github.io/Logging_2021/klagomål/A 30543-2024 FSC-klagomål.docx", "A 30543-2024")</f>
        <v/>
      </c>
      <c r="AB3">
        <f>HYPERLINK("https://klasma.github.io/Logging_2021/klagomålsmail/A 30543-2024 FSC-klagomål mail.docx", "A 30543-2024")</f>
        <v/>
      </c>
      <c r="AC3">
        <f>HYPERLINK("https://klasma.github.io/Logging_2021/tillsyn/A 30543-2024 tillsynsbegäran.docx", "A 30543-2024")</f>
        <v/>
      </c>
      <c r="AD3">
        <f>HYPERLINK("https://klasma.github.io/Logging_2021/tillsynsmail/A 30543-2024 tillsynsbegäran mail.docx", "A 30543-2024")</f>
        <v/>
      </c>
      <c r="AE3">
        <f>HYPERLINK("https://klasma.github.io/Logging_2021/fåglar/A 30543-2024 prioriterade fågelarter.docx", "A 30543-2024")</f>
        <v/>
      </c>
    </row>
    <row r="4" ht="15" customHeight="1">
      <c r="A4" t="inlineStr">
        <is>
          <t>A 40224-2022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44820</v>
      </c>
      <c r="E4" s="1" t="n">
        <v>46288</v>
      </c>
      <c r="F4" t="inlineStr">
        <is>
          <t>DALARNAS LÄN</t>
        </is>
      </c>
      <c r="G4" t="inlineStr">
        <is>
          <t>VANSBRO</t>
        </is>
      </c>
      <c r="I4" t="n">
        <v>8.300000000000001</v>
      </c>
      <c r="J4" t="n">
        <v>2</v>
      </c>
      <c r="K4" t="n">
        <v>3</v>
      </c>
      <c r="L4" t="n">
        <v>12</v>
      </c>
      <c r="M4" t="n">
        <v>2</v>
      </c>
      <c r="N4" t="n">
        <v>0</v>
      </c>
      <c r="O4" t="n">
        <v>0</v>
      </c>
      <c r="P4" t="n">
        <v>0</v>
      </c>
      <c r="Q4" t="n">
        <v>14</v>
      </c>
      <c r="R4" t="n">
        <v>2</v>
      </c>
      <c r="S4" t="n">
        <v>17</v>
      </c>
      <c r="T4" t="n">
        <v>47</v>
      </c>
      <c r="U4" t="n">
        <v>2</v>
      </c>
      <c r="V4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4">
        <f>HYPERLINK("https://klasma.github.io/Logging_2021/artfynd/A 40224-2022 artfynd.xlsx", "A 40224-2022")</f>
        <v/>
      </c>
      <c r="X4">
        <f>HYPERLINK("https://klasma.github.io/Logging_2021/kartor/A 40224-2022 karta.png", "A 40224-2022")</f>
        <v/>
      </c>
      <c r="Y4">
        <f>HYPERLINK("https://klasma.github.io/Logging_2021/kartor_geotiff/A 40224-2022 georefererad karta.tif", "A 40224-2022")</f>
        <v/>
      </c>
      <c r="Z4">
        <f>HYPERLINK("https://klasma.github.io/Logging_2021/knärot/A 40224-2022 karta knärot.png", "A 40224-2022")</f>
        <v/>
      </c>
      <c r="AA4">
        <f>HYPERLINK("https://klasma.github.io/Logging_2021/klagomål/A 40224-2022 FSC-klagomål.docx", "A 40224-2022")</f>
        <v/>
      </c>
      <c r="AB4">
        <f>HYPERLINK("https://klasma.github.io/Logging_2021/klagomålsmail/A 40224-2022 FSC-klagomål mail.docx", "A 40224-2022")</f>
        <v/>
      </c>
      <c r="AC4">
        <f>HYPERLINK("https://klasma.github.io/Logging_2021/tillsyn/A 40224-2022 tillsynsbegäran.docx", "A 40224-2022")</f>
        <v/>
      </c>
      <c r="AD4">
        <f>HYPERLINK("https://klasma.github.io/Logging_2021/tillsynsmail/A 40224-2022 tillsynsbegäran mail.docx", "A 40224-2022")</f>
        <v/>
      </c>
      <c r="AE4">
        <f>HYPERLINK("https://klasma.github.io/Logging_2021/fåglar/A 40224-2022 prioriterade fågelarter.docx", "A 40224-2022")</f>
        <v/>
      </c>
    </row>
    <row r="5" ht="15" customHeight="1">
      <c r="A5" t="inlineStr">
        <is>
          <t>A 49329-2025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45938</v>
      </c>
      <c r="E5" s="1" t="n">
        <v>46288</v>
      </c>
      <c r="F5" t="inlineStr">
        <is>
          <t>DALARNAS LÄN</t>
        </is>
      </c>
      <c r="G5" t="inlineStr">
        <is>
          <t>VANSBRO</t>
        </is>
      </c>
      <c r="I5" t="n">
        <v>1.2</v>
      </c>
      <c r="J5" t="n">
        <v>0</v>
      </c>
      <c r="K5" t="n">
        <v>12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15</v>
      </c>
      <c r="T5" t="n">
        <v>22</v>
      </c>
      <c r="U5" t="n">
        <v>1</v>
      </c>
      <c r="V5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5">
        <f>HYPERLINK("https://klasma.github.io/Logging_2021/artfynd/A 49329-2025 artfynd.xlsx", "A 49329-2025")</f>
        <v/>
      </c>
      <c r="X5">
        <f>HYPERLINK("https://klasma.github.io/Logging_2021/kartor/A 49329-2025 karta.png", "A 49329-2025")</f>
        <v/>
      </c>
      <c r="Y5">
        <f>HYPERLINK("https://klasma.github.io/Logging_2021/kartor_geotiff/A 49329-2025 georefererad karta.tif", "A 49329-2025")</f>
        <v/>
      </c>
      <c r="AA5">
        <f>HYPERLINK("https://klasma.github.io/Logging_2021/klagomål/A 49329-2025 FSC-klagomål.docx", "A 49329-2025")</f>
        <v/>
      </c>
      <c r="AB5">
        <f>HYPERLINK("https://klasma.github.io/Logging_2021/klagomålsmail/A 49329-2025 FSC-klagomål mail.docx", "A 49329-2025")</f>
        <v/>
      </c>
      <c r="AC5">
        <f>HYPERLINK("https://klasma.github.io/Logging_2021/tillsyn/A 49329-2025 tillsynsbegäran.docx", "A 49329-2025")</f>
        <v/>
      </c>
      <c r="AD5">
        <f>HYPERLINK("https://klasma.github.io/Logging_2021/tillsynsmail/A 49329-2025 tillsynsbegäran mail.docx", "A 49329-2025")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46288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4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14</v>
      </c>
      <c r="T6" t="n">
        <v>64</v>
      </c>
      <c r="U6" t="n">
        <v>19</v>
      </c>
      <c r="V6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46288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46288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46288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46288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46288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46288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60229-2025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46288</v>
      </c>
      <c r="F13" t="inlineStr">
        <is>
          <t>DALARNAS LÄN</t>
        </is>
      </c>
      <c r="G13" t="inlineStr">
        <is>
          <t>VANSBRO</t>
        </is>
      </c>
      <c r="I13" t="n">
        <v>4.9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73</v>
      </c>
      <c r="U13" t="n">
        <v>73</v>
      </c>
      <c r="V13" s="2" t="inlineStr">
        <is>
          <t>Garnlav
Knärot
Kolflarnlav
Mörk kolflarnlav
Tallticka
Tretåig hackspett
Ullticka
Grönpyrola
Spillkråka</t>
        </is>
      </c>
      <c r="W13">
        <f>HYPERLINK("https://klasma.github.io/Logging_2021/artfynd/A 60229-2025 artfynd.xlsx", "A 60229-2025")</f>
        <v/>
      </c>
      <c r="X13">
        <f>HYPERLINK("https://klasma.github.io/Logging_2021/kartor/A 60229-2025 karta.png", "A 60229-2025")</f>
        <v/>
      </c>
      <c r="Y13">
        <f>HYPERLINK("https://klasma.github.io/Logging_2021/kartor_geotiff/A 60229-2025 georefererad karta.tif", "A 60229-2025")</f>
        <v/>
      </c>
      <c r="Z13">
        <f>HYPERLINK("https://klasma.github.io/Logging_2021/knärot/A 60229-2025 karta knärot.png", "A 60229-2025")</f>
        <v/>
      </c>
      <c r="AA13">
        <f>HYPERLINK("https://klasma.github.io/Logging_2021/klagomål/A 60229-2025 FSC-klagomål.docx", "A 60229-2025")</f>
        <v/>
      </c>
      <c r="AB13">
        <f>HYPERLINK("https://klasma.github.io/Logging_2021/klagomålsmail/A 60229-2025 FSC-klagomål mail.docx", "A 60229-2025")</f>
        <v/>
      </c>
      <c r="AC13">
        <f>HYPERLINK("https://klasma.github.io/Logging_2021/tillsyn/A 60229-2025 tillsynsbegäran.docx", "A 60229-2025")</f>
        <v/>
      </c>
      <c r="AD13">
        <f>HYPERLINK("https://klasma.github.io/Logging_2021/tillsynsmail/A 60229-2025 tillsynsbegäran mail.docx", "A 60229-2025")</f>
        <v/>
      </c>
      <c r="AE13">
        <f>HYPERLINK("https://klasma.github.io/Logging_2021/fåglar/A 60229-2025 prioriterade fågelarter.docx", "A 60229-2025")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46288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46288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34759-2026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46288</v>
      </c>
      <c r="F16" t="inlineStr">
        <is>
          <t>DALARNAS LÄN</t>
        </is>
      </c>
      <c r="G16" t="inlineStr">
        <is>
          <t>VANSBRO</t>
        </is>
      </c>
      <c r="I16" t="n">
        <v>7.6</v>
      </c>
      <c r="J16" t="n">
        <v>3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7</v>
      </c>
      <c r="T16" t="n">
        <v>26</v>
      </c>
      <c r="U16" t="n">
        <v>26</v>
      </c>
      <c r="V16" s="2" t="inlineStr">
        <is>
          <t>Garnlav
Knärot
Orange taggsvamp
Tallticka
Tretåig hackspett
Ullticka
Tjäder</t>
        </is>
      </c>
      <c r="W16">
        <f>HYPERLINK("https://klasma.github.io/Logging_2021/artfynd/A 34759-2026 artfynd.xlsx", "A 34759-2026")</f>
        <v/>
      </c>
      <c r="X16">
        <f>HYPERLINK("https://klasma.github.io/Logging_2021/kartor/A 34759-2026 karta.png", "A 34759-2026")</f>
        <v/>
      </c>
      <c r="Y16">
        <f>HYPERLINK("https://klasma.github.io/Logging_2021/kartor_geotiff/A 34759-2026 georefererad karta.tif", "A 34759-2026")</f>
        <v/>
      </c>
      <c r="Z16">
        <f>HYPERLINK("https://klasma.github.io/Logging_2021/knärot/A 34759-2026 karta knärot.png", "A 34759-2026")</f>
        <v/>
      </c>
      <c r="AA16">
        <f>HYPERLINK("https://klasma.github.io/Logging_2021/klagomål/A 34759-2026 FSC-klagomål.docx", "A 34759-2026")</f>
        <v/>
      </c>
      <c r="AB16">
        <f>HYPERLINK("https://klasma.github.io/Logging_2021/klagomålsmail/A 34759-2026 FSC-klagomål mail.docx", "A 34759-2026")</f>
        <v/>
      </c>
      <c r="AC16">
        <f>HYPERLINK("https://klasma.github.io/Logging_2021/tillsyn/A 34759-2026 tillsynsbegäran.docx", "A 34759-2026")</f>
        <v/>
      </c>
      <c r="AD16">
        <f>HYPERLINK("https://klasma.github.io/Logging_2021/tillsynsmail/A 34759-2026 tillsynsbegäran mail.docx", "A 34759-2026")</f>
        <v/>
      </c>
      <c r="AE16">
        <f>HYPERLINK("https://klasma.github.io/Logging_2021/fåglar/A 34759-2026 prioriterade fågelarter.docx", "A 34759-2026")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46288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46288</v>
      </c>
      <c r="F18" t="inlineStr">
        <is>
          <t>DALARNAS LÄN</t>
        </is>
      </c>
      <c r="G18" t="inlineStr">
        <is>
          <t>VANSBRO</t>
        </is>
      </c>
      <c r="I18" t="n">
        <v>13.9</v>
      </c>
      <c r="J18" t="n">
        <v>1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27</v>
      </c>
      <c r="U18" t="n">
        <v>0</v>
      </c>
      <c r="V18" s="2" t="inlineStr">
        <is>
          <t>Garnlav
Kolflarnlav
Mörk kolflarnlav
Rynkskinn
Mindre märgborre
Tjäder</t>
        </is>
      </c>
      <c r="W18">
        <f>HYPERLINK("https://klasma.github.io/Logging_2021/artfynd/A 6671-2026 artfynd.xlsx", "A 6671-2026")</f>
        <v/>
      </c>
      <c r="X18">
        <f>HYPERLINK("https://klasma.github.io/Logging_2021/kartor/A 6671-2026 karta.png", "A 6671-2026")</f>
        <v/>
      </c>
      <c r="Y18">
        <f>HYPERLINK("https://klasma.github.io/Logging_2021/kartor_geotiff/A 6671-2026 georefererad karta.tif", "A 6671-2026")</f>
        <v/>
      </c>
      <c r="AA18">
        <f>HYPERLINK("https://klasma.github.io/Logging_2021/klagomål/A 6671-2026 FSC-klagomål.docx", "A 6671-2026")</f>
        <v/>
      </c>
      <c r="AB18">
        <f>HYPERLINK("https://klasma.github.io/Logging_2021/klagomålsmail/A 6671-2026 FSC-klagomål mail.docx", "A 6671-2026")</f>
        <v/>
      </c>
      <c r="AC18">
        <f>HYPERLINK("https://klasma.github.io/Logging_2021/tillsyn/A 6671-2026 tillsynsbegäran.docx", "A 6671-2026")</f>
        <v/>
      </c>
      <c r="AD18">
        <f>HYPERLINK("https://klasma.github.io/Logging_2021/tillsynsmail/A 6671-2026 tillsynsbegäran mail.docx", "A 6671-2026")</f>
        <v/>
      </c>
      <c r="AE18">
        <f>HYPERLINK("https://klasma.github.io/Logging_2021/fåglar/A 6671-2026 prioriterade fågelarter.docx", "A 6671-2026")</f>
        <v/>
      </c>
    </row>
    <row r="19" ht="15" customHeight="1">
      <c r="A19" t="inlineStr">
        <is>
          <t>A 28480-2026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46197</v>
      </c>
      <c r="E19" s="1" t="n">
        <v>46288</v>
      </c>
      <c r="F19" t="inlineStr">
        <is>
          <t>DALARNAS LÄN</t>
        </is>
      </c>
      <c r="G19" t="inlineStr">
        <is>
          <t>VANSBRO</t>
        </is>
      </c>
      <c r="H19" t="inlineStr">
        <is>
          <t>Bergvik skog öst AB</t>
        </is>
      </c>
      <c r="I19" t="n">
        <v>1.1</v>
      </c>
      <c r="J19" t="n">
        <v>2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39</v>
      </c>
      <c r="U19" t="n">
        <v>39</v>
      </c>
      <c r="V19" s="2" t="inlineStr">
        <is>
          <t>Garnlav
Dropptaggsvamp
Kolflarnlav
Tallticka
Tretåig hackspett
Tjäder</t>
        </is>
      </c>
      <c r="W19">
        <f>HYPERLINK("https://klasma.github.io/Logging_2021/artfynd/A 28480-2026 artfynd.xlsx", "A 28480-2026")</f>
        <v/>
      </c>
      <c r="X19">
        <f>HYPERLINK("https://klasma.github.io/Logging_2021/kartor/A 28480-2026 karta.png", "A 28480-2026")</f>
        <v/>
      </c>
      <c r="Y19">
        <f>HYPERLINK("https://klasma.github.io/Logging_2021/kartor_geotiff/A 28480-2026 georefererad karta.tif", "A 28480-2026")</f>
        <v/>
      </c>
      <c r="AA19">
        <f>HYPERLINK("https://klasma.github.io/Logging_2021/klagomål/A 28480-2026 FSC-klagomål.docx", "A 28480-2026")</f>
        <v/>
      </c>
      <c r="AB19">
        <f>HYPERLINK("https://klasma.github.io/Logging_2021/klagomålsmail/A 28480-2026 FSC-klagomål mail.docx", "A 28480-2026")</f>
        <v/>
      </c>
      <c r="AC19">
        <f>HYPERLINK("https://klasma.github.io/Logging_2021/tillsyn/A 28480-2026 tillsynsbegäran.docx", "A 28480-2026")</f>
        <v/>
      </c>
      <c r="AD19">
        <f>HYPERLINK("https://klasma.github.io/Logging_2021/tillsynsmail/A 28480-2026 tillsynsbegäran mail.docx", "A 28480-2026")</f>
        <v/>
      </c>
      <c r="AE19">
        <f>HYPERLINK("https://klasma.github.io/Logging_2021/fåglar/A 28480-2026 prioriterade fågelarter.docx", "A 28480-2026")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46288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33005-2025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46288</v>
      </c>
      <c r="F21" t="inlineStr">
        <is>
          <t>DALARNAS LÄN</t>
        </is>
      </c>
      <c r="G21" t="inlineStr">
        <is>
          <t>VANSBRO</t>
        </is>
      </c>
      <c r="I21" t="n">
        <v>5.5</v>
      </c>
      <c r="J21" t="n">
        <v>2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17</v>
      </c>
      <c r="U21" t="n">
        <v>17</v>
      </c>
      <c r="V21" s="2" t="inlineStr">
        <is>
          <t>Knärot
Kolflarnlav
Mörk kolflarnlav
Tretåig hackspett
Mindre märgborre</t>
        </is>
      </c>
      <c r="W21">
        <f>HYPERLINK("https://klasma.github.io/Logging_2021/artfynd/A 33005-2025 artfynd.xlsx", "A 33005-2025")</f>
        <v/>
      </c>
      <c r="X21">
        <f>HYPERLINK("https://klasma.github.io/Logging_2021/kartor/A 33005-2025 karta.png", "A 33005-2025")</f>
        <v/>
      </c>
      <c r="Y21">
        <f>HYPERLINK("https://klasma.github.io/Logging_2021/kartor_geotiff/A 33005-2025 georefererad karta.tif", "A 33005-2025")</f>
        <v/>
      </c>
      <c r="Z21">
        <f>HYPERLINK("https://klasma.github.io/Logging_2021/knärot/A 33005-2025 karta knärot.png", "A 33005-2025")</f>
        <v/>
      </c>
      <c r="AA21">
        <f>HYPERLINK("https://klasma.github.io/Logging_2021/klagomål/A 33005-2025 FSC-klagomål.docx", "A 33005-2025")</f>
        <v/>
      </c>
      <c r="AB21">
        <f>HYPERLINK("https://klasma.github.io/Logging_2021/klagomålsmail/A 33005-2025 FSC-klagomål mail.docx", "A 33005-2025")</f>
        <v/>
      </c>
      <c r="AC21">
        <f>HYPERLINK("https://klasma.github.io/Logging_2021/tillsyn/A 33005-2025 tillsynsbegäran.docx", "A 33005-2025")</f>
        <v/>
      </c>
      <c r="AD21">
        <f>HYPERLINK("https://klasma.github.io/Logging_2021/tillsynsmail/A 33005-2025 tillsynsbegäran mail.docx", "A 33005-2025")</f>
        <v/>
      </c>
      <c r="AE21">
        <f>HYPERLINK("https://klasma.github.io/Logging_2021/fåglar/A 33005-2025 prioriterade fågelarter.docx", "A 33005-2025")</f>
        <v/>
      </c>
    </row>
    <row r="22" ht="15" customHeight="1">
      <c r="A22" t="inlineStr">
        <is>
          <t>A 62734-2021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46288</v>
      </c>
      <c r="F22" t="inlineStr">
        <is>
          <t>DALARNAS LÄN</t>
        </is>
      </c>
      <c r="G22" t="inlineStr">
        <is>
          <t>VANSBRO</t>
        </is>
      </c>
      <c r="H22" t="inlineStr">
        <is>
          <t>Bergvik skog öst AB</t>
        </is>
      </c>
      <c r="I22" t="n">
        <v>5.6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Doftskinn
Ullticka
Violettgrå tagellav
Stuplav</t>
        </is>
      </c>
      <c r="W22">
        <f>HYPERLINK("https://klasma.github.io/Logging_2021/artfynd/A 62734-2021 artfynd.xlsx", "A 62734-2021")</f>
        <v/>
      </c>
      <c r="X22">
        <f>HYPERLINK("https://klasma.github.io/Logging_2021/kartor/A 62734-2021 karta.png", "A 62734-2021")</f>
        <v/>
      </c>
      <c r="Y22">
        <f>HYPERLINK("https://klasma.github.io/Logging_2021/kartor_geotiff/A 62734-2021 georefererad karta.tif", "A 62734-2021")</f>
        <v/>
      </c>
      <c r="AA22">
        <f>HYPERLINK("https://klasma.github.io/Logging_2021/klagomål/A 62734-2021 FSC-klagomål.docx", "A 62734-2021")</f>
        <v/>
      </c>
      <c r="AB22">
        <f>HYPERLINK("https://klasma.github.io/Logging_2021/klagomålsmail/A 62734-2021 FSC-klagomål mail.docx", "A 62734-2021")</f>
        <v/>
      </c>
      <c r="AC22">
        <f>HYPERLINK("https://klasma.github.io/Logging_2021/tillsyn/A 62734-2021 tillsynsbegäran.docx", "A 62734-2021")</f>
        <v/>
      </c>
      <c r="AD22">
        <f>HYPERLINK("https://klasma.github.io/Logging_2021/tillsynsmail/A 62734-2021 tillsynsbegäran mail.docx", "A 62734-2021")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46288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46288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46288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46288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46288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33003-2025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46288</v>
      </c>
      <c r="F28" t="inlineStr">
        <is>
          <t>DALARNAS LÄN</t>
        </is>
      </c>
      <c r="G28" t="inlineStr">
        <is>
          <t>VANSBRO</t>
        </is>
      </c>
      <c r="I28" t="n">
        <v>2.3</v>
      </c>
      <c r="J28" t="n">
        <v>2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12</v>
      </c>
      <c r="U28" t="n">
        <v>12</v>
      </c>
      <c r="V28" s="2" t="inlineStr">
        <is>
          <t>Garnlav
Knärot
Kolflarnlav
Tretåig hackspett</t>
        </is>
      </c>
      <c r="W28">
        <f>HYPERLINK("https://klasma.github.io/Logging_2021/artfynd/A 33003-2025 artfynd.xlsx", "A 33003-2025")</f>
        <v/>
      </c>
      <c r="X28">
        <f>HYPERLINK("https://klasma.github.io/Logging_2021/kartor/A 33003-2025 karta.png", "A 33003-2025")</f>
        <v/>
      </c>
      <c r="Y28">
        <f>HYPERLINK("https://klasma.github.io/Logging_2021/kartor_geotiff/A 33003-2025 georefererad karta.tif", "A 33003-2025")</f>
        <v/>
      </c>
      <c r="Z28">
        <f>HYPERLINK("https://klasma.github.io/Logging_2021/knärot/A 33003-2025 karta knärot.png", "A 33003-2025")</f>
        <v/>
      </c>
      <c r="AA28">
        <f>HYPERLINK("https://klasma.github.io/Logging_2021/klagomål/A 33003-2025 FSC-klagomål.docx", "A 33003-2025")</f>
        <v/>
      </c>
      <c r="AB28">
        <f>HYPERLINK("https://klasma.github.io/Logging_2021/klagomålsmail/A 33003-2025 FSC-klagomål mail.docx", "A 33003-2025")</f>
        <v/>
      </c>
      <c r="AC28">
        <f>HYPERLINK("https://klasma.github.io/Logging_2021/tillsyn/A 33003-2025 tillsynsbegäran.docx", "A 33003-2025")</f>
        <v/>
      </c>
      <c r="AD28">
        <f>HYPERLINK("https://klasma.github.io/Logging_2021/tillsynsmail/A 33003-2025 tillsynsbegäran mail.docx", "A 33003-2025")</f>
        <v/>
      </c>
      <c r="AE28">
        <f>HYPERLINK("https://klasma.github.io/Logging_2021/fåglar/A 33003-2025 prioriterade fågelarter.docx", "A 33003-2025")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46288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46288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46288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46288</v>
      </c>
      <c r="F32" t="inlineStr">
        <is>
          <t>DALARNAS LÄN</t>
        </is>
      </c>
      <c r="G32" t="inlineStr">
        <is>
          <t>VANSBRO</t>
        </is>
      </c>
      <c r="I32" t="n">
        <v>0.7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8</v>
      </c>
      <c r="U32" t="n">
        <v>8</v>
      </c>
      <c r="V32" s="2" t="inlineStr">
        <is>
          <t>Kolflarnlav
Mörk kolflarnlav
Tjäder</t>
        </is>
      </c>
      <c r="W32">
        <f>HYPERLINK("https://klasma.github.io/Logging_2021/artfynd/A 33000-2025 artfynd.xlsx", "A 33000-2025")</f>
        <v/>
      </c>
      <c r="X32">
        <f>HYPERLINK("https://klasma.github.io/Logging_2021/kartor/A 33000-2025 karta.png", "A 33000-2025")</f>
        <v/>
      </c>
      <c r="Y32">
        <f>HYPERLINK("https://klasma.github.io/Logging_2021/kartor_geotiff/A 33000-2025 georefererad karta.tif", "A 33000-2025")</f>
        <v/>
      </c>
      <c r="AA32">
        <f>HYPERLINK("https://klasma.github.io/Logging_2021/klagomål/A 33000-2025 FSC-klagomål.docx", "A 33000-2025")</f>
        <v/>
      </c>
      <c r="AB32">
        <f>HYPERLINK("https://klasma.github.io/Logging_2021/klagomålsmail/A 33000-2025 FSC-klagomål mail.docx", "A 33000-2025")</f>
        <v/>
      </c>
      <c r="AC32">
        <f>HYPERLINK("https://klasma.github.io/Logging_2021/tillsyn/A 33000-2025 tillsynsbegäran.docx", "A 33000-2025")</f>
        <v/>
      </c>
      <c r="AD32">
        <f>HYPERLINK("https://klasma.github.io/Logging_2021/tillsynsmail/A 33000-2025 tillsynsbegäran mail.docx", "A 33000-2025")</f>
        <v/>
      </c>
      <c r="AE32">
        <f>HYPERLINK("https://klasma.github.io/Logging_2021/fåglar/A 33000-2025 prioriterade fågelarter.docx", "A 33000-2025")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46288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46288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46288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33793-2026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46251</v>
      </c>
      <c r="E36" s="1" t="n">
        <v>46288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0.9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Nästlav</t>
        </is>
      </c>
      <c r="W36">
        <f>HYPERLINK("https://klasma.github.io/Logging_2021/artfynd/A 33793-2026 artfynd.xlsx", "A 33793-2026")</f>
        <v/>
      </c>
      <c r="X36">
        <f>HYPERLINK("https://klasma.github.io/Logging_2021/kartor/A 33793-2026 karta.png", "A 33793-2026")</f>
        <v/>
      </c>
      <c r="Y36">
        <f>HYPERLINK("https://klasma.github.io/Logging_2021/kartor_geotiff/A 33793-2026 georefererad karta.tif", "A 33793-2026")</f>
        <v/>
      </c>
      <c r="AA36">
        <f>HYPERLINK("https://klasma.github.io/Logging_2021/klagomål/A 33793-2026 FSC-klagomål.docx", "A 33793-2026")</f>
        <v/>
      </c>
      <c r="AB36">
        <f>HYPERLINK("https://klasma.github.io/Logging_2021/klagomålsmail/A 33793-2026 FSC-klagomål mail.docx", "A 33793-2026")</f>
        <v/>
      </c>
      <c r="AC36">
        <f>HYPERLINK("https://klasma.github.io/Logging_2021/tillsyn/A 33793-2026 tillsynsbegäran.docx", "A 33793-2026")</f>
        <v/>
      </c>
      <c r="AD36">
        <f>HYPERLINK("https://klasma.github.io/Logging_2021/tillsynsmail/A 33793-2026 tillsynsbegäran mail.docx", "A 33793-2026")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46288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46288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14475-2024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46288</v>
      </c>
      <c r="F39" t="inlineStr">
        <is>
          <t>DALARNAS LÄN</t>
        </is>
      </c>
      <c r="G39" t="inlineStr">
        <is>
          <t>VANSBRO</t>
        </is>
      </c>
      <c r="I39" t="n">
        <v>20.4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3</v>
      </c>
      <c r="U39" t="n">
        <v>3</v>
      </c>
      <c r="V39" s="2" t="inlineStr">
        <is>
          <t>Garnlav
Dropptaggsvamp</t>
        </is>
      </c>
      <c r="W39">
        <f>HYPERLINK("https://klasma.github.io/Logging_2021/artfynd/A 14475-2024 artfynd.xlsx", "A 14475-2024")</f>
        <v/>
      </c>
      <c r="X39">
        <f>HYPERLINK("https://klasma.github.io/Logging_2021/kartor/A 14475-2024 karta.png", "A 14475-2024")</f>
        <v/>
      </c>
      <c r="Y39">
        <f>HYPERLINK("https://klasma.github.io/Logging_2021/kartor_geotiff/A 14475-2024 georefererad karta.tif", "A 14475-2024")</f>
        <v/>
      </c>
      <c r="AA39">
        <f>HYPERLINK("https://klasma.github.io/Logging_2021/klagomål/A 14475-2024 FSC-klagomål.docx", "A 14475-2024")</f>
        <v/>
      </c>
      <c r="AB39">
        <f>HYPERLINK("https://klasma.github.io/Logging_2021/klagomålsmail/A 14475-2024 FSC-klagomål mail.docx", "A 14475-2024")</f>
        <v/>
      </c>
      <c r="AC39">
        <f>HYPERLINK("https://klasma.github.io/Logging_2021/tillsyn/A 14475-2024 tillsynsbegäran.docx", "A 14475-2024")</f>
        <v/>
      </c>
      <c r="AD39">
        <f>HYPERLINK("https://klasma.github.io/Logging_2021/tillsynsmail/A 14475-2024 tillsynsbegäran mail.docx", "A 14475-2024")</f>
        <v/>
      </c>
    </row>
    <row r="40" ht="15" customHeight="1">
      <c r="A40" t="inlineStr">
        <is>
          <t>A 52675-2025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45956</v>
      </c>
      <c r="E40" s="1" t="n">
        <v>46288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Motaggsvamp</t>
        </is>
      </c>
      <c r="W40">
        <f>HYPERLINK("https://klasma.github.io/Logging_2021/artfynd/A 52675-2025 artfynd.xlsx", "A 52675-2025")</f>
        <v/>
      </c>
      <c r="X40">
        <f>HYPERLINK("https://klasma.github.io/Logging_2021/kartor/A 52675-2025 karta.png", "A 52675-2025")</f>
        <v/>
      </c>
      <c r="Y40">
        <f>HYPERLINK("https://klasma.github.io/Logging_2021/kartor_geotiff/A 52675-2025 georefererad karta.tif", "A 52675-2025")</f>
        <v/>
      </c>
      <c r="AA40">
        <f>HYPERLINK("https://klasma.github.io/Logging_2021/klagomål/A 52675-2025 FSC-klagomål.docx", "A 52675-2025")</f>
        <v/>
      </c>
      <c r="AB40">
        <f>HYPERLINK("https://klasma.github.io/Logging_2021/klagomålsmail/A 52675-2025 FSC-klagomål mail.docx", "A 52675-2025")</f>
        <v/>
      </c>
      <c r="AC40">
        <f>HYPERLINK("https://klasma.github.io/Logging_2021/tillsyn/A 52675-2025 tillsynsbegäran.docx", "A 52675-2025")</f>
        <v/>
      </c>
      <c r="AD40">
        <f>HYPERLINK("https://klasma.github.io/Logging_2021/tillsynsmail/A 52675-2025 tillsynsbegäran mail.docx", "A 52675-2025")</f>
        <v/>
      </c>
    </row>
    <row r="41" ht="15" customHeight="1">
      <c r="A41" t="inlineStr">
        <is>
          <t>A 20076-2026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46288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öst AB</t>
        </is>
      </c>
      <c r="I41" t="n">
        <v>13.2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HYPERLINK("https://klasma.github.io/Logging_2021/artfynd/A 20076-2026 artfynd.xlsx", "A 20076-2026")</f>
        <v/>
      </c>
      <c r="X41">
        <f>HYPERLINK("https://klasma.github.io/Logging_2021/kartor/A 20076-2026 karta.png", "A 20076-2026")</f>
        <v/>
      </c>
      <c r="Y41">
        <f>HYPERLINK("https://klasma.github.io/Logging_2021/kartor_geotiff/A 20076-2026 georefererad karta.tif", "A 20076-2026")</f>
        <v/>
      </c>
      <c r="AA41">
        <f>HYPERLINK("https://klasma.github.io/Logging_2021/klagomål/A 20076-2026 FSC-klagomål.docx", "A 20076-2026")</f>
        <v/>
      </c>
      <c r="AB41">
        <f>HYPERLINK("https://klasma.github.io/Logging_2021/klagomålsmail/A 20076-2026 FSC-klagomål mail.docx", "A 20076-2026")</f>
        <v/>
      </c>
      <c r="AC41">
        <f>HYPERLINK("https://klasma.github.io/Logging_2021/tillsyn/A 20076-2026 tillsynsbegäran.docx", "A 20076-2026")</f>
        <v/>
      </c>
      <c r="AD41">
        <f>HYPERLINK("https://klasma.github.io/Logging_2021/tillsynsmail/A 20076-2026 tillsynsbegäran mail.docx", "A 20076-2026")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46288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26756-2026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46184</v>
      </c>
      <c r="E43" s="1" t="n">
        <v>46288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HYPERLINK("https://klasma.github.io/Logging_2021/artfynd/A 26756-2026 artfynd.xlsx", "A 26756-2026")</f>
        <v/>
      </c>
      <c r="X43">
        <f>HYPERLINK("https://klasma.github.io/Logging_2021/kartor/A 26756-2026 karta.png", "A 26756-2026")</f>
        <v/>
      </c>
      <c r="Y43">
        <f>HYPERLINK("https://klasma.github.io/Logging_2021/kartor_geotiff/A 26756-2026 georefererad karta.tif", "A 26756-2026")</f>
        <v/>
      </c>
      <c r="AA43">
        <f>HYPERLINK("https://klasma.github.io/Logging_2021/klagomål/A 26756-2026 FSC-klagomål.docx", "A 26756-2026")</f>
        <v/>
      </c>
      <c r="AB43">
        <f>HYPERLINK("https://klasma.github.io/Logging_2021/klagomålsmail/A 26756-2026 FSC-klagomål mail.docx", "A 26756-2026")</f>
        <v/>
      </c>
      <c r="AC43">
        <f>HYPERLINK("https://klasma.github.io/Logging_2021/tillsyn/A 26756-2026 tillsynsbegäran.docx", "A 26756-2026")</f>
        <v/>
      </c>
      <c r="AD43">
        <f>HYPERLINK("https://klasma.github.io/Logging_2021/tillsynsmail/A 26756-2026 tillsynsbegäran mail.docx", "A 26756-2026")</f>
        <v/>
      </c>
      <c r="AE43">
        <f>HYPERLINK("https://klasma.github.io/Logging_2021/fåglar/A 26756-2026 prioriterade fågelarter.docx", "A 26756-2026")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46288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46288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46288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46288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35533-2026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46288</v>
      </c>
      <c r="F48" t="inlineStr">
        <is>
          <t>DALARNAS LÄN</t>
        </is>
      </c>
      <c r="G48" t="inlineStr">
        <is>
          <t>VANSBRO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HYPERLINK("https://klasma.github.io/Logging_2021/artfynd/A 35533-2026 artfynd.xlsx", "A 35533-2026")</f>
        <v/>
      </c>
      <c r="X48">
        <f>HYPERLINK("https://klasma.github.io/Logging_2021/kartor/A 35533-2026 karta.png", "A 35533-2026")</f>
        <v/>
      </c>
      <c r="Y48">
        <f>HYPERLINK("https://klasma.github.io/Logging_2021/kartor_geotiff/A 35533-2026 georefererad karta.tif", "A 35533-2026")</f>
        <v/>
      </c>
      <c r="Z48">
        <f>HYPERLINK("https://klasma.github.io/Logging_2021/knärot/A 35533-2026 karta knärot.png", "A 35533-2026")</f>
        <v/>
      </c>
      <c r="AA48">
        <f>HYPERLINK("https://klasma.github.io/Logging_2021/klagomål/A 35533-2026 FSC-klagomål.docx", "A 35533-2026")</f>
        <v/>
      </c>
      <c r="AB48">
        <f>HYPERLINK("https://klasma.github.io/Logging_2021/klagomålsmail/A 35533-2026 FSC-klagomål mail.docx", "A 35533-2026")</f>
        <v/>
      </c>
      <c r="AC48">
        <f>HYPERLINK("https://klasma.github.io/Logging_2021/tillsyn/A 35533-2026 tillsynsbegäran.docx", "A 35533-2026")</f>
        <v/>
      </c>
      <c r="AD48">
        <f>HYPERLINK("https://klasma.github.io/Logging_2021/tillsynsmail/A 35533-2026 tillsynsbegäran mail.docx", "A 35533-2026")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46288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51579-2021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46288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Kolflarnlav</t>
        </is>
      </c>
      <c r="W50">
        <f>HYPERLINK("https://klasma.github.io/Logging_2021/artfynd/A 51579-2021 artfynd.xlsx", "A 51579-2021")</f>
        <v/>
      </c>
      <c r="X50">
        <f>HYPERLINK("https://klasma.github.io/Logging_2021/kartor/A 51579-2021 karta.png", "A 51579-2021")</f>
        <v/>
      </c>
      <c r="Y50">
        <f>HYPERLINK("https://klasma.github.io/Logging_2021/kartor_geotiff/A 51579-2021 georefererad karta.tif", "A 51579-2021")</f>
        <v/>
      </c>
      <c r="AA50">
        <f>HYPERLINK("https://klasma.github.io/Logging_2021/klagomål/A 51579-2021 FSC-klagomål.docx", "A 51579-2021")</f>
        <v/>
      </c>
      <c r="AB50">
        <f>HYPERLINK("https://klasma.github.io/Logging_2021/klagomålsmail/A 51579-2021 FSC-klagomål mail.docx", "A 51579-2021")</f>
        <v/>
      </c>
      <c r="AC50">
        <f>HYPERLINK("https://klasma.github.io/Logging_2021/tillsyn/A 51579-2021 tillsynsbegäran.docx", "A 51579-2021")</f>
        <v/>
      </c>
      <c r="AD50">
        <f>HYPERLINK("https://klasma.github.io/Logging_2021/tillsynsmail/A 51579-2021 tillsynsbegäran mail.docx", "A 51579-2021")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46288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A 27052-2025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46288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HYPERLINK("https://klasma.github.io/Logging_2021/artfynd/A 27052-2025 artfynd.xlsx", "A 27052-2025")</f>
        <v/>
      </c>
      <c r="X52">
        <f>HYPERLINK("https://klasma.github.io/Logging_2021/kartor/A 27052-2025 karta.png", "A 27052-2025")</f>
        <v/>
      </c>
      <c r="Y52">
        <f>HYPERLINK("https://klasma.github.io/Logging_2021/kartor_geotiff/A 27052-2025 georefererad karta.tif", "A 27052-2025")</f>
        <v/>
      </c>
      <c r="AA52">
        <f>HYPERLINK("https://klasma.github.io/Logging_2021/klagomål/A 27052-2025 FSC-klagomål.docx", "A 27052-2025")</f>
        <v/>
      </c>
      <c r="AB52">
        <f>HYPERLINK("https://klasma.github.io/Logging_2021/klagomålsmail/A 27052-2025 FSC-klagomål mail.docx", "A 27052-2025")</f>
        <v/>
      </c>
      <c r="AC52">
        <f>HYPERLINK("https://klasma.github.io/Logging_2021/tillsyn/A 27052-2025 tillsynsbegäran.docx", "A 27052-2025")</f>
        <v/>
      </c>
      <c r="AD52">
        <f>HYPERLINK("https://klasma.github.io/Logging_2021/tillsynsmail/A 27052-2025 tillsynsbegäran mail.docx", "A 27052-2025")</f>
        <v/>
      </c>
      <c r="AE52">
        <f>HYPERLINK("https://klasma.github.io/Logging_2021/fåglar/A 27052-2025 prioriterade fågelarter.docx", "A 27052-2025")</f>
        <v/>
      </c>
    </row>
    <row r="53" ht="15" customHeight="1">
      <c r="A53" t="inlineStr">
        <is>
          <t>A 32917-2025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46288</v>
      </c>
      <c r="F53" t="inlineStr">
        <is>
          <t>DALARNAS LÄN</t>
        </is>
      </c>
      <c r="G53" t="inlineStr">
        <is>
          <t>VANSBRO</t>
        </is>
      </c>
      <c r="I53" t="n">
        <v>6.6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2</v>
      </c>
      <c r="V53" s="2" t="inlineStr">
        <is>
          <t>Garnlav</t>
        </is>
      </c>
      <c r="W53">
        <f>HYPERLINK("https://klasma.github.io/Logging_2021/artfynd/A 32917-2025 artfynd.xlsx", "A 32917-2025")</f>
        <v/>
      </c>
      <c r="X53">
        <f>HYPERLINK("https://klasma.github.io/Logging_2021/kartor/A 32917-2025 karta.png", "A 32917-2025")</f>
        <v/>
      </c>
      <c r="Y53">
        <f>HYPERLINK("https://klasma.github.io/Logging_2021/kartor_geotiff/A 32917-2025 georefererad karta.tif", "A 32917-2025")</f>
        <v/>
      </c>
      <c r="AA53">
        <f>HYPERLINK("https://klasma.github.io/Logging_2021/klagomål/A 32917-2025 FSC-klagomål.docx", "A 32917-2025")</f>
        <v/>
      </c>
      <c r="AB53">
        <f>HYPERLINK("https://klasma.github.io/Logging_2021/klagomålsmail/A 32917-2025 FSC-klagomål mail.docx", "A 32917-2025")</f>
        <v/>
      </c>
      <c r="AC53">
        <f>HYPERLINK("https://klasma.github.io/Logging_2021/tillsyn/A 32917-2025 tillsynsbegäran.docx", "A 32917-2025")</f>
        <v/>
      </c>
      <c r="AD53">
        <f>HYPERLINK("https://klasma.github.io/Logging_2021/tillsynsmail/A 32917-2025 tillsynsbegäran mail.docx", "A 32917-2025")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46288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46288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46288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46288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46288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46288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46288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46288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46288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46288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46288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46288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46288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46288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46288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46288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46288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46288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46288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46288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46288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46288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46288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46288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46288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46288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46288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46288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46288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46288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46288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46288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35288-2024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45530</v>
      </c>
      <c r="E86" s="1" t="n">
        <v>46288</v>
      </c>
      <c r="F86" t="inlineStr">
        <is>
          <t>DALARNAS LÄN</t>
        </is>
      </c>
      <c r="G86" t="inlineStr">
        <is>
          <t>VANSBRO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45498</v>
      </c>
      <c r="E87" s="1" t="n">
        <v>46288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4680-2023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44957</v>
      </c>
      <c r="E88" s="1" t="n">
        <v>46288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46288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46288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46288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46288</v>
      </c>
      <c r="F92" t="inlineStr">
        <is>
          <t>DALARNAS LÄN</t>
        </is>
      </c>
      <c r="G92" t="inlineStr">
        <is>
          <t>VANSBRO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11408-2025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45726</v>
      </c>
      <c r="E93" s="1" t="n">
        <v>46288</v>
      </c>
      <c r="F93" t="inlineStr">
        <is>
          <t>DALARNAS LÄN</t>
        </is>
      </c>
      <c r="G93" t="inlineStr">
        <is>
          <t>VANSBRO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45608-2023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45194</v>
      </c>
      <c r="E94" s="1" t="n">
        <v>46288</v>
      </c>
      <c r="F94" t="inlineStr">
        <is>
          <t>DALARNAS LÄN</t>
        </is>
      </c>
      <c r="G94" t="inlineStr">
        <is>
          <t>VANSBRO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34277-2022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46288</v>
      </c>
      <c r="F95" t="inlineStr">
        <is>
          <t>DALARNAS LÄN</t>
        </is>
      </c>
      <c r="G95" t="inlineStr">
        <is>
          <t>VANSBRO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46288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46288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46288</v>
      </c>
      <c r="F98" t="inlineStr">
        <is>
          <t>DALARNAS LÄN</t>
        </is>
      </c>
      <c r="G98" t="inlineStr">
        <is>
          <t>VANSBRO</t>
        </is>
      </c>
      <c r="H98" t="inlineStr">
        <is>
          <t>Övriga statliga verk och myndigheter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46288</v>
      </c>
      <c r="F99" t="inlineStr">
        <is>
          <t>DALARNAS LÄN</t>
        </is>
      </c>
      <c r="G99" t="inlineStr">
        <is>
          <t>VANSBRO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46288</v>
      </c>
      <c r="F100" t="inlineStr">
        <is>
          <t>DALARNAS LÄN</t>
        </is>
      </c>
      <c r="G100" t="inlineStr">
        <is>
          <t>VANSBRO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55078-2022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44886</v>
      </c>
      <c r="E101" s="1" t="n">
        <v>46288</v>
      </c>
      <c r="F101" t="inlineStr">
        <is>
          <t>DALARNAS LÄN</t>
        </is>
      </c>
      <c r="G101" t="inlineStr">
        <is>
          <t>VANSBRO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45637</v>
      </c>
      <c r="E102" s="1" t="n">
        <v>46288</v>
      </c>
      <c r="F102" t="inlineStr">
        <is>
          <t>DALARNAS LÄN</t>
        </is>
      </c>
      <c r="G102" t="inlineStr">
        <is>
          <t>VANSBRO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46288</v>
      </c>
      <c r="F103" t="inlineStr">
        <is>
          <t>DALARNAS LÄN</t>
        </is>
      </c>
      <c r="G103" t="inlineStr">
        <is>
          <t>VANSBRO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45689</v>
      </c>
      <c r="E104" s="1" t="n">
        <v>46288</v>
      </c>
      <c r="F104" t="inlineStr">
        <is>
          <t>DALARNAS LÄN</t>
        </is>
      </c>
      <c r="G104" t="inlineStr">
        <is>
          <t>VANSBRO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46288</v>
      </c>
      <c r="F105" t="inlineStr">
        <is>
          <t>DALARNAS LÄN</t>
        </is>
      </c>
      <c r="G105" t="inlineStr">
        <is>
          <t>VANSBRO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46288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45689</v>
      </c>
      <c r="E107" s="1" t="n">
        <v>46288</v>
      </c>
      <c r="F107" t="inlineStr">
        <is>
          <t>DALARNAS LÄN</t>
        </is>
      </c>
      <c r="G107" t="inlineStr">
        <is>
          <t>VANSBRO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35299-2024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45530</v>
      </c>
      <c r="E108" s="1" t="n">
        <v>46288</v>
      </c>
      <c r="F108" t="inlineStr">
        <is>
          <t>DALARNAS LÄN</t>
        </is>
      </c>
      <c r="G108" t="inlineStr">
        <is>
          <t>VANSBRO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46288</v>
      </c>
      <c r="F109" t="inlineStr">
        <is>
          <t>DALARNAS LÄN</t>
        </is>
      </c>
      <c r="G109" t="inlineStr">
        <is>
          <t>VANSBRO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46288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49565-2022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44862</v>
      </c>
      <c r="E111" s="1" t="n">
        <v>46288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30342-2023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46288</v>
      </c>
      <c r="F112" t="inlineStr">
        <is>
          <t>DALARNAS LÄN</t>
        </is>
      </c>
      <c r="G112" t="inlineStr">
        <is>
          <t>VANSBRO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45576</v>
      </c>
      <c r="E113" s="1" t="n">
        <v>46288</v>
      </c>
      <c r="F113" t="inlineStr">
        <is>
          <t>DALARNAS LÄN</t>
        </is>
      </c>
      <c r="G113" t="inlineStr">
        <is>
          <t>VANSBRO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44728</v>
      </c>
      <c r="E114" s="1" t="n">
        <v>46288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44728</v>
      </c>
      <c r="E115" s="1" t="n">
        <v>46288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53828-2021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44469</v>
      </c>
      <c r="E116" s="1" t="n">
        <v>46288</v>
      </c>
      <c r="F116" t="inlineStr">
        <is>
          <t>DALARNAS LÄN</t>
        </is>
      </c>
      <c r="G116" t="inlineStr">
        <is>
          <t>VANSBRO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46288</v>
      </c>
      <c r="F117" t="inlineStr">
        <is>
          <t>DALARNAS LÄN</t>
        </is>
      </c>
      <c r="G117" t="inlineStr">
        <is>
          <t>VANSBRO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46288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45744</v>
      </c>
      <c r="E119" s="1" t="n">
        <v>46288</v>
      </c>
      <c r="F119" t="inlineStr">
        <is>
          <t>DALARNAS LÄN</t>
        </is>
      </c>
      <c r="G119" t="inlineStr">
        <is>
          <t>VANSBRO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45258</v>
      </c>
      <c r="E120" s="1" t="n">
        <v>46288</v>
      </c>
      <c r="F120" t="inlineStr">
        <is>
          <t>DALARNAS LÄN</t>
        </is>
      </c>
      <c r="G120" t="inlineStr">
        <is>
          <t>VANSBRO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45183</v>
      </c>
      <c r="E121" s="1" t="n">
        <v>46288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46288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46288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46288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46288</v>
      </c>
      <c r="F125" t="inlineStr">
        <is>
          <t>DALARNAS LÄN</t>
        </is>
      </c>
      <c r="G125" t="inlineStr">
        <is>
          <t>VANSBRO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46288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46288</v>
      </c>
      <c r="F127" t="inlineStr">
        <is>
          <t>DALARNAS LÄN</t>
        </is>
      </c>
      <c r="G127" t="inlineStr">
        <is>
          <t>VANSBRO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45463</v>
      </c>
      <c r="E128" s="1" t="n">
        <v>46288</v>
      </c>
      <c r="F128" t="inlineStr">
        <is>
          <t>DALARNAS LÄN</t>
        </is>
      </c>
      <c r="G128" t="inlineStr">
        <is>
          <t>VANSBRO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46288</v>
      </c>
      <c r="F129" t="inlineStr">
        <is>
          <t>DALARNAS LÄN</t>
        </is>
      </c>
      <c r="G129" t="inlineStr">
        <is>
          <t>VANSBRO</t>
        </is>
      </c>
      <c r="H129" t="inlineStr">
        <is>
          <t>Övriga statliga verk och myndigheter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45876</v>
      </c>
      <c r="E130" s="1" t="n">
        <v>46288</v>
      </c>
      <c r="F130" t="inlineStr">
        <is>
          <t>DALARNAS LÄN</t>
        </is>
      </c>
      <c r="G130" t="inlineStr">
        <is>
          <t>VANSBRO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38670-2025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45884</v>
      </c>
      <c r="E131" s="1" t="n">
        <v>46288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45876</v>
      </c>
      <c r="E132" s="1" t="n">
        <v>46288</v>
      </c>
      <c r="F132" t="inlineStr">
        <is>
          <t>DALARNAS LÄN</t>
        </is>
      </c>
      <c r="G132" t="inlineStr">
        <is>
          <t>VANSBRO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46288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46288</v>
      </c>
      <c r="F134" t="inlineStr">
        <is>
          <t>DALARNAS LÄN</t>
        </is>
      </c>
      <c r="G134" t="inlineStr">
        <is>
          <t>VANSBRO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46288</v>
      </c>
      <c r="F135" t="inlineStr">
        <is>
          <t>DALARNAS LÄN</t>
        </is>
      </c>
      <c r="G135" t="inlineStr">
        <is>
          <t>VANSBRO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46288</v>
      </c>
      <c r="F136" t="inlineStr">
        <is>
          <t>DALARNAS LÄN</t>
        </is>
      </c>
      <c r="G136" t="inlineStr">
        <is>
          <t>VANSBRO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46288</v>
      </c>
      <c r="F137" t="inlineStr">
        <is>
          <t>DALARNAS LÄN</t>
        </is>
      </c>
      <c r="G137" t="inlineStr">
        <is>
          <t>VANSBRO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20208-2026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46139</v>
      </c>
      <c r="E138" s="1" t="n">
        <v>46288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46288</v>
      </c>
      <c r="F139" t="inlineStr">
        <is>
          <t>DALARNAS LÄN</t>
        </is>
      </c>
      <c r="G139" t="inlineStr">
        <is>
          <t>VANSBRO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46288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46288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46288</v>
      </c>
      <c r="F142" t="inlineStr">
        <is>
          <t>DALARNAS LÄN</t>
        </is>
      </c>
      <c r="G142" t="inlineStr">
        <is>
          <t>VANSBRO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45811</v>
      </c>
      <c r="E143" s="1" t="n">
        <v>46288</v>
      </c>
      <c r="F143" t="inlineStr">
        <is>
          <t>DALARNAS LÄN</t>
        </is>
      </c>
      <c r="G143" t="inlineStr">
        <is>
          <t>VANSBRO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46288</v>
      </c>
      <c r="F144" t="inlineStr">
        <is>
          <t>DALARNAS LÄN</t>
        </is>
      </c>
      <c r="G144" t="inlineStr">
        <is>
          <t>VANSBRO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55942-2023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46288</v>
      </c>
      <c r="F145" t="inlineStr">
        <is>
          <t>DALARNAS LÄN</t>
        </is>
      </c>
      <c r="G145" t="inlineStr">
        <is>
          <t>VANSBRO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44811</v>
      </c>
      <c r="E146" s="1" t="n">
        <v>46288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46288</v>
      </c>
      <c r="F147" t="inlineStr">
        <is>
          <t>DALARNAS LÄN</t>
        </is>
      </c>
      <c r="G147" t="inlineStr">
        <is>
          <t>VANSBRO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45776</v>
      </c>
      <c r="E148" s="1" t="n">
        <v>46288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46288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45806</v>
      </c>
      <c r="E150" s="1" t="n">
        <v>46288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45063</v>
      </c>
      <c r="E151" s="1" t="n">
        <v>46288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öst AB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46288</v>
      </c>
      <c r="F152" t="inlineStr">
        <is>
          <t>DALARNAS LÄN</t>
        </is>
      </c>
      <c r="G152" t="inlineStr">
        <is>
          <t>VANSBRO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53839-2022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44880</v>
      </c>
      <c r="E153" s="1" t="n">
        <v>46288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46288</v>
      </c>
      <c r="F154" t="inlineStr">
        <is>
          <t>DALARNAS LÄN</t>
        </is>
      </c>
      <c r="G154" t="inlineStr">
        <is>
          <t>VANSBRO</t>
        </is>
      </c>
      <c r="I154" t="n">
        <v>13.9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46288</v>
      </c>
      <c r="F155" t="inlineStr">
        <is>
          <t>DALARNAS LÄN</t>
        </is>
      </c>
      <c r="G155" t="inlineStr">
        <is>
          <t>VANSBRO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45714</v>
      </c>
      <c r="E156" s="1" t="n">
        <v>46288</v>
      </c>
      <c r="F156" t="inlineStr">
        <is>
          <t>DALARNAS LÄN</t>
        </is>
      </c>
      <c r="G156" t="inlineStr">
        <is>
          <t>VANSBRO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45909</v>
      </c>
      <c r="E157" s="1" t="n">
        <v>46288</v>
      </c>
      <c r="F157" t="inlineStr">
        <is>
          <t>DALARNAS LÄN</t>
        </is>
      </c>
      <c r="G157" t="inlineStr">
        <is>
          <t>VANSBRO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46288</v>
      </c>
      <c r="F158" t="inlineStr">
        <is>
          <t>DALARNAS LÄN</t>
        </is>
      </c>
      <c r="G158" t="inlineStr">
        <is>
          <t>VANSBRO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21966-2024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46288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45689</v>
      </c>
      <c r="E160" s="1" t="n">
        <v>46288</v>
      </c>
      <c r="F160" t="inlineStr">
        <is>
          <t>DALARNAS LÄN</t>
        </is>
      </c>
      <c r="G160" t="inlineStr">
        <is>
          <t>VANSBRO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45516</v>
      </c>
      <c r="E161" s="1" t="n">
        <v>46288</v>
      </c>
      <c r="F161" t="inlineStr">
        <is>
          <t>DALARNAS LÄN</t>
        </is>
      </c>
      <c r="G161" t="inlineStr">
        <is>
          <t>VANSBRO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44798</v>
      </c>
      <c r="E162" s="1" t="n">
        <v>46288</v>
      </c>
      <c r="F162" t="inlineStr">
        <is>
          <t>DALARNAS LÄN</t>
        </is>
      </c>
      <c r="G162" t="inlineStr">
        <is>
          <t>VANSBRO</t>
        </is>
      </c>
      <c r="H162" t="inlineStr">
        <is>
          <t>Kommuner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45214</v>
      </c>
      <c r="E163" s="1" t="n">
        <v>46288</v>
      </c>
      <c r="F163" t="inlineStr">
        <is>
          <t>DALARNAS LÄN</t>
        </is>
      </c>
      <c r="G163" t="inlineStr">
        <is>
          <t>VANSBRO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45933</v>
      </c>
      <c r="E164" s="1" t="n">
        <v>46288</v>
      </c>
      <c r="F164" t="inlineStr">
        <is>
          <t>DALARNAS LÄN</t>
        </is>
      </c>
      <c r="G164" t="inlineStr">
        <is>
          <t>VANSBRO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46288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46288</v>
      </c>
      <c r="F166" t="inlineStr">
        <is>
          <t>DALARNAS LÄN</t>
        </is>
      </c>
      <c r="G166" t="inlineStr">
        <is>
          <t>VANSBRO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46288</v>
      </c>
      <c r="F167" t="inlineStr">
        <is>
          <t>DALARNAS LÄN</t>
        </is>
      </c>
      <c r="G167" t="inlineStr">
        <is>
          <t>VANSBRO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46288</v>
      </c>
      <c r="F168" t="inlineStr">
        <is>
          <t>DALARNAS LÄN</t>
        </is>
      </c>
      <c r="G168" t="inlineStr">
        <is>
          <t>VANSBRO</t>
        </is>
      </c>
      <c r="I168" t="n">
        <v>15.8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46288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46021</v>
      </c>
      <c r="E170" s="1" t="n">
        <v>46288</v>
      </c>
      <c r="F170" t="inlineStr">
        <is>
          <t>DALARNAS LÄN</t>
        </is>
      </c>
      <c r="G170" t="inlineStr">
        <is>
          <t>VANSBRO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46079</v>
      </c>
      <c r="E171" s="1" t="n">
        <v>46288</v>
      </c>
      <c r="F171" t="inlineStr">
        <is>
          <t>DALARNAS LÄN</t>
        </is>
      </c>
      <c r="G171" t="inlineStr">
        <is>
          <t>VANSBRO</t>
        </is>
      </c>
      <c r="H171" t="inlineStr">
        <is>
          <t>Övriga statliga verk och myndigheter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46288</v>
      </c>
      <c r="F172" t="inlineStr">
        <is>
          <t>DALARNAS LÄN</t>
        </is>
      </c>
      <c r="G172" t="inlineStr">
        <is>
          <t>VANSBRO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46288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öst AB</t>
        </is>
      </c>
      <c r="I173" t="n">
        <v>45.8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48840-2025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45937</v>
      </c>
      <c r="E174" s="1" t="n">
        <v>46288</v>
      </c>
      <c r="F174" t="inlineStr">
        <is>
          <t>DALARNAS LÄN</t>
        </is>
      </c>
      <c r="G174" t="inlineStr">
        <is>
          <t>VANSBRO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46149</v>
      </c>
      <c r="E175" s="1" t="n">
        <v>46288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46288</v>
      </c>
      <c r="F176" t="inlineStr">
        <is>
          <t>DALARNAS LÄN</t>
        </is>
      </c>
      <c r="G176" t="inlineStr">
        <is>
          <t>VANSBRO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46288</v>
      </c>
      <c r="F177" t="inlineStr">
        <is>
          <t>DALARNAS LÄN</t>
        </is>
      </c>
      <c r="G177" t="inlineStr">
        <is>
          <t>VANSBRO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46288</v>
      </c>
      <c r="F178" t="inlineStr">
        <is>
          <t>DALARNAS LÄN</t>
        </is>
      </c>
      <c r="G178" t="inlineStr">
        <is>
          <t>VANSBRO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45350</v>
      </c>
      <c r="E179" s="1" t="n">
        <v>46288</v>
      </c>
      <c r="F179" t="inlineStr">
        <is>
          <t>DALARNAS LÄN</t>
        </is>
      </c>
      <c r="G179" t="inlineStr">
        <is>
          <t>VANSBRO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22384-2026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46288</v>
      </c>
      <c r="F180" t="inlineStr">
        <is>
          <t>DALARNAS LÄN</t>
        </is>
      </c>
      <c r="G180" t="inlineStr">
        <is>
          <t>VANSBRO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46288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46288</v>
      </c>
      <c r="F182" t="inlineStr">
        <is>
          <t>DALARNAS LÄN</t>
        </is>
      </c>
      <c r="G182" t="inlineStr">
        <is>
          <t>VANSBRO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46288</v>
      </c>
      <c r="F183" t="inlineStr">
        <is>
          <t>DALARNAS LÄN</t>
        </is>
      </c>
      <c r="G183" t="inlineStr">
        <is>
          <t>VANSBRO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46288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921-2025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45665</v>
      </c>
      <c r="E185" s="1" t="n">
        <v>46288</v>
      </c>
      <c r="F185" t="inlineStr">
        <is>
          <t>DALARNAS LÄN</t>
        </is>
      </c>
      <c r="G185" t="inlineStr">
        <is>
          <t>VANSBRO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46288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46288</v>
      </c>
      <c r="F187" t="inlineStr">
        <is>
          <t>DALARNAS LÄN</t>
        </is>
      </c>
      <c r="G187" t="inlineStr">
        <is>
          <t>VANSBRO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22379-2026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46288</v>
      </c>
      <c r="F188" t="inlineStr">
        <is>
          <t>DALARNAS LÄN</t>
        </is>
      </c>
      <c r="G188" t="inlineStr">
        <is>
          <t>VANSBRO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46288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46288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45453</v>
      </c>
      <c r="E191" s="1" t="n">
        <v>46288</v>
      </c>
      <c r="F191" t="inlineStr">
        <is>
          <t>DALARNAS LÄN</t>
        </is>
      </c>
      <c r="G191" t="inlineStr">
        <is>
          <t>VANSBRO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46288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46161</v>
      </c>
      <c r="E193" s="1" t="n">
        <v>46288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öst AB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45956</v>
      </c>
      <c r="E194" s="1" t="n">
        <v>46288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46288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46288</v>
      </c>
      <c r="F196" t="inlineStr">
        <is>
          <t>DALARNAS LÄN</t>
        </is>
      </c>
      <c r="G196" t="inlineStr">
        <is>
          <t>VANSBRO</t>
        </is>
      </c>
      <c r="I196" t="n">
        <v>12.6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46161</v>
      </c>
      <c r="E197" s="1" t="n">
        <v>46288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46288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46288</v>
      </c>
      <c r="F199" t="inlineStr">
        <is>
          <t>DALARNAS LÄN</t>
        </is>
      </c>
      <c r="G199" t="inlineStr">
        <is>
          <t>VANSBRO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46288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öst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46288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45238</v>
      </c>
      <c r="E202" s="1" t="n">
        <v>46288</v>
      </c>
      <c r="F202" t="inlineStr">
        <is>
          <t>DALARNAS LÄN</t>
        </is>
      </c>
      <c r="G202" t="inlineStr">
        <is>
          <t>VANSBRO</t>
        </is>
      </c>
      <c r="H202" t="inlineStr">
        <is>
          <t>Övriga statliga verk och myndigheter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46288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46288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44970</v>
      </c>
      <c r="E205" s="1" t="n">
        <v>46288</v>
      </c>
      <c r="F205" t="inlineStr">
        <is>
          <t>DALARNAS LÄN</t>
        </is>
      </c>
      <c r="G205" t="inlineStr">
        <is>
          <t>VANSBRO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46288</v>
      </c>
      <c r="F206" t="inlineStr">
        <is>
          <t>DALARNAS LÄN</t>
        </is>
      </c>
      <c r="G206" t="inlineStr">
        <is>
          <t>VANSBRO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45772</v>
      </c>
      <c r="E207" s="1" t="n">
        <v>46288</v>
      </c>
      <c r="F207" t="inlineStr">
        <is>
          <t>DALARNAS LÄN</t>
        </is>
      </c>
      <c r="G207" t="inlineStr">
        <is>
          <t>VANSBRO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5386-2024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45331</v>
      </c>
      <c r="E208" s="1" t="n">
        <v>46288</v>
      </c>
      <c r="F208" t="inlineStr">
        <is>
          <t>DALARNAS LÄN</t>
        </is>
      </c>
      <c r="G208" t="inlineStr">
        <is>
          <t>VANSBRO</t>
        </is>
      </c>
      <c r="I208" t="n">
        <v>11.4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46288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45972</v>
      </c>
      <c r="E210" s="1" t="n">
        <v>46288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46164</v>
      </c>
      <c r="E211" s="1" t="n">
        <v>46288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46288</v>
      </c>
      <c r="F212" t="inlineStr">
        <is>
          <t>DALARNAS LÄN</t>
        </is>
      </c>
      <c r="G212" t="inlineStr">
        <is>
          <t>VANSBRO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46288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46288</v>
      </c>
      <c r="F214" t="inlineStr">
        <is>
          <t>DALARNAS LÄN</t>
        </is>
      </c>
      <c r="G214" t="inlineStr">
        <is>
          <t>VANSBRO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8694-2023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44972</v>
      </c>
      <c r="E215" s="1" t="n">
        <v>46288</v>
      </c>
      <c r="F215" t="inlineStr">
        <is>
          <t>DALARNAS LÄN</t>
        </is>
      </c>
      <c r="G215" t="inlineStr">
        <is>
          <t>VANSBRO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45979</v>
      </c>
      <c r="E216" s="1" t="n">
        <v>46288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46288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45772</v>
      </c>
      <c r="E218" s="1" t="n">
        <v>46288</v>
      </c>
      <c r="F218" t="inlineStr">
        <is>
          <t>DALARNAS LÄN</t>
        </is>
      </c>
      <c r="G218" t="inlineStr">
        <is>
          <t>VANSBRO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45520</v>
      </c>
      <c r="E219" s="1" t="n">
        <v>46288</v>
      </c>
      <c r="F219" t="inlineStr">
        <is>
          <t>DALARNAS LÄN</t>
        </is>
      </c>
      <c r="G219" t="inlineStr">
        <is>
          <t>VANSBRO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45601</v>
      </c>
      <c r="E220" s="1" t="n">
        <v>46288</v>
      </c>
      <c r="F220" t="inlineStr">
        <is>
          <t>DALARNAS LÄN</t>
        </is>
      </c>
      <c r="G220" t="inlineStr">
        <is>
          <t>VANSBRO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45986</v>
      </c>
      <c r="E221" s="1" t="n">
        <v>46288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45987</v>
      </c>
      <c r="E222" s="1" t="n">
        <v>46288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44980</v>
      </c>
      <c r="E223" s="1" t="n">
        <v>46288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8447-2022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44612</v>
      </c>
      <c r="E224" s="1" t="n">
        <v>46288</v>
      </c>
      <c r="F224" t="inlineStr">
        <is>
          <t>DALARNAS LÄN</t>
        </is>
      </c>
      <c r="G224" t="inlineStr">
        <is>
          <t>VANSBRO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46288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45691</v>
      </c>
      <c r="E226" s="1" t="n">
        <v>46288</v>
      </c>
      <c r="F226" t="inlineStr">
        <is>
          <t>DALARNAS LÄN</t>
        </is>
      </c>
      <c r="G226" t="inlineStr">
        <is>
          <t>VANSBRO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46288</v>
      </c>
      <c r="F227" t="inlineStr">
        <is>
          <t>DALARNAS LÄN</t>
        </is>
      </c>
      <c r="G227" t="inlineStr">
        <is>
          <t>VANSBRO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46288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45322</v>
      </c>
      <c r="E229" s="1" t="n">
        <v>46288</v>
      </c>
      <c r="F229" t="inlineStr">
        <is>
          <t>DALARNAS LÄN</t>
        </is>
      </c>
      <c r="G229" t="inlineStr">
        <is>
          <t>VANSBRO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45596</v>
      </c>
      <c r="E230" s="1" t="n">
        <v>46288</v>
      </c>
      <c r="F230" t="inlineStr">
        <is>
          <t>DALARNAS LÄN</t>
        </is>
      </c>
      <c r="G230" t="inlineStr">
        <is>
          <t>VANSBRO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46288</v>
      </c>
      <c r="F231" t="inlineStr">
        <is>
          <t>DALARNAS LÄN</t>
        </is>
      </c>
      <c r="G231" t="inlineStr">
        <is>
          <t>VANSBRO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46168</v>
      </c>
      <c r="E232" s="1" t="n">
        <v>46288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2086-2024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45309</v>
      </c>
      <c r="E233" s="1" t="n">
        <v>46288</v>
      </c>
      <c r="F233" t="inlineStr">
        <is>
          <t>DALARNAS LÄN</t>
        </is>
      </c>
      <c r="G233" t="inlineStr">
        <is>
          <t>VANSBRO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46288</v>
      </c>
      <c r="F234" t="inlineStr">
        <is>
          <t>DALARNAS LÄN</t>
        </is>
      </c>
      <c r="G234" t="inlineStr">
        <is>
          <t>VANSBRO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46288</v>
      </c>
      <c r="F235" t="inlineStr">
        <is>
          <t>DALARNAS LÄN</t>
        </is>
      </c>
      <c r="G235" t="inlineStr">
        <is>
          <t>VANSBRO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63816-2021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44509</v>
      </c>
      <c r="E236" s="1" t="n">
        <v>46288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45712</v>
      </c>
      <c r="E237" s="1" t="n">
        <v>46288</v>
      </c>
      <c r="F237" t="inlineStr">
        <is>
          <t>DALARNAS LÄN</t>
        </is>
      </c>
      <c r="G237" t="inlineStr">
        <is>
          <t>VANSBRO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45604</v>
      </c>
      <c r="E238" s="1" t="n">
        <v>46288</v>
      </c>
      <c r="F238" t="inlineStr">
        <is>
          <t>DALARNAS LÄN</t>
        </is>
      </c>
      <c r="G238" t="inlineStr">
        <is>
          <t>VANSBRO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44966</v>
      </c>
      <c r="E239" s="1" t="n">
        <v>46288</v>
      </c>
      <c r="F239" t="inlineStr">
        <is>
          <t>DALARNAS LÄN</t>
        </is>
      </c>
      <c r="G239" t="inlineStr">
        <is>
          <t>VANSBRO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45481</v>
      </c>
      <c r="E240" s="1" t="n">
        <v>46288</v>
      </c>
      <c r="F240" t="inlineStr">
        <is>
          <t>DALARNAS LÄN</t>
        </is>
      </c>
      <c r="G240" t="inlineStr">
        <is>
          <t>VANSBRO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46288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öst AB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25958-2026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46288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46288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46033</v>
      </c>
      <c r="E244" s="1" t="n">
        <v>46288</v>
      </c>
      <c r="F244" t="inlineStr">
        <is>
          <t>DALARNAS LÄN</t>
        </is>
      </c>
      <c r="G244" t="inlineStr">
        <is>
          <t>VANSBRO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46288</v>
      </c>
      <c r="F245" t="inlineStr">
        <is>
          <t>DALARNAS LÄN</t>
        </is>
      </c>
      <c r="G245" t="inlineStr">
        <is>
          <t>VANSBRO</t>
        </is>
      </c>
      <c r="H245" t="inlineStr">
        <is>
          <t>Övriga statliga verk och myndigheter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46288</v>
      </c>
      <c r="F246" t="inlineStr">
        <is>
          <t>DALARNAS LÄN</t>
        </is>
      </c>
      <c r="G246" t="inlineStr">
        <is>
          <t>VANSBRO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45457</v>
      </c>
      <c r="E247" s="1" t="n">
        <v>46288</v>
      </c>
      <c r="F247" t="inlineStr">
        <is>
          <t>DALARNAS LÄN</t>
        </is>
      </c>
      <c r="G247" t="inlineStr">
        <is>
          <t>VANSBRO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46288</v>
      </c>
      <c r="F248" t="inlineStr">
        <is>
          <t>DALARNAS LÄN</t>
        </is>
      </c>
      <c r="G248" t="inlineStr">
        <is>
          <t>VANSBRO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13062-2023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45002</v>
      </c>
      <c r="E249" s="1" t="n">
        <v>46288</v>
      </c>
      <c r="F249" t="inlineStr">
        <is>
          <t>DALARNAS LÄN</t>
        </is>
      </c>
      <c r="G249" t="inlineStr">
        <is>
          <t>VANSBRO</t>
        </is>
      </c>
      <c r="H249" t="inlineStr">
        <is>
          <t>Övriga statliga verk och myndigheter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46288</v>
      </c>
      <c r="F250" t="inlineStr">
        <is>
          <t>DALARNAS LÄN</t>
        </is>
      </c>
      <c r="G250" t="inlineStr">
        <is>
          <t>VANSBRO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46288</v>
      </c>
      <c r="F251" t="inlineStr">
        <is>
          <t>DALARNAS LÄN</t>
        </is>
      </c>
      <c r="G251" t="inlineStr">
        <is>
          <t>VANSBRO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46288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46188</v>
      </c>
      <c r="E253" s="1" t="n">
        <v>46288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27344-2026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46188</v>
      </c>
      <c r="E254" s="1" t="n">
        <v>46288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46288</v>
      </c>
      <c r="F255" t="inlineStr">
        <is>
          <t>DALARNAS LÄN</t>
        </is>
      </c>
      <c r="G255" t="inlineStr">
        <is>
          <t>VANSBRO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46190</v>
      </c>
      <c r="E256" s="1" t="n">
        <v>46288</v>
      </c>
      <c r="F256" t="inlineStr">
        <is>
          <t>DALARNAS LÄN</t>
        </is>
      </c>
      <c r="G256" t="inlineStr">
        <is>
          <t>VANSBRO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46288</v>
      </c>
      <c r="F257" t="inlineStr">
        <is>
          <t>DALARNAS LÄN</t>
        </is>
      </c>
      <c r="G257" t="inlineStr">
        <is>
          <t>VANSBRO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46190</v>
      </c>
      <c r="E258" s="1" t="n">
        <v>46288</v>
      </c>
      <c r="F258" t="inlineStr">
        <is>
          <t>DALARNAS LÄN</t>
        </is>
      </c>
      <c r="G258" t="inlineStr">
        <is>
          <t>VANSBRO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46288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46288</v>
      </c>
      <c r="F260" t="inlineStr">
        <is>
          <t>DALARNAS LÄN</t>
        </is>
      </c>
      <c r="G260" t="inlineStr">
        <is>
          <t>VANSBRO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46288</v>
      </c>
      <c r="F261" t="inlineStr">
        <is>
          <t>DALARNAS LÄN</t>
        </is>
      </c>
      <c r="G261" t="inlineStr">
        <is>
          <t>VANSBRO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46049</v>
      </c>
      <c r="E262" s="1" t="n">
        <v>46288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46288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46288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väst AB</t>
        </is>
      </c>
      <c r="I264" t="n">
        <v>10.5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46288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27932-2026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46191</v>
      </c>
      <c r="E266" s="1" t="n">
        <v>46288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46191</v>
      </c>
      <c r="E267" s="1" t="n">
        <v>46288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öst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46051</v>
      </c>
      <c r="E268" s="1" t="n">
        <v>46288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46050</v>
      </c>
      <c r="E269" s="1" t="n">
        <v>46288</v>
      </c>
      <c r="F269" t="inlineStr">
        <is>
          <t>DALARNAS LÄN</t>
        </is>
      </c>
      <c r="G269" t="inlineStr">
        <is>
          <t>VANSBRO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46191</v>
      </c>
      <c r="E270" s="1" t="n">
        <v>46288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43139-2023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45183</v>
      </c>
      <c r="E271" s="1" t="n">
        <v>46288</v>
      </c>
      <c r="F271" t="inlineStr">
        <is>
          <t>DALARNAS LÄN</t>
        </is>
      </c>
      <c r="G271" t="inlineStr">
        <is>
          <t>VANSBRO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45106</v>
      </c>
      <c r="E272" s="1" t="n">
        <v>46288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46052</v>
      </c>
      <c r="E273" s="1" t="n">
        <v>46288</v>
      </c>
      <c r="F273" t="inlineStr">
        <is>
          <t>DALARNAS LÄN</t>
        </is>
      </c>
      <c r="G273" t="inlineStr">
        <is>
          <t>VANSBRO</t>
        </is>
      </c>
      <c r="I273" t="n">
        <v>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62398-2021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44503</v>
      </c>
      <c r="E274" s="1" t="n">
        <v>46288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22.1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46057</v>
      </c>
      <c r="E275" s="1" t="n">
        <v>46288</v>
      </c>
      <c r="F275" t="inlineStr">
        <is>
          <t>DALARNAS LÄN</t>
        </is>
      </c>
      <c r="G275" t="inlineStr">
        <is>
          <t>VANSBRO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46288</v>
      </c>
      <c r="F276" t="inlineStr">
        <is>
          <t>DALARNAS LÄN</t>
        </is>
      </c>
      <c r="G276" t="inlineStr">
        <is>
          <t>VANSBRO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46466-2024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46288</v>
      </c>
      <c r="F277" t="inlineStr">
        <is>
          <t>DALARNAS LÄN</t>
        </is>
      </c>
      <c r="G277" t="inlineStr">
        <is>
          <t>VANSBRO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46288</v>
      </c>
      <c r="F278" t="inlineStr">
        <is>
          <t>DALARNAS LÄN</t>
        </is>
      </c>
      <c r="G278" t="inlineStr">
        <is>
          <t>VANSBRO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46288</v>
      </c>
      <c r="F279" t="inlineStr">
        <is>
          <t>DALARNAS LÄN</t>
        </is>
      </c>
      <c r="G279" t="inlineStr">
        <is>
          <t>VANSBRO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46288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46288</v>
      </c>
      <c r="F281" t="inlineStr">
        <is>
          <t>DALARNAS LÄN</t>
        </is>
      </c>
      <c r="G281" t="inlineStr">
        <is>
          <t>VANSBRO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48111-2024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45589</v>
      </c>
      <c r="E282" s="1" t="n">
        <v>46288</v>
      </c>
      <c r="F282" t="inlineStr">
        <is>
          <t>DALARNAS LÄN</t>
        </is>
      </c>
      <c r="G282" t="inlineStr">
        <is>
          <t>VANSBRO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46288</v>
      </c>
      <c r="F283" t="inlineStr">
        <is>
          <t>DALARNAS LÄN</t>
        </is>
      </c>
      <c r="G283" t="inlineStr">
        <is>
          <t>VANSBRO</t>
        </is>
      </c>
      <c r="I283" t="n">
        <v>15.1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1140-2025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45666</v>
      </c>
      <c r="E284" s="1" t="n">
        <v>46288</v>
      </c>
      <c r="F284" t="inlineStr">
        <is>
          <t>DALARNAS LÄN</t>
        </is>
      </c>
      <c r="G284" t="inlineStr">
        <is>
          <t>VANSBRO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44960</v>
      </c>
      <c r="E285" s="1" t="n">
        <v>46288</v>
      </c>
      <c r="F285" t="inlineStr">
        <is>
          <t>DALARNAS LÄN</t>
        </is>
      </c>
      <c r="G285" t="inlineStr">
        <is>
          <t>VANSBRO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46288</v>
      </c>
      <c r="F286" t="inlineStr">
        <is>
          <t>DALARNAS LÄN</t>
        </is>
      </c>
      <c r="G286" t="inlineStr">
        <is>
          <t>VANSBRO</t>
        </is>
      </c>
      <c r="I286" t="n">
        <v>19.1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56269-2023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45240</v>
      </c>
      <c r="E287" s="1" t="n">
        <v>46288</v>
      </c>
      <c r="F287" t="inlineStr">
        <is>
          <t>DALARNAS LÄN</t>
        </is>
      </c>
      <c r="G287" t="inlineStr">
        <is>
          <t>VANSBRO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45639</v>
      </c>
      <c r="E288" s="1" t="n">
        <v>46288</v>
      </c>
      <c r="F288" t="inlineStr">
        <is>
          <t>DALARNAS LÄN</t>
        </is>
      </c>
      <c r="G288" t="inlineStr">
        <is>
          <t>VANSBRO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46288</v>
      </c>
      <c r="F289" t="inlineStr">
        <is>
          <t>DALARNAS LÄN</t>
        </is>
      </c>
      <c r="G289" t="inlineStr">
        <is>
          <t>VANSBRO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44734</v>
      </c>
      <c r="E290" s="1" t="n">
        <v>46288</v>
      </c>
      <c r="F290" t="inlineStr">
        <is>
          <t>DALARNAS LÄN</t>
        </is>
      </c>
      <c r="G290" t="inlineStr">
        <is>
          <t>VANSBRO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46288</v>
      </c>
      <c r="F291" t="inlineStr">
        <is>
          <t>DALARNAS LÄN</t>
        </is>
      </c>
      <c r="G291" t="inlineStr">
        <is>
          <t>VANSBRO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46288</v>
      </c>
      <c r="F292" t="inlineStr">
        <is>
          <t>DALARNAS LÄN</t>
        </is>
      </c>
      <c r="G292" t="inlineStr">
        <is>
          <t>VANSBRO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46197</v>
      </c>
      <c r="E293" s="1" t="n">
        <v>46288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46288</v>
      </c>
      <c r="F294" t="inlineStr">
        <is>
          <t>DALARNAS LÄN</t>
        </is>
      </c>
      <c r="G294" t="inlineStr">
        <is>
          <t>VANSBRO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46288</v>
      </c>
      <c r="F295" t="inlineStr">
        <is>
          <t>DALARNAS LÄN</t>
        </is>
      </c>
      <c r="G295" t="inlineStr">
        <is>
          <t>VANSBRO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46199</v>
      </c>
      <c r="E296" s="1" t="n">
        <v>46288</v>
      </c>
      <c r="F296" t="inlineStr">
        <is>
          <t>DALARNAS LÄN</t>
        </is>
      </c>
      <c r="G296" t="inlineStr">
        <is>
          <t>VANSBRO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11603-2026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46288</v>
      </c>
      <c r="F297" t="inlineStr">
        <is>
          <t>DALARNAS LÄN</t>
        </is>
      </c>
      <c r="G297" t="inlineStr">
        <is>
          <t>VANSBRO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46082</v>
      </c>
      <c r="E298" s="1" t="n">
        <v>46288</v>
      </c>
      <c r="F298" t="inlineStr">
        <is>
          <t>DALARNAS LÄN</t>
        </is>
      </c>
      <c r="G298" t="inlineStr">
        <is>
          <t>VANSBRO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46082</v>
      </c>
      <c r="E299" s="1" t="n">
        <v>46288</v>
      </c>
      <c r="F299" t="inlineStr">
        <is>
          <t>DALARNAS LÄN</t>
        </is>
      </c>
      <c r="G299" t="inlineStr">
        <is>
          <t>VANSBRO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46288</v>
      </c>
      <c r="F300" t="inlineStr">
        <is>
          <t>DALARNAS LÄN</t>
        </is>
      </c>
      <c r="G300" t="inlineStr">
        <is>
          <t>VANSBRO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29174-2026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46202</v>
      </c>
      <c r="E301" s="1" t="n">
        <v>46288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öst AB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46204</v>
      </c>
      <c r="E302" s="1" t="n">
        <v>46288</v>
      </c>
      <c r="F302" t="inlineStr">
        <is>
          <t>DALARNAS LÄN</t>
        </is>
      </c>
      <c r="G302" t="inlineStr">
        <is>
          <t>VANSBRO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29671-2026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46204</v>
      </c>
      <c r="E303" s="1" t="n">
        <v>46288</v>
      </c>
      <c r="F303" t="inlineStr">
        <is>
          <t>DALARNAS LÄN</t>
        </is>
      </c>
      <c r="G303" t="inlineStr">
        <is>
          <t>VANSBRO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46288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46288</v>
      </c>
      <c r="F305" t="inlineStr">
        <is>
          <t>DALARNAS LÄN</t>
        </is>
      </c>
      <c r="G305" t="inlineStr">
        <is>
          <t>VANSBRO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13403-2026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46288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46288</v>
      </c>
      <c r="F307" t="inlineStr">
        <is>
          <t>DALARNAS LÄN</t>
        </is>
      </c>
      <c r="G307" t="inlineStr">
        <is>
          <t>VANSBRO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46288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72635-2021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44546</v>
      </c>
      <c r="E309" s="1" t="n">
        <v>46288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46288</v>
      </c>
      <c r="F310" t="inlineStr">
        <is>
          <t>DALARNAS LÄN</t>
        </is>
      </c>
      <c r="G310" t="inlineStr">
        <is>
          <t>VANSBRO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46288</v>
      </c>
      <c r="F311" t="inlineStr">
        <is>
          <t>DALARNAS LÄN</t>
        </is>
      </c>
      <c r="G311" t="inlineStr">
        <is>
          <t>VANSBRO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43658-2023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46288</v>
      </c>
      <c r="F312" t="inlineStr">
        <is>
          <t>DALARNAS LÄN</t>
        </is>
      </c>
      <c r="G312" t="inlineStr">
        <is>
          <t>VANSBRO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46288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46106</v>
      </c>
      <c r="E314" s="1" t="n">
        <v>46288</v>
      </c>
      <c r="F314" t="inlineStr">
        <is>
          <t>DALARNAS LÄN</t>
        </is>
      </c>
      <c r="G314" t="inlineStr">
        <is>
          <t>VANSBRO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46288</v>
      </c>
      <c r="F315" t="inlineStr">
        <is>
          <t>DALARNAS LÄN</t>
        </is>
      </c>
      <c r="G315" t="inlineStr">
        <is>
          <t>VANSBRO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16669-2026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46112</v>
      </c>
      <c r="E316" s="1" t="n">
        <v>46288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46288</v>
      </c>
      <c r="F317" t="inlineStr">
        <is>
          <t>DALARNAS LÄN</t>
        </is>
      </c>
      <c r="G317" t="inlineStr">
        <is>
          <t>VANSBRO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46288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46203</v>
      </c>
      <c r="E319" s="1" t="n">
        <v>46288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46288</v>
      </c>
      <c r="F320" t="inlineStr">
        <is>
          <t>DALARNAS LÄN</t>
        </is>
      </c>
      <c r="G320" t="inlineStr">
        <is>
          <t>VANSBRO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46203</v>
      </c>
      <c r="E321" s="1" t="n">
        <v>46288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46204</v>
      </c>
      <c r="E322" s="1" t="n">
        <v>46288</v>
      </c>
      <c r="F322" t="inlineStr">
        <is>
          <t>DALARNAS LÄN</t>
        </is>
      </c>
      <c r="G322" t="inlineStr">
        <is>
          <t>VANSBRO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16948-2026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46113</v>
      </c>
      <c r="E323" s="1" t="n">
        <v>46288</v>
      </c>
      <c r="F323" t="inlineStr">
        <is>
          <t>DALARNAS LÄN</t>
        </is>
      </c>
      <c r="G323" t="inlineStr">
        <is>
          <t>VANSBRO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60848-2024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46288</v>
      </c>
      <c r="F324" t="inlineStr">
        <is>
          <t>DALARNAS LÄN</t>
        </is>
      </c>
      <c r="G324" t="inlineStr">
        <is>
          <t>VANSBRO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46288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46288</v>
      </c>
      <c r="F326" t="inlineStr">
        <is>
          <t>DALARNAS LÄN</t>
        </is>
      </c>
      <c r="G326" t="inlineStr">
        <is>
          <t>VANSBRO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46120</v>
      </c>
      <c r="E327" s="1" t="n">
        <v>46288</v>
      </c>
      <c r="F327" t="inlineStr">
        <is>
          <t>DALARNAS LÄN</t>
        </is>
      </c>
      <c r="G327" t="inlineStr">
        <is>
          <t>VANSBRO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46121</v>
      </c>
      <c r="E328" s="1" t="n">
        <v>46288</v>
      </c>
      <c r="F328" t="inlineStr">
        <is>
          <t>DALARNAS LÄN</t>
        </is>
      </c>
      <c r="G328" t="inlineStr">
        <is>
          <t>VANSBRO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46120</v>
      </c>
      <c r="E329" s="1" t="n">
        <v>46288</v>
      </c>
      <c r="F329" t="inlineStr">
        <is>
          <t>DALARNAS LÄN</t>
        </is>
      </c>
      <c r="G329" t="inlineStr">
        <is>
          <t>VANSBRO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46288</v>
      </c>
      <c r="F330" t="inlineStr">
        <is>
          <t>DALARNAS LÄN</t>
        </is>
      </c>
      <c r="G330" t="inlineStr">
        <is>
          <t>VANSBRO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41290-2023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45174</v>
      </c>
      <c r="E331" s="1" t="n">
        <v>46288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46120</v>
      </c>
      <c r="E332" s="1" t="n">
        <v>46288</v>
      </c>
      <c r="F332" t="inlineStr">
        <is>
          <t>DALARNAS LÄN</t>
        </is>
      </c>
      <c r="G332" t="inlineStr">
        <is>
          <t>VANSBRO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26658-2022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44739</v>
      </c>
      <c r="E333" s="1" t="n">
        <v>46288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46124</v>
      </c>
      <c r="E334" s="1" t="n">
        <v>46288</v>
      </c>
      <c r="F334" t="inlineStr">
        <is>
          <t>DALARNAS LÄN</t>
        </is>
      </c>
      <c r="G334" t="inlineStr">
        <is>
          <t>VANSBRO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18140-2026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46125</v>
      </c>
      <c r="E335" s="1" t="n">
        <v>46288</v>
      </c>
      <c r="F335" t="inlineStr">
        <is>
          <t>DALARNAS LÄN</t>
        </is>
      </c>
      <c r="G335" t="inlineStr">
        <is>
          <t>VANSBRO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45363</v>
      </c>
      <c r="E336" s="1" t="n">
        <v>46288</v>
      </c>
      <c r="F336" t="inlineStr">
        <is>
          <t>DALARNAS LÄN</t>
        </is>
      </c>
      <c r="G336" t="inlineStr">
        <is>
          <t>VANSBRO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46128</v>
      </c>
      <c r="E337" s="1" t="n">
        <v>46288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46128</v>
      </c>
      <c r="E338" s="1" t="n">
        <v>46288</v>
      </c>
      <c r="F338" t="inlineStr">
        <is>
          <t>DALARNAS LÄN</t>
        </is>
      </c>
      <c r="G338" t="inlineStr">
        <is>
          <t>VANSBRO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46288</v>
      </c>
      <c r="F339" t="inlineStr">
        <is>
          <t>DALARNAS LÄN</t>
        </is>
      </c>
      <c r="G339" t="inlineStr">
        <is>
          <t>VANSBRO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46288</v>
      </c>
      <c r="F340" t="inlineStr">
        <is>
          <t>DALARNAS LÄN</t>
        </is>
      </c>
      <c r="G340" t="inlineStr">
        <is>
          <t>VANSBRO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51396-2022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44869</v>
      </c>
      <c r="E341" s="1" t="n">
        <v>46288</v>
      </c>
      <c r="F341" t="inlineStr">
        <is>
          <t>DALARNAS LÄN</t>
        </is>
      </c>
      <c r="G341" t="inlineStr">
        <is>
          <t>VANSBRO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46288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18823-2026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46128</v>
      </c>
      <c r="E343" s="1" t="n">
        <v>46288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13.1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46127</v>
      </c>
      <c r="E344" s="1" t="n">
        <v>46288</v>
      </c>
      <c r="F344" t="inlineStr">
        <is>
          <t>DALARNAS LÄN</t>
        </is>
      </c>
      <c r="G344" t="inlineStr">
        <is>
          <t>VANSBRO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45749</v>
      </c>
      <c r="E345" s="1" t="n">
        <v>46288</v>
      </c>
      <c r="F345" t="inlineStr">
        <is>
          <t>DALARNAS LÄN</t>
        </is>
      </c>
      <c r="G345" t="inlineStr">
        <is>
          <t>VANSBRO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36855-2022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44805</v>
      </c>
      <c r="E346" s="1" t="n">
        <v>46288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45299</v>
      </c>
      <c r="E347" s="1" t="n">
        <v>46288</v>
      </c>
      <c r="F347" t="inlineStr">
        <is>
          <t>DALARNAS LÄN</t>
        </is>
      </c>
      <c r="G347" t="inlineStr">
        <is>
          <t>VANSBRO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19809-2026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46135</v>
      </c>
      <c r="E348" s="1" t="n">
        <v>46288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45689</v>
      </c>
      <c r="E349" s="1" t="n">
        <v>46288</v>
      </c>
      <c r="F349" t="inlineStr">
        <is>
          <t>DALARNAS LÄN</t>
        </is>
      </c>
      <c r="G349" t="inlineStr">
        <is>
          <t>VANSBRO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45689</v>
      </c>
      <c r="E350" s="1" t="n">
        <v>46288</v>
      </c>
      <c r="F350" t="inlineStr">
        <is>
          <t>DALARNAS LÄN</t>
        </is>
      </c>
      <c r="G350" t="inlineStr">
        <is>
          <t>VANSBRO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46288</v>
      </c>
      <c r="F351" t="inlineStr">
        <is>
          <t>DALARNAS LÄN</t>
        </is>
      </c>
      <c r="G351" t="inlineStr">
        <is>
          <t>VANSBRO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45244</v>
      </c>
      <c r="E352" s="1" t="n">
        <v>46288</v>
      </c>
      <c r="F352" t="inlineStr">
        <is>
          <t>DALARNAS LÄN</t>
        </is>
      </c>
      <c r="G352" t="inlineStr">
        <is>
          <t>VANSBRO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59736-2022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44908</v>
      </c>
      <c r="E353" s="1" t="n">
        <v>46288</v>
      </c>
      <c r="F353" t="inlineStr">
        <is>
          <t>DALARNAS LÄN</t>
        </is>
      </c>
      <c r="G353" t="inlineStr">
        <is>
          <t>VANSBRO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46288</v>
      </c>
      <c r="F354" t="inlineStr">
        <is>
          <t>DALARNAS LÄN</t>
        </is>
      </c>
      <c r="G354" t="inlineStr">
        <is>
          <t>VANSBRO</t>
        </is>
      </c>
      <c r="H354" t="inlineStr">
        <is>
          <t>Övriga statliga verk och myndigheter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33944-2026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46252</v>
      </c>
      <c r="E355" s="1" t="n">
        <v>46288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33953-2026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46252</v>
      </c>
      <c r="E356" s="1" t="n">
        <v>46288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33949-2026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46252</v>
      </c>
      <c r="E357" s="1" t="n">
        <v>46288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46288</v>
      </c>
      <c r="F358" t="inlineStr">
        <is>
          <t>DALARNAS LÄN</t>
        </is>
      </c>
      <c r="G358" t="inlineStr">
        <is>
          <t>VANSBRO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34207-2026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46288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12.1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34210-2026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46253</v>
      </c>
      <c r="E360" s="1" t="n">
        <v>46288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46288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46253</v>
      </c>
      <c r="E362" s="1" t="n">
        <v>46288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46210</v>
      </c>
      <c r="E363" s="1" t="n">
        <v>46288</v>
      </c>
      <c r="F363" t="inlineStr">
        <is>
          <t>DALARNAS LÄN</t>
        </is>
      </c>
      <c r="G363" t="inlineStr">
        <is>
          <t>VANSBRO</t>
        </is>
      </c>
      <c r="H363" t="inlineStr">
        <is>
          <t>Övriga statliga verk och myndigheter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46288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17.3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46288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18.9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46288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20931-2022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44701</v>
      </c>
      <c r="E367" s="1" t="n">
        <v>46288</v>
      </c>
      <c r="F367" t="inlineStr">
        <is>
          <t>DALARNAS LÄN</t>
        </is>
      </c>
      <c r="G367" t="inlineStr">
        <is>
          <t>VANSBRO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45296</v>
      </c>
      <c r="E368" s="1" t="n">
        <v>46288</v>
      </c>
      <c r="F368" t="inlineStr">
        <is>
          <t>DALARNAS LÄN</t>
        </is>
      </c>
      <c r="G368" t="inlineStr">
        <is>
          <t>VANSBRO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46212</v>
      </c>
      <c r="E369" s="1" t="n">
        <v>46288</v>
      </c>
      <c r="F369" t="inlineStr">
        <is>
          <t>DALARNAS LÄN</t>
        </is>
      </c>
      <c r="G369" t="inlineStr">
        <is>
          <t>VANSBRO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46254</v>
      </c>
      <c r="E370" s="1" t="n">
        <v>46288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45775</v>
      </c>
      <c r="E371" s="1" t="n">
        <v>46288</v>
      </c>
      <c r="F371" t="inlineStr">
        <is>
          <t>DALARNAS LÄN</t>
        </is>
      </c>
      <c r="G371" t="inlineStr">
        <is>
          <t>VANSBRO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46212</v>
      </c>
      <c r="E372" s="1" t="n">
        <v>46288</v>
      </c>
      <c r="F372" t="inlineStr">
        <is>
          <t>DALARNAS LÄN</t>
        </is>
      </c>
      <c r="G372" t="inlineStr">
        <is>
          <t>VANSBRO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46255</v>
      </c>
      <c r="E373" s="1" t="n">
        <v>46288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45008</v>
      </c>
      <c r="E374" s="1" t="n">
        <v>46288</v>
      </c>
      <c r="F374" t="inlineStr">
        <is>
          <t>DALARNAS LÄN</t>
        </is>
      </c>
      <c r="G374" t="inlineStr">
        <is>
          <t>VANSBRO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22756-2024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46288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46288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35042-2026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46259</v>
      </c>
      <c r="E377" s="1" t="n">
        <v>46288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35050-2026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46259</v>
      </c>
      <c r="E378" s="1" t="n">
        <v>46288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öst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46288</v>
      </c>
      <c r="F379" t="inlineStr">
        <is>
          <t>DALARNAS LÄN</t>
        </is>
      </c>
      <c r="G379" t="inlineStr">
        <is>
          <t>VANSBRO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46288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27080-2024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46288</v>
      </c>
      <c r="F381" t="inlineStr">
        <is>
          <t>DALARNAS LÄN</t>
        </is>
      </c>
      <c r="G381" t="inlineStr">
        <is>
          <t>VANSBRO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46261</v>
      </c>
      <c r="E382" s="1" t="n">
        <v>46288</v>
      </c>
      <c r="F382" t="inlineStr">
        <is>
          <t>DALARNAS LÄN</t>
        </is>
      </c>
      <c r="G382" t="inlineStr">
        <is>
          <t>VANSBRO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35579-2026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46262</v>
      </c>
      <c r="E383" s="1" t="n">
        <v>46288</v>
      </c>
      <c r="F383" t="inlineStr">
        <is>
          <t>DALARNAS LÄN</t>
        </is>
      </c>
      <c r="G383" t="inlineStr">
        <is>
          <t>VANSBRO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46265</v>
      </c>
      <c r="E384" s="1" t="n">
        <v>46288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11485-2024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45372</v>
      </c>
      <c r="E385" s="1" t="n">
        <v>46288</v>
      </c>
      <c r="F385" t="inlineStr">
        <is>
          <t>DALARNAS LÄN</t>
        </is>
      </c>
      <c r="G385" t="inlineStr">
        <is>
          <t>VANSBRO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45184</v>
      </c>
      <c r="E386" s="1" t="n">
        <v>46288</v>
      </c>
      <c r="F386" t="inlineStr">
        <is>
          <t>DALARNAS LÄN</t>
        </is>
      </c>
      <c r="G386" t="inlineStr">
        <is>
          <t>VANSBRO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46266</v>
      </c>
      <c r="E387" s="1" t="n">
        <v>46288</v>
      </c>
      <c r="F387" t="inlineStr">
        <is>
          <t>DALARNAS LÄN</t>
        </is>
      </c>
      <c r="G387" t="inlineStr">
        <is>
          <t>VANSBRO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46288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45082</v>
      </c>
      <c r="E389" s="1" t="n">
        <v>46288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46288</v>
      </c>
      <c r="F390" t="inlineStr">
        <is>
          <t>DALARNAS LÄN</t>
        </is>
      </c>
      <c r="G390" t="inlineStr">
        <is>
          <t>VANSBRO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44837</v>
      </c>
      <c r="E391" s="1" t="n">
        <v>46288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46288</v>
      </c>
      <c r="F392" t="inlineStr">
        <is>
          <t>DALARNAS LÄN</t>
        </is>
      </c>
      <c r="G392" t="inlineStr">
        <is>
          <t>VANSBRO</t>
        </is>
      </c>
      <c r="I392" t="n">
        <v>9.9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36375-2026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46268</v>
      </c>
      <c r="E393" s="1" t="n">
        <v>46288</v>
      </c>
      <c r="F393" t="inlineStr">
        <is>
          <t>DALARNAS LÄN</t>
        </is>
      </c>
      <c r="G393" t="inlineStr">
        <is>
          <t>VANSBRO</t>
        </is>
      </c>
      <c r="H393" t="inlineStr">
        <is>
          <t>Kyrkan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46268</v>
      </c>
      <c r="E394" s="1" t="n">
        <v>46288</v>
      </c>
      <c r="F394" t="inlineStr">
        <is>
          <t>DALARNAS LÄN</t>
        </is>
      </c>
      <c r="G394" t="inlineStr">
        <is>
          <t>VANSBRO</t>
        </is>
      </c>
      <c r="H394" t="inlineStr">
        <is>
          <t>Kyrkan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17807-2022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44673</v>
      </c>
      <c r="E395" s="1" t="n">
        <v>46288</v>
      </c>
      <c r="F395" t="inlineStr">
        <is>
          <t>DALARNAS LÄN</t>
        </is>
      </c>
      <c r="G395" t="inlineStr">
        <is>
          <t>VANSBRO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46268</v>
      </c>
      <c r="E396" s="1" t="n">
        <v>46288</v>
      </c>
      <c r="F396" t="inlineStr">
        <is>
          <t>DALARNAS LÄN</t>
        </is>
      </c>
      <c r="G396" t="inlineStr">
        <is>
          <t>VANSBRO</t>
        </is>
      </c>
      <c r="H396" t="inlineStr">
        <is>
          <t>Kyrkan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56129-2023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46288</v>
      </c>
      <c r="F397" t="inlineStr">
        <is>
          <t>DALARNAS LÄN</t>
        </is>
      </c>
      <c r="G397" t="inlineStr">
        <is>
          <t>VANSBRO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46272</v>
      </c>
      <c r="E398" s="1" t="n">
        <v>46288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46272</v>
      </c>
      <c r="E399" s="1" t="n">
        <v>46288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33520-2024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45519</v>
      </c>
      <c r="E400" s="1" t="n">
        <v>46288</v>
      </c>
      <c r="F400" t="inlineStr">
        <is>
          <t>DALARNAS LÄN</t>
        </is>
      </c>
      <c r="G400" t="inlineStr">
        <is>
          <t>VANSBRO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51606-2023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45222</v>
      </c>
      <c r="E401" s="1" t="n">
        <v>46288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36706-2026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46272</v>
      </c>
      <c r="E402" s="1" t="n">
        <v>46288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48005-2022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44855</v>
      </c>
      <c r="E403" s="1" t="n">
        <v>46288</v>
      </c>
      <c r="F403" t="inlineStr">
        <is>
          <t>DALARNAS LÄN</t>
        </is>
      </c>
      <c r="G403" t="inlineStr">
        <is>
          <t>VANSBRO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46288</v>
      </c>
      <c r="F404" t="inlineStr">
        <is>
          <t>DALARNAS LÄN</t>
        </is>
      </c>
      <c r="G404" t="inlineStr">
        <is>
          <t>VANSBRO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46275</v>
      </c>
      <c r="E405" s="1" t="n">
        <v>46288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46275</v>
      </c>
      <c r="E406" s="1" t="n">
        <v>46288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37467-2026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46275</v>
      </c>
      <c r="E407" s="1" t="n">
        <v>46288</v>
      </c>
      <c r="F407" t="inlineStr">
        <is>
          <t>DALARNAS LÄN</t>
        </is>
      </c>
      <c r="G407" t="inlineStr">
        <is>
          <t>VANSBRO</t>
        </is>
      </c>
      <c r="H407" t="inlineStr">
        <is>
          <t>Kommuner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60031-2022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44909</v>
      </c>
      <c r="E408" s="1" t="n">
        <v>46288</v>
      </c>
      <c r="F408" t="inlineStr">
        <is>
          <t>DALARNAS LÄN</t>
        </is>
      </c>
      <c r="G408" t="inlineStr">
        <is>
          <t>VANSBRO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46275</v>
      </c>
      <c r="E409" s="1" t="n">
        <v>46288</v>
      </c>
      <c r="F409" t="inlineStr">
        <is>
          <t>DALARNAS LÄN</t>
        </is>
      </c>
      <c r="G409" t="inlineStr">
        <is>
          <t>VANSBRO</t>
        </is>
      </c>
      <c r="H409" t="inlineStr">
        <is>
          <t>Kyrkan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37247-2026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46274</v>
      </c>
      <c r="E410" s="1" t="n">
        <v>46288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46231</v>
      </c>
      <c r="E411" s="1" t="n">
        <v>46288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20.2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5420-2024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45331</v>
      </c>
      <c r="E412" s="1" t="n">
        <v>46288</v>
      </c>
      <c r="F412" t="inlineStr">
        <is>
          <t>DALARNAS LÄN</t>
        </is>
      </c>
      <c r="G412" t="inlineStr">
        <is>
          <t>VANSBRO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46288</v>
      </c>
      <c r="F413" t="inlineStr">
        <is>
          <t>DALARNAS LÄN</t>
        </is>
      </c>
      <c r="G413" t="inlineStr">
        <is>
          <t>VANSBRO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11274-2024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45371</v>
      </c>
      <c r="E414" s="1" t="n">
        <v>46288</v>
      </c>
      <c r="F414" t="inlineStr">
        <is>
          <t>DALARNAS LÄN</t>
        </is>
      </c>
      <c r="G414" t="inlineStr">
        <is>
          <t>VANSBRO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44930</v>
      </c>
      <c r="E415" s="1" t="n">
        <v>46288</v>
      </c>
      <c r="F415" t="inlineStr">
        <is>
          <t>DALARNAS LÄN</t>
        </is>
      </c>
      <c r="G415" t="inlineStr">
        <is>
          <t>VANSBRO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46276</v>
      </c>
      <c r="E416" s="1" t="n">
        <v>46288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56986-2023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46288</v>
      </c>
      <c r="F417" t="inlineStr">
        <is>
          <t>DALARNAS LÄN</t>
        </is>
      </c>
      <c r="G417" t="inlineStr">
        <is>
          <t>VANSBRO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46276</v>
      </c>
      <c r="E418" s="1" t="n">
        <v>46288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57903-2024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45631</v>
      </c>
      <c r="E419" s="1" t="n">
        <v>46288</v>
      </c>
      <c r="F419" t="inlineStr">
        <is>
          <t>DALARNAS LÄN</t>
        </is>
      </c>
      <c r="G419" t="inlineStr">
        <is>
          <t>VANSBRO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38253-2026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46281</v>
      </c>
      <c r="E420" s="1" t="n">
        <v>46288</v>
      </c>
      <c r="F420" t="inlineStr">
        <is>
          <t>DALARNAS LÄN</t>
        </is>
      </c>
      <c r="G420" t="inlineStr">
        <is>
          <t>VANSBRO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46280</v>
      </c>
      <c r="E421" s="1" t="n">
        <v>46288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46280</v>
      </c>
      <c r="E422" s="1" t="n">
        <v>46288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46280</v>
      </c>
      <c r="E423" s="1" t="n">
        <v>46288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46288</v>
      </c>
      <c r="F424" t="inlineStr">
        <is>
          <t>DALARNAS LÄN</t>
        </is>
      </c>
      <c r="G424" t="inlineStr">
        <is>
          <t>VANSBRO</t>
        </is>
      </c>
      <c r="H424" t="inlineStr">
        <is>
          <t>Kommuner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37987-2026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46280</v>
      </c>
      <c r="E425" s="1" t="n">
        <v>46288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öst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32393-2026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46238</v>
      </c>
      <c r="E426" s="1" t="n">
        <v>46288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29.6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38270-2026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46281</v>
      </c>
      <c r="E427" s="1" t="n">
        <v>46288</v>
      </c>
      <c r="F427" t="inlineStr">
        <is>
          <t>DALARNAS LÄN</t>
        </is>
      </c>
      <c r="G427" t="inlineStr">
        <is>
          <t>VANSBRO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5581-2023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44960</v>
      </c>
      <c r="E428" s="1" t="n">
        <v>46288</v>
      </c>
      <c r="F428" t="inlineStr">
        <is>
          <t>DALARNAS LÄN</t>
        </is>
      </c>
      <c r="G428" t="inlineStr">
        <is>
          <t>VANSBRO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46281</v>
      </c>
      <c r="E429" s="1" t="n">
        <v>46288</v>
      </c>
      <c r="F429" t="inlineStr">
        <is>
          <t>DALARNAS LÄN</t>
        </is>
      </c>
      <c r="G429" t="inlineStr">
        <is>
          <t>VANSBRO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46281</v>
      </c>
      <c r="E430" s="1" t="n">
        <v>46288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57947-2023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45247</v>
      </c>
      <c r="E431" s="1" t="n">
        <v>46288</v>
      </c>
      <c r="F431" t="inlineStr">
        <is>
          <t>DALARNAS LÄN</t>
        </is>
      </c>
      <c r="G431" t="inlineStr">
        <is>
          <t>VANSBRO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46258</v>
      </c>
      <c r="E432" s="1" t="n">
        <v>46288</v>
      </c>
      <c r="F432" t="inlineStr">
        <is>
          <t>DALARNAS LÄN</t>
        </is>
      </c>
      <c r="G432" t="inlineStr">
        <is>
          <t>VANSBRO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44931</v>
      </c>
      <c r="E433" s="1" t="n">
        <v>46288</v>
      </c>
      <c r="F433" t="inlineStr">
        <is>
          <t>DALARNAS LÄN</t>
        </is>
      </c>
      <c r="G433" t="inlineStr">
        <is>
          <t>VANSBRO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46283</v>
      </c>
      <c r="E434" s="1" t="n">
        <v>46288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38627-2026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46283</v>
      </c>
      <c r="E435" s="1" t="n">
        <v>46288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47790-2024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45588</v>
      </c>
      <c r="E436" s="1" t="n">
        <v>46288</v>
      </c>
      <c r="F436" t="inlineStr">
        <is>
          <t>DALARNAS LÄN</t>
        </is>
      </c>
      <c r="G436" t="inlineStr">
        <is>
          <t>VANSBRO</t>
        </is>
      </c>
      <c r="H436" t="inlineStr">
        <is>
          <t>Övriga statliga verk och myndigheter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45763</v>
      </c>
      <c r="E437" s="1" t="n">
        <v>46288</v>
      </c>
      <c r="F437" t="inlineStr">
        <is>
          <t>DALARNAS LÄN</t>
        </is>
      </c>
      <c r="G437" t="inlineStr">
        <is>
          <t>VANSBRO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40382-2023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46288</v>
      </c>
      <c r="F438" t="inlineStr">
        <is>
          <t>DALARNAS LÄN</t>
        </is>
      </c>
      <c r="G438" t="inlineStr">
        <is>
          <t>VANSBRO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45491</v>
      </c>
      <c r="E439" s="1" t="n">
        <v>46288</v>
      </c>
      <c r="F439" t="inlineStr">
        <is>
          <t>DALARNAS LÄN</t>
        </is>
      </c>
      <c r="G439" t="inlineStr">
        <is>
          <t>VANSBRO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45672</v>
      </c>
      <c r="E440" s="1" t="n">
        <v>46288</v>
      </c>
      <c r="F440" t="inlineStr">
        <is>
          <t>DALARNAS LÄN</t>
        </is>
      </c>
      <c r="G440" t="inlineStr">
        <is>
          <t>VANSBRO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46286</v>
      </c>
      <c r="E441" s="1" t="n">
        <v>46288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18306-2025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45762</v>
      </c>
      <c r="E442" s="1" t="n">
        <v>46288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45722</v>
      </c>
      <c r="E443" s="1" t="n">
        <v>46288</v>
      </c>
      <c r="F443" t="inlineStr">
        <is>
          <t>DALARNAS LÄN</t>
        </is>
      </c>
      <c r="G443" t="inlineStr">
        <is>
          <t>VANSBRO</t>
        </is>
      </c>
      <c r="I443" t="n">
        <v>15.5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6643-2025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45700</v>
      </c>
      <c r="E444" s="1" t="n">
        <v>46288</v>
      </c>
      <c r="F444" t="inlineStr">
        <is>
          <t>DALARNAS LÄN</t>
        </is>
      </c>
      <c r="G444" t="inlineStr">
        <is>
          <t>VANSBRO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61515-2022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44916</v>
      </c>
      <c r="E445" s="1" t="n">
        <v>46288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45215</v>
      </c>
      <c r="E446" s="1" t="n">
        <v>46288</v>
      </c>
      <c r="F446" t="inlineStr">
        <is>
          <t>DALARNAS LÄN</t>
        </is>
      </c>
      <c r="G446" t="inlineStr">
        <is>
          <t>VANSBRO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45215</v>
      </c>
      <c r="E447" s="1" t="n">
        <v>46288</v>
      </c>
      <c r="F447" t="inlineStr">
        <is>
          <t>DALARNAS LÄN</t>
        </is>
      </c>
      <c r="G447" t="inlineStr">
        <is>
          <t>VANSBRO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21616-2025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45783</v>
      </c>
      <c r="E448" s="1" t="n">
        <v>46288</v>
      </c>
      <c r="F448" t="inlineStr">
        <is>
          <t>DALARNAS LÄN</t>
        </is>
      </c>
      <c r="G448" t="inlineStr">
        <is>
          <t>VANSBRO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45674</v>
      </c>
      <c r="E449" s="1" t="n">
        <v>46288</v>
      </c>
      <c r="F449" t="inlineStr">
        <is>
          <t>DALARNAS LÄN</t>
        </is>
      </c>
      <c r="G449" t="inlineStr">
        <is>
          <t>VANSBRO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21656-2025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45783</v>
      </c>
      <c r="E450" s="1" t="n">
        <v>46288</v>
      </c>
      <c r="F450" t="inlineStr">
        <is>
          <t>DALARNAS LÄN</t>
        </is>
      </c>
      <c r="G450" t="inlineStr">
        <is>
          <t>VANSBRO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29288-2024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45483</v>
      </c>
      <c r="E451" s="1" t="n">
        <v>46288</v>
      </c>
      <c r="F451" t="inlineStr">
        <is>
          <t>DALARNAS LÄN</t>
        </is>
      </c>
      <c r="G451" t="inlineStr">
        <is>
          <t>VANSBRO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45492</v>
      </c>
      <c r="E452" s="1" t="n">
        <v>46288</v>
      </c>
      <c r="F452" t="inlineStr">
        <is>
          <t>DALARNAS LÄN</t>
        </is>
      </c>
      <c r="G452" t="inlineStr">
        <is>
          <t>VANSBRO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23085-2022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44719</v>
      </c>
      <c r="E453" s="1" t="n">
        <v>46288</v>
      </c>
      <c r="F453" t="inlineStr">
        <is>
          <t>DALARNAS LÄN</t>
        </is>
      </c>
      <c r="G453" t="inlineStr">
        <is>
          <t>VANSBRO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23792-2025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45793</v>
      </c>
      <c r="E454" s="1" t="n">
        <v>46288</v>
      </c>
      <c r="F454" t="inlineStr">
        <is>
          <t>DALARNAS LÄN</t>
        </is>
      </c>
      <c r="G454" t="inlineStr">
        <is>
          <t>VANSBRO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45688</v>
      </c>
      <c r="E455" s="1" t="n">
        <v>46288</v>
      </c>
      <c r="F455" t="inlineStr">
        <is>
          <t>DALARNAS LÄN</t>
        </is>
      </c>
      <c r="G455" t="inlineStr">
        <is>
          <t>VANSBRO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29411-2024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45483</v>
      </c>
      <c r="E456" s="1" t="n">
        <v>46288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35516-2024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45531</v>
      </c>
      <c r="E457" s="1" t="n">
        <v>46288</v>
      </c>
      <c r="F457" t="inlineStr">
        <is>
          <t>DALARNAS LÄN</t>
        </is>
      </c>
      <c r="G457" t="inlineStr">
        <is>
          <t>VANSBRO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24522-2025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45798</v>
      </c>
      <c r="E458" s="1" t="n">
        <v>46288</v>
      </c>
      <c r="F458" t="inlineStr">
        <is>
          <t>DALARNAS LÄN</t>
        </is>
      </c>
      <c r="G458" t="inlineStr">
        <is>
          <t>VANSBRO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45807</v>
      </c>
      <c r="E459" s="1" t="n">
        <v>46288</v>
      </c>
      <c r="F459" t="inlineStr">
        <is>
          <t>DALARNAS LÄN</t>
        </is>
      </c>
      <c r="G459" t="inlineStr">
        <is>
          <t>VANSBRO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45807</v>
      </c>
      <c r="E460" s="1" t="n">
        <v>46288</v>
      </c>
      <c r="F460" t="inlineStr">
        <is>
          <t>DALARNAS LÄN</t>
        </is>
      </c>
      <c r="G460" t="inlineStr">
        <is>
          <t>VANSBRO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46288</v>
      </c>
      <c r="F461" t="inlineStr">
        <is>
          <t>DALARNAS LÄN</t>
        </is>
      </c>
      <c r="G461" t="inlineStr">
        <is>
          <t>VANSBRO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45811</v>
      </c>
      <c r="E462" s="1" t="n">
        <v>46288</v>
      </c>
      <c r="F462" t="inlineStr">
        <is>
          <t>DALARNAS LÄN</t>
        </is>
      </c>
      <c r="G462" t="inlineStr">
        <is>
          <t>VANSBRO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45695</v>
      </c>
      <c r="E463" s="1" t="n">
        <v>46288</v>
      </c>
      <c r="F463" t="inlineStr">
        <is>
          <t>DALARNAS LÄN</t>
        </is>
      </c>
      <c r="G463" t="inlineStr">
        <is>
          <t>VANSBRO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28469-2025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46288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45824</v>
      </c>
      <c r="E465" s="1" t="n">
        <v>46288</v>
      </c>
      <c r="F465" t="inlineStr">
        <is>
          <t>DALARNAS LÄN</t>
        </is>
      </c>
      <c r="G465" t="inlineStr">
        <is>
          <t>VANSBRO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31196-2025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45832</v>
      </c>
      <c r="E466" s="1" t="n">
        <v>46288</v>
      </c>
      <c r="F466" t="inlineStr">
        <is>
          <t>DALARNAS LÄN</t>
        </is>
      </c>
      <c r="G466" t="inlineStr">
        <is>
          <t>VANSBRO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46288</v>
      </c>
      <c r="F467" t="inlineStr">
        <is>
          <t>DALARNAS LÄN</t>
        </is>
      </c>
      <c r="G467" t="inlineStr">
        <is>
          <t>VANSBRO</t>
        </is>
      </c>
      <c r="I467" t="n">
        <v>27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45833</v>
      </c>
      <c r="E468" s="1" t="n">
        <v>46288</v>
      </c>
      <c r="F468" t="inlineStr">
        <is>
          <t>DALARNAS LÄN</t>
        </is>
      </c>
      <c r="G468" t="inlineStr">
        <is>
          <t>VANSBRO</t>
        </is>
      </c>
      <c r="I468" t="n">
        <v>9.1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45835</v>
      </c>
      <c r="E469" s="1" t="n">
        <v>46288</v>
      </c>
      <c r="F469" t="inlineStr">
        <is>
          <t>DALARNAS LÄN</t>
        </is>
      </c>
      <c r="G469" t="inlineStr">
        <is>
          <t>VANSBRO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46288</v>
      </c>
      <c r="F470" t="inlineStr">
        <is>
          <t>DALARNAS LÄN</t>
        </is>
      </c>
      <c r="G470" t="inlineStr">
        <is>
          <t>VANSBRO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33056-2025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46288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öst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33036-2025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46288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öst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45846</v>
      </c>
      <c r="E473" s="1" t="n">
        <v>46288</v>
      </c>
      <c r="F473" t="inlineStr">
        <is>
          <t>DALARNAS LÄN</t>
        </is>
      </c>
      <c r="G473" t="inlineStr">
        <is>
          <t>VANSBRO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45854</v>
      </c>
      <c r="E474" s="1" t="n">
        <v>46288</v>
      </c>
      <c r="F474" t="inlineStr">
        <is>
          <t>DALARNAS LÄN</t>
        </is>
      </c>
      <c r="G474" t="inlineStr">
        <is>
          <t>VANSBRO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45756</v>
      </c>
      <c r="E475" s="1" t="n">
        <v>46288</v>
      </c>
      <c r="F475" t="inlineStr">
        <is>
          <t>DALARNAS LÄN</t>
        </is>
      </c>
      <c r="G475" t="inlineStr">
        <is>
          <t>VANSBRO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45860</v>
      </c>
      <c r="E476" s="1" t="n">
        <v>46288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16830-2025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45754</v>
      </c>
      <c r="E477" s="1" t="n">
        <v>46288</v>
      </c>
      <c r="F477" t="inlineStr">
        <is>
          <t>DALARNAS LÄN</t>
        </is>
      </c>
      <c r="G477" t="inlineStr">
        <is>
          <t>VANSBRO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36382-2025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45868</v>
      </c>
      <c r="E478" s="1" t="n">
        <v>46288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öst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1286-2024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45401</v>
      </c>
      <c r="E479" s="1" t="n">
        <v>46288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220.8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4782-2022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44802</v>
      </c>
      <c r="E480" s="1" t="n">
        <v>46288</v>
      </c>
      <c r="F480" t="inlineStr">
        <is>
          <t>DALARNAS LÄN</t>
        </is>
      </c>
      <c r="G480" t="inlineStr">
        <is>
          <t>VANSBRO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3514-2023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45208</v>
      </c>
      <c r="E481" s="1" t="n">
        <v>46288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37.8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409-2025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45699</v>
      </c>
      <c r="E482" s="1" t="n">
        <v>46288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277.1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91-2026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46035</v>
      </c>
      <c r="E483" s="1" t="n">
        <v>46288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153.5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747-2026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46089</v>
      </c>
      <c r="E484" s="1" t="n">
        <v>46288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82.40000000000001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2026-09-23T01:55:36Z</dcterms:created>
  <dcterms:modified xmlns:dcterms="http://purl.org/dc/terms/" xmlns:xsi="http://www.w3.org/2001/XMLSchema-instance" xsi:type="dcterms:W3CDTF">2026-09-23T01:55:37Z</dcterms:modified>
</cp:coreProperties>
</file>