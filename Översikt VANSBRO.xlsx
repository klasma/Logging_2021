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46266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46266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46266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46266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46266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46266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46266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46266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46266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46266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46266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46266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46266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46266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46266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46266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46266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46266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46266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46266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46266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46266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46266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46266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46266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46266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46266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46266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46266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46266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46266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46266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46266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46266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46266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46266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46266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46266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37219-2024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46266</v>
      </c>
      <c r="F48" t="inlineStr">
        <is>
          <t>DALARNAS LÄN</t>
        </is>
      </c>
      <c r="G48" t="inlineStr">
        <is>
          <t>VANSBRO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Tjäder</t>
        </is>
      </c>
      <c r="W48">
        <f>HYPERLINK("https://klasma.github.io/Logging_2021/artfynd/A 37219-2024 artfynd.xlsx", "A 37219-2024")</f>
        <v/>
      </c>
      <c r="X48">
        <f>HYPERLINK("https://klasma.github.io/Logging_2021/kartor/A 37219-2024 karta.png", "A 37219-2024")</f>
        <v/>
      </c>
      <c r="Y48">
        <f>HYPERLINK("https://klasma.github.io/Logging_2021/kartor_geotiff/A 37219-2024 georefererad karta.tif", "A 37219-2024")</f>
        <v/>
      </c>
      <c r="AA48">
        <f>HYPERLINK("https://klasma.github.io/Logging_2021/klagomål/A 37219-2024 FSC-klagomål.docx", "A 37219-2024")</f>
        <v/>
      </c>
      <c r="AB48">
        <f>HYPERLINK("https://klasma.github.io/Logging_2021/klagomålsmail/A 37219-2024 FSC-klagomål mail.docx", "A 37219-2024")</f>
        <v/>
      </c>
      <c r="AC48">
        <f>HYPERLINK("https://klasma.github.io/Logging_2021/tillsyn/A 37219-2024 tillsynsbegäran.docx", "A 37219-2024")</f>
        <v/>
      </c>
      <c r="AD48">
        <f>HYPERLINK("https://klasma.github.io/Logging_2021/tillsynsmail/A 37219-2024 tillsynsbegäran mail.docx", "A 37219-2024")</f>
        <v/>
      </c>
      <c r="AE48">
        <f>HYPERLINK("https://klasma.github.io/Logging_2021/fåglar/A 37219-2024 prioriterade fågelarter.docx", "A 37219-2024")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46266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46266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46266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26756-2026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46266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11.4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HYPERLINK("https://klasma.github.io/Logging_2021/artfynd/A 26756-2026 artfynd.xlsx", "A 26756-2026")</f>
        <v/>
      </c>
      <c r="X52">
        <f>HYPERLINK("https://klasma.github.io/Logging_2021/kartor/A 26756-2026 karta.png", "A 26756-2026")</f>
        <v/>
      </c>
      <c r="Y52">
        <f>HYPERLINK("https://klasma.github.io/Logging_2021/kartor_geotiff/A 26756-2026 georefererad karta.tif", "A 26756-2026")</f>
        <v/>
      </c>
      <c r="AA52">
        <f>HYPERLINK("https://klasma.github.io/Logging_2021/klagomål/A 26756-2026 FSC-klagomål.docx", "A 26756-2026")</f>
        <v/>
      </c>
      <c r="AB52">
        <f>HYPERLINK("https://klasma.github.io/Logging_2021/klagomålsmail/A 26756-2026 FSC-klagomål mail.docx", "A 26756-2026")</f>
        <v/>
      </c>
      <c r="AC52">
        <f>HYPERLINK("https://klasma.github.io/Logging_2021/tillsyn/A 26756-2026 tillsynsbegäran.docx", "A 26756-2026")</f>
        <v/>
      </c>
      <c r="AD52">
        <f>HYPERLINK("https://klasma.github.io/Logging_2021/tillsynsmail/A 26756-2026 tillsynsbegäran mail.docx", "A 26756-2026")</f>
        <v/>
      </c>
      <c r="AE52">
        <f>HYPERLINK("https://klasma.github.io/Logging_2021/fåglar/A 26756-2026 prioriterade fågelarter.docx", "A 26756-2026")</f>
        <v/>
      </c>
    </row>
    <row r="53" ht="15" customHeight="1">
      <c r="A53" t="inlineStr">
        <is>
          <t>A 35533-2026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46266</v>
      </c>
      <c r="F53" t="inlineStr">
        <is>
          <t>DALARNAS LÄN</t>
        </is>
      </c>
      <c r="G53" t="inlineStr">
        <is>
          <t>VANSBRO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HYPERLINK("https://klasma.github.io/Logging_2021/artfynd/A 35533-2026 artfynd.xlsx", "A 35533-2026")</f>
        <v/>
      </c>
      <c r="X53">
        <f>HYPERLINK("https://klasma.github.io/Logging_2021/kartor/A 35533-2026 karta.png", "A 35533-2026")</f>
        <v/>
      </c>
      <c r="Y53">
        <f>HYPERLINK("https://klasma.github.io/Logging_2021/kartor_geotiff/A 35533-2026 georefererad karta.tif", "A 35533-2026")</f>
        <v/>
      </c>
      <c r="Z53">
        <f>HYPERLINK("https://klasma.github.io/Logging_2021/knärot/A 35533-2026 karta knärot.png", "A 35533-2026")</f>
        <v/>
      </c>
      <c r="AA53">
        <f>HYPERLINK("https://klasma.github.io/Logging_2021/klagomål/A 35533-2026 FSC-klagomål.docx", "A 35533-2026")</f>
        <v/>
      </c>
      <c r="AB53">
        <f>HYPERLINK("https://klasma.github.io/Logging_2021/klagomålsmail/A 35533-2026 FSC-klagomål mail.docx", "A 35533-2026")</f>
        <v/>
      </c>
      <c r="AC53">
        <f>HYPERLINK("https://klasma.github.io/Logging_2021/tillsyn/A 35533-2026 tillsynsbegäran.docx", "A 35533-2026")</f>
        <v/>
      </c>
      <c r="AD53">
        <f>HYPERLINK("https://klasma.github.io/Logging_2021/tillsynsmail/A 35533-2026 tillsynsbegäran mail.docx", "A 35533-2026")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46266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46266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46266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46266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46266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46266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46266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46266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46266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46266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46266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46266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46266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46266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46266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46266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46266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46266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46266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46266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46266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46266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46266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46266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46266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46266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46266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46266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46266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46266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46266</v>
      </c>
      <c r="F88" t="inlineStr">
        <is>
          <t>DALARNAS LÄN</t>
        </is>
      </c>
      <c r="G88" t="inlineStr">
        <is>
          <t>VANSBRO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45498</v>
      </c>
      <c r="E89" s="1" t="n">
        <v>46266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44442</v>
      </c>
      <c r="E90" s="1" t="n">
        <v>46266</v>
      </c>
      <c r="F90" t="inlineStr">
        <is>
          <t>DALARNAS LÄN</t>
        </is>
      </c>
      <c r="G90" t="inlineStr">
        <is>
          <t>VANSBRO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46266</v>
      </c>
      <c r="F91" t="inlineStr">
        <is>
          <t>DALARNAS LÄN</t>
        </is>
      </c>
      <c r="G91" t="inlineStr">
        <is>
          <t>VANSBRO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44957</v>
      </c>
      <c r="E92" s="1" t="n">
        <v>46266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55078-2022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44886</v>
      </c>
      <c r="E93" s="1" t="n">
        <v>46266</v>
      </c>
      <c r="F93" t="inlineStr">
        <is>
          <t>DALARNAS LÄN</t>
        </is>
      </c>
      <c r="G93" t="inlineStr">
        <is>
          <t>VANSBRO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46266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46266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46266</v>
      </c>
      <c r="F96" t="inlineStr">
        <is>
          <t>DALARNAS LÄN</t>
        </is>
      </c>
      <c r="G96" t="inlineStr">
        <is>
          <t>VANSBRO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46266</v>
      </c>
      <c r="F97" t="inlineStr">
        <is>
          <t>DALARNAS LÄN</t>
        </is>
      </c>
      <c r="G97" t="inlineStr">
        <is>
          <t>VANSBRO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46266</v>
      </c>
      <c r="F98" t="inlineStr">
        <is>
          <t>DALARNAS LÄN</t>
        </is>
      </c>
      <c r="G98" t="inlineStr">
        <is>
          <t>VANSBRO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46266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11408-2025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45726</v>
      </c>
      <c r="E100" s="1" t="n">
        <v>46266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46266</v>
      </c>
      <c r="F101" t="inlineStr">
        <is>
          <t>DALARNAS LÄN</t>
        </is>
      </c>
      <c r="G101" t="inlineStr">
        <is>
          <t>VANSBRO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45194</v>
      </c>
      <c r="E102" s="1" t="n">
        <v>46266</v>
      </c>
      <c r="F102" t="inlineStr">
        <is>
          <t>DALARNAS LÄN</t>
        </is>
      </c>
      <c r="G102" t="inlineStr">
        <is>
          <t>VANSBRO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21616-2025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46266</v>
      </c>
      <c r="F103" t="inlineStr">
        <is>
          <t>DALARNAS LÄN</t>
        </is>
      </c>
      <c r="G103" t="inlineStr">
        <is>
          <t>VANSBRO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45674</v>
      </c>
      <c r="E104" s="1" t="n">
        <v>46266</v>
      </c>
      <c r="F104" t="inlineStr">
        <is>
          <t>DALARNAS LÄN</t>
        </is>
      </c>
      <c r="G104" t="inlineStr">
        <is>
          <t>VANSBRO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46266</v>
      </c>
      <c r="F105" t="inlineStr">
        <is>
          <t>DALARNAS LÄN</t>
        </is>
      </c>
      <c r="G105" t="inlineStr">
        <is>
          <t>VANSBRO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46266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46266</v>
      </c>
      <c r="F107" t="inlineStr">
        <is>
          <t>DALARNAS LÄN</t>
        </is>
      </c>
      <c r="G107" t="inlineStr">
        <is>
          <t>VANSBRO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46266</v>
      </c>
      <c r="F108" t="inlineStr">
        <is>
          <t>DALARNAS LÄN</t>
        </is>
      </c>
      <c r="G108" t="inlineStr">
        <is>
          <t>VANSBRO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46266</v>
      </c>
      <c r="F109" t="inlineStr">
        <is>
          <t>DALARNAS LÄN</t>
        </is>
      </c>
      <c r="G109" t="inlineStr">
        <is>
          <t>VANSBRO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46266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öst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46266</v>
      </c>
      <c r="F111" t="inlineStr">
        <is>
          <t>DALARNAS LÄN</t>
        </is>
      </c>
      <c r="G111" t="inlineStr">
        <is>
          <t>VANSBRO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46266</v>
      </c>
      <c r="F112" t="inlineStr">
        <is>
          <t>DALARNAS LÄN</t>
        </is>
      </c>
      <c r="G112" t="inlineStr">
        <is>
          <t>VANSBRO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38670-2025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45884</v>
      </c>
      <c r="E113" s="1" t="n">
        <v>46266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46266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46266</v>
      </c>
      <c r="F115" t="inlineStr">
        <is>
          <t>DALARNAS LÄN</t>
        </is>
      </c>
      <c r="G115" t="inlineStr">
        <is>
          <t>VANSBRO</t>
        </is>
      </c>
      <c r="H115" t="inlineStr">
        <is>
          <t>Övriga statliga verk och myndigheter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48840-2025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45937</v>
      </c>
      <c r="E116" s="1" t="n">
        <v>46266</v>
      </c>
      <c r="F116" t="inlineStr">
        <is>
          <t>DALARNAS LÄN</t>
        </is>
      </c>
      <c r="G116" t="inlineStr">
        <is>
          <t>VANSBRO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46266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46266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46266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46266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46266</v>
      </c>
      <c r="F121" t="inlineStr">
        <is>
          <t>DALARNAS LÄN</t>
        </is>
      </c>
      <c r="G121" t="inlineStr">
        <is>
          <t>VANSBRO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44796</v>
      </c>
      <c r="E122" s="1" t="n">
        <v>46266</v>
      </c>
      <c r="F122" t="inlineStr">
        <is>
          <t>DALARNAS LÄN</t>
        </is>
      </c>
      <c r="G122" t="inlineStr">
        <is>
          <t>VANSBRO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46266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45793</v>
      </c>
      <c r="E124" s="1" t="n">
        <v>46266</v>
      </c>
      <c r="F124" t="inlineStr">
        <is>
          <t>DALARNAS LÄN</t>
        </is>
      </c>
      <c r="G124" t="inlineStr">
        <is>
          <t>VANSBRO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46266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öst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45688</v>
      </c>
      <c r="E126" s="1" t="n">
        <v>46266</v>
      </c>
      <c r="F126" t="inlineStr">
        <is>
          <t>DALARNAS LÄN</t>
        </is>
      </c>
      <c r="G126" t="inlineStr">
        <is>
          <t>VANSBRO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46266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46266</v>
      </c>
      <c r="F128" t="inlineStr">
        <is>
          <t>DALARNAS LÄN</t>
        </is>
      </c>
      <c r="G128" t="inlineStr">
        <is>
          <t>VANSBRO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45483</v>
      </c>
      <c r="E129" s="1" t="n">
        <v>46266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46266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öst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45939</v>
      </c>
      <c r="E131" s="1" t="n">
        <v>46266</v>
      </c>
      <c r="F131" t="inlineStr">
        <is>
          <t>DALARNAS LÄN</t>
        </is>
      </c>
      <c r="G131" t="inlineStr">
        <is>
          <t>VANSBRO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46266</v>
      </c>
      <c r="F132" t="inlineStr">
        <is>
          <t>DALARNAS LÄN</t>
        </is>
      </c>
      <c r="G132" t="inlineStr">
        <is>
          <t>VANSBRO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46266</v>
      </c>
      <c r="F133" t="inlineStr">
        <is>
          <t>DALARNAS LÄN</t>
        </is>
      </c>
      <c r="G133" t="inlineStr">
        <is>
          <t>VANSBRO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46266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46266</v>
      </c>
      <c r="F135" t="inlineStr">
        <is>
          <t>DALARNAS LÄN</t>
        </is>
      </c>
      <c r="G135" t="inlineStr">
        <is>
          <t>VANSBRO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59142-2024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46266</v>
      </c>
      <c r="F136" t="inlineStr">
        <is>
          <t>DALARNAS LÄN</t>
        </is>
      </c>
      <c r="G136" t="inlineStr">
        <is>
          <t>VANSBRO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46266</v>
      </c>
      <c r="F137" t="inlineStr">
        <is>
          <t>DALARNAS LÄN</t>
        </is>
      </c>
      <c r="G137" t="inlineStr">
        <is>
          <t>VANSBRO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46266</v>
      </c>
      <c r="F138" t="inlineStr">
        <is>
          <t>DALARNAS LÄN</t>
        </is>
      </c>
      <c r="G138" t="inlineStr">
        <is>
          <t>VANSBRO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46266</v>
      </c>
      <c r="F139" t="inlineStr">
        <is>
          <t>DALARNAS LÄN</t>
        </is>
      </c>
      <c r="G139" t="inlineStr">
        <is>
          <t>VANSBRO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46266</v>
      </c>
      <c r="F140" t="inlineStr">
        <is>
          <t>DALARNAS LÄN</t>
        </is>
      </c>
      <c r="G140" t="inlineStr">
        <is>
          <t>VANSBRO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46266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46266</v>
      </c>
      <c r="F142" t="inlineStr">
        <is>
          <t>DALARNAS LÄN</t>
        </is>
      </c>
      <c r="G142" t="inlineStr">
        <is>
          <t>VANSBRO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46266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46266</v>
      </c>
      <c r="F144" t="inlineStr">
        <is>
          <t>DALARNAS LÄN</t>
        </is>
      </c>
      <c r="G144" t="inlineStr">
        <is>
          <t>VANSBRO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46266</v>
      </c>
      <c r="F145" t="inlineStr">
        <is>
          <t>DALARNAS LÄN</t>
        </is>
      </c>
      <c r="G145" t="inlineStr">
        <is>
          <t>VANSBRO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46266</v>
      </c>
      <c r="F146" t="inlineStr">
        <is>
          <t>DALARNAS LÄN</t>
        </is>
      </c>
      <c r="G146" t="inlineStr">
        <is>
          <t>VANSBRO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46266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öst AB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46266</v>
      </c>
      <c r="F148" t="inlineStr">
        <is>
          <t>DALARNAS LÄN</t>
        </is>
      </c>
      <c r="G148" t="inlineStr">
        <is>
          <t>VANSBRO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46266</v>
      </c>
      <c r="F149" t="inlineStr">
        <is>
          <t>DALARNAS LÄN</t>
        </is>
      </c>
      <c r="G149" t="inlineStr">
        <is>
          <t>VANSBRO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46266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45689</v>
      </c>
      <c r="E151" s="1" t="n">
        <v>46266</v>
      </c>
      <c r="F151" t="inlineStr">
        <is>
          <t>DALARNAS LÄN</t>
        </is>
      </c>
      <c r="G151" t="inlineStr">
        <is>
          <t>VANSBRO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46266</v>
      </c>
      <c r="F152" t="inlineStr">
        <is>
          <t>DALARNAS LÄN</t>
        </is>
      </c>
      <c r="G152" t="inlineStr">
        <is>
          <t>VANSBRO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46266</v>
      </c>
      <c r="F153" t="inlineStr">
        <is>
          <t>DALARNAS LÄN</t>
        </is>
      </c>
      <c r="G153" t="inlineStr">
        <is>
          <t>VANSBRO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35299-2024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45530</v>
      </c>
      <c r="E154" s="1" t="n">
        <v>46266</v>
      </c>
      <c r="F154" t="inlineStr">
        <is>
          <t>DALARNAS LÄN</t>
        </is>
      </c>
      <c r="G154" t="inlineStr">
        <is>
          <t>VANSBRO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46266</v>
      </c>
      <c r="F155" t="inlineStr">
        <is>
          <t>DALARNAS LÄN</t>
        </is>
      </c>
      <c r="G155" t="inlineStr">
        <is>
          <t>VANSBRO</t>
        </is>
      </c>
      <c r="I155" t="n">
        <v>27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46266</v>
      </c>
      <c r="F156" t="inlineStr">
        <is>
          <t>DALARNAS LÄN</t>
        </is>
      </c>
      <c r="G156" t="inlineStr">
        <is>
          <t>VANSBRO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46266</v>
      </c>
      <c r="F157" t="inlineStr">
        <is>
          <t>DALARNAS LÄN</t>
        </is>
      </c>
      <c r="G157" t="inlineStr">
        <is>
          <t>VANSBRO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44925</v>
      </c>
      <c r="E158" s="1" t="n">
        <v>46266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46266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46266</v>
      </c>
      <c r="F160" t="inlineStr">
        <is>
          <t>DALARNAS LÄN</t>
        </is>
      </c>
      <c r="G160" t="inlineStr">
        <is>
          <t>VANSBRO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46266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46266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öst AB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49565-2022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44862</v>
      </c>
      <c r="E163" s="1" t="n">
        <v>46266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46266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45846</v>
      </c>
      <c r="E165" s="1" t="n">
        <v>46266</v>
      </c>
      <c r="F165" t="inlineStr">
        <is>
          <t>DALARNAS LÄN</t>
        </is>
      </c>
      <c r="G165" t="inlineStr">
        <is>
          <t>VANSBRO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46266</v>
      </c>
      <c r="F166" t="inlineStr">
        <is>
          <t>DALARNAS LÄN</t>
        </is>
      </c>
      <c r="G166" t="inlineStr">
        <is>
          <t>VANSBRO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46266</v>
      </c>
      <c r="F167" t="inlineStr">
        <is>
          <t>DALARNAS LÄN</t>
        </is>
      </c>
      <c r="G167" t="inlineStr">
        <is>
          <t>VANSBRO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45854</v>
      </c>
      <c r="E168" s="1" t="n">
        <v>46266</v>
      </c>
      <c r="F168" t="inlineStr">
        <is>
          <t>DALARNAS LÄN</t>
        </is>
      </c>
      <c r="G168" t="inlineStr">
        <is>
          <t>VANSBRO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46266</v>
      </c>
      <c r="F169" t="inlineStr">
        <is>
          <t>DALARNAS LÄN</t>
        </is>
      </c>
      <c r="G169" t="inlineStr">
        <is>
          <t>VANSBRO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45860</v>
      </c>
      <c r="E170" s="1" t="n">
        <v>46266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46266</v>
      </c>
      <c r="F171" t="inlineStr">
        <is>
          <t>DALARNAS LÄN</t>
        </is>
      </c>
      <c r="G171" t="inlineStr">
        <is>
          <t>VANSBRO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45956</v>
      </c>
      <c r="E172" s="1" t="n">
        <v>46266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53828-2021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44469</v>
      </c>
      <c r="E173" s="1" t="n">
        <v>46266</v>
      </c>
      <c r="F173" t="inlineStr">
        <is>
          <t>DALARNAS LÄN</t>
        </is>
      </c>
      <c r="G173" t="inlineStr">
        <is>
          <t>VANSBRO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45956</v>
      </c>
      <c r="E174" s="1" t="n">
        <v>46266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45868</v>
      </c>
      <c r="E175" s="1" t="n">
        <v>46266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46266</v>
      </c>
      <c r="F176" t="inlineStr">
        <is>
          <t>DALARNAS LÄN</t>
        </is>
      </c>
      <c r="G176" t="inlineStr">
        <is>
          <t>VANSBRO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46266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46266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46266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46266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46266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46266</v>
      </c>
      <c r="F182" t="inlineStr">
        <is>
          <t>DALARNAS LÄN</t>
        </is>
      </c>
      <c r="G182" t="inlineStr">
        <is>
          <t>VANSBRO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46266</v>
      </c>
      <c r="F183" t="inlineStr">
        <is>
          <t>DALARNAS LÄN</t>
        </is>
      </c>
      <c r="G183" t="inlineStr">
        <is>
          <t>VANSBRO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45876</v>
      </c>
      <c r="E184" s="1" t="n">
        <v>46266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46266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45183</v>
      </c>
      <c r="E186" s="1" t="n">
        <v>46266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46266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46266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46266</v>
      </c>
      <c r="F189" t="inlineStr">
        <is>
          <t>DALARNAS LÄN</t>
        </is>
      </c>
      <c r="G189" t="inlineStr">
        <is>
          <t>VANSBRO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46266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46266</v>
      </c>
      <c r="F191" t="inlineStr">
        <is>
          <t>DALARNAS LÄN</t>
        </is>
      </c>
      <c r="G191" t="inlineStr">
        <is>
          <t>VANSBRO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46266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46266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46266</v>
      </c>
      <c r="F194" t="inlineStr">
        <is>
          <t>DALARNAS LÄN</t>
        </is>
      </c>
      <c r="G194" t="inlineStr">
        <is>
          <t>VANSBRO</t>
        </is>
      </c>
      <c r="H194" t="inlineStr">
        <is>
          <t>Övriga statliga verk och myndigheter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46266</v>
      </c>
      <c r="F195" t="inlineStr">
        <is>
          <t>DALARNAS LÄN</t>
        </is>
      </c>
      <c r="G195" t="inlineStr">
        <is>
          <t>VANSBRO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46266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46266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46266</v>
      </c>
      <c r="F198" t="inlineStr">
        <is>
          <t>DALARNAS LÄN</t>
        </is>
      </c>
      <c r="G198" t="inlineStr">
        <is>
          <t>VANSBRO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46266</v>
      </c>
      <c r="F199" t="inlineStr">
        <is>
          <t>DALARNAS LÄN</t>
        </is>
      </c>
      <c r="G199" t="inlineStr">
        <is>
          <t>VANSBRO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46266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46266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45666</v>
      </c>
      <c r="E202" s="1" t="n">
        <v>46266</v>
      </c>
      <c r="F202" t="inlineStr">
        <is>
          <t>DALARNAS LÄN</t>
        </is>
      </c>
      <c r="G202" t="inlineStr">
        <is>
          <t>VANSBRO</t>
        </is>
      </c>
      <c r="H202" t="inlineStr">
        <is>
          <t>Övriga statliga verk och myndigheter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46266</v>
      </c>
      <c r="F203" t="inlineStr">
        <is>
          <t>DALARNAS LÄN</t>
        </is>
      </c>
      <c r="G203" t="inlineStr">
        <is>
          <t>VANSBRO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46266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46266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46266</v>
      </c>
      <c r="F206" t="inlineStr">
        <is>
          <t>DALARNAS LÄN</t>
        </is>
      </c>
      <c r="G206" t="inlineStr">
        <is>
          <t>VANSBRO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46266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46266</v>
      </c>
      <c r="F208" t="inlineStr">
        <is>
          <t>DALARNAS LÄN</t>
        </is>
      </c>
      <c r="G208" t="inlineStr">
        <is>
          <t>VANSBRO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46266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46266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46266</v>
      </c>
      <c r="F211" t="inlineStr">
        <is>
          <t>DALARNAS LÄN</t>
        </is>
      </c>
      <c r="G211" t="inlineStr">
        <is>
          <t>VANSBRO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46266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46266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46266</v>
      </c>
      <c r="F214" t="inlineStr">
        <is>
          <t>DALARNAS LÄN</t>
        </is>
      </c>
      <c r="G214" t="inlineStr">
        <is>
          <t>VANSBRO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46266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45689</v>
      </c>
      <c r="E216" s="1" t="n">
        <v>46266</v>
      </c>
      <c r="F216" t="inlineStr">
        <is>
          <t>DALARNAS LÄN</t>
        </is>
      </c>
      <c r="G216" t="inlineStr">
        <is>
          <t>VANSBRO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46266</v>
      </c>
      <c r="F217" t="inlineStr">
        <is>
          <t>DALARNAS LÄN</t>
        </is>
      </c>
      <c r="G217" t="inlineStr">
        <is>
          <t>VANSBRO</t>
        </is>
      </c>
      <c r="I217" t="n">
        <v>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46266</v>
      </c>
      <c r="F218" t="inlineStr">
        <is>
          <t>DALARNAS LÄN</t>
        </is>
      </c>
      <c r="G218" t="inlineStr">
        <is>
          <t>VANSBRO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35365-2022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44798</v>
      </c>
      <c r="E219" s="1" t="n">
        <v>46266</v>
      </c>
      <c r="F219" t="inlineStr">
        <is>
          <t>DALARNAS LÄN</t>
        </is>
      </c>
      <c r="G219" t="inlineStr">
        <is>
          <t>VANSBRO</t>
        </is>
      </c>
      <c r="H219" t="inlineStr">
        <is>
          <t>Kommuner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45214</v>
      </c>
      <c r="E220" s="1" t="n">
        <v>46266</v>
      </c>
      <c r="F220" t="inlineStr">
        <is>
          <t>DALARNAS LÄN</t>
        </is>
      </c>
      <c r="G220" t="inlineStr">
        <is>
          <t>VANSBRO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46266</v>
      </c>
      <c r="F221" t="inlineStr">
        <is>
          <t>DALARNAS LÄN</t>
        </is>
      </c>
      <c r="G221" t="inlineStr">
        <is>
          <t>VANSBRO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46266</v>
      </c>
      <c r="F222" t="inlineStr">
        <is>
          <t>DALARNAS LÄN</t>
        </is>
      </c>
      <c r="G222" t="inlineStr">
        <is>
          <t>VANSBRO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46266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45.8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46266</v>
      </c>
      <c r="F224" t="inlineStr">
        <is>
          <t>DALARNAS LÄN</t>
        </is>
      </c>
      <c r="G224" t="inlineStr">
        <is>
          <t>VANSBRO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46266</v>
      </c>
      <c r="F225" t="inlineStr">
        <is>
          <t>DALARNAS LÄN</t>
        </is>
      </c>
      <c r="G225" t="inlineStr">
        <is>
          <t>VANSBRO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45665</v>
      </c>
      <c r="E226" s="1" t="n">
        <v>46266</v>
      </c>
      <c r="F226" t="inlineStr">
        <is>
          <t>DALARNAS LÄN</t>
        </is>
      </c>
      <c r="G226" t="inlineStr">
        <is>
          <t>VANSBRO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46266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46266</v>
      </c>
      <c r="F228" t="inlineStr">
        <is>
          <t>DALARNAS LÄN</t>
        </is>
      </c>
      <c r="G228" t="inlineStr">
        <is>
          <t>VANSBRO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46266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46033</v>
      </c>
      <c r="E230" s="1" t="n">
        <v>46266</v>
      </c>
      <c r="F230" t="inlineStr">
        <is>
          <t>DALARNAS LÄN</t>
        </is>
      </c>
      <c r="G230" t="inlineStr">
        <is>
          <t>VANSBRO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46266</v>
      </c>
      <c r="F231" t="inlineStr">
        <is>
          <t>DALARNAS LÄN</t>
        </is>
      </c>
      <c r="G231" t="inlineStr">
        <is>
          <t>VANSBRO</t>
        </is>
      </c>
      <c r="H231" t="inlineStr">
        <is>
          <t>Övriga statliga verk och myndigheter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44970</v>
      </c>
      <c r="E232" s="1" t="n">
        <v>46266</v>
      </c>
      <c r="F232" t="inlineStr">
        <is>
          <t>DALARNAS LÄN</t>
        </is>
      </c>
      <c r="G232" t="inlineStr">
        <is>
          <t>VANSBRO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46266</v>
      </c>
      <c r="F233" t="inlineStr">
        <is>
          <t>DALARNAS LÄN</t>
        </is>
      </c>
      <c r="G233" t="inlineStr">
        <is>
          <t>VANSBRO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46266</v>
      </c>
      <c r="F234" t="inlineStr">
        <is>
          <t>DALARNAS LÄN</t>
        </is>
      </c>
      <c r="G234" t="inlineStr">
        <is>
          <t>VANSBRO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46266</v>
      </c>
      <c r="F235" t="inlineStr">
        <is>
          <t>DALARNAS LÄN</t>
        </is>
      </c>
      <c r="G235" t="inlineStr">
        <is>
          <t>VANSBRO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46266</v>
      </c>
      <c r="F236" t="inlineStr">
        <is>
          <t>DALARNAS LÄN</t>
        </is>
      </c>
      <c r="G236" t="inlineStr">
        <is>
          <t>VANSBRO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46266</v>
      </c>
      <c r="F237" t="inlineStr">
        <is>
          <t>DALARNAS LÄN</t>
        </is>
      </c>
      <c r="G237" t="inlineStr">
        <is>
          <t>VANSBRO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46266</v>
      </c>
      <c r="F238" t="inlineStr">
        <is>
          <t>DALARNAS LÄN</t>
        </is>
      </c>
      <c r="G238" t="inlineStr">
        <is>
          <t>VANSBRO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8694-2023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44972</v>
      </c>
      <c r="E239" s="1" t="n">
        <v>46266</v>
      </c>
      <c r="F239" t="inlineStr">
        <is>
          <t>DALARNAS LÄN</t>
        </is>
      </c>
      <c r="G239" t="inlineStr">
        <is>
          <t>VANSBRO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46266</v>
      </c>
      <c r="F240" t="inlineStr">
        <is>
          <t>DALARNAS LÄN</t>
        </is>
      </c>
      <c r="G240" t="inlineStr">
        <is>
          <t>VANSBRO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46266</v>
      </c>
      <c r="F241" t="inlineStr">
        <is>
          <t>DALARNAS LÄN</t>
        </is>
      </c>
      <c r="G241" t="inlineStr">
        <is>
          <t>VANSBRO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45772</v>
      </c>
      <c r="E242" s="1" t="n">
        <v>46266</v>
      </c>
      <c r="F242" t="inlineStr">
        <is>
          <t>DALARNAS LÄN</t>
        </is>
      </c>
      <c r="G242" t="inlineStr">
        <is>
          <t>VANSBRO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46266</v>
      </c>
      <c r="F243" t="inlineStr">
        <is>
          <t>DALARNAS LÄN</t>
        </is>
      </c>
      <c r="G243" t="inlineStr">
        <is>
          <t>VANSBRO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46266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46266</v>
      </c>
      <c r="F245" t="inlineStr">
        <is>
          <t>DALARNAS LÄN</t>
        </is>
      </c>
      <c r="G245" t="inlineStr">
        <is>
          <t>VANSBRO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46266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46266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46266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46266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46266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46266</v>
      </c>
      <c r="F251" t="inlineStr">
        <is>
          <t>DALARNAS LÄN</t>
        </is>
      </c>
      <c r="G251" t="inlineStr">
        <is>
          <t>VANSBRO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8447-2022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44612</v>
      </c>
      <c r="E252" s="1" t="n">
        <v>46266</v>
      </c>
      <c r="F252" t="inlineStr">
        <is>
          <t>DALARNAS LÄN</t>
        </is>
      </c>
      <c r="G252" t="inlineStr">
        <is>
          <t>VANSBRO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46266</v>
      </c>
      <c r="F253" t="inlineStr">
        <is>
          <t>DALARNAS LÄN</t>
        </is>
      </c>
      <c r="G253" t="inlineStr">
        <is>
          <t>VANSBRO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46266</v>
      </c>
      <c r="F254" t="inlineStr">
        <is>
          <t>DALARNAS LÄN</t>
        </is>
      </c>
      <c r="G254" t="inlineStr">
        <is>
          <t>VANSBRO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46266</v>
      </c>
      <c r="F255" t="inlineStr">
        <is>
          <t>DALARNAS LÄN</t>
        </is>
      </c>
      <c r="G255" t="inlineStr">
        <is>
          <t>VANSBRO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46266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46266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7779-2026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46266</v>
      </c>
      <c r="F258" t="inlineStr">
        <is>
          <t>DALARNAS LÄN</t>
        </is>
      </c>
      <c r="G258" t="inlineStr">
        <is>
          <t>VANSBRO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46266</v>
      </c>
      <c r="F259" t="inlineStr">
        <is>
          <t>DALARNAS LÄN</t>
        </is>
      </c>
      <c r="G259" t="inlineStr">
        <is>
          <t>VANSBRO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46041</v>
      </c>
      <c r="E260" s="1" t="n">
        <v>46266</v>
      </c>
      <c r="F260" t="inlineStr">
        <is>
          <t>DALARNAS LÄN</t>
        </is>
      </c>
      <c r="G260" t="inlineStr">
        <is>
          <t>VANSBRO</t>
        </is>
      </c>
      <c r="I260" t="n">
        <v>15.1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46266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45666</v>
      </c>
      <c r="E262" s="1" t="n">
        <v>46266</v>
      </c>
      <c r="F262" t="inlineStr">
        <is>
          <t>DALARNAS LÄN</t>
        </is>
      </c>
      <c r="G262" t="inlineStr">
        <is>
          <t>VANSBRO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46266</v>
      </c>
      <c r="F263" t="inlineStr">
        <is>
          <t>DALARNAS LÄN</t>
        </is>
      </c>
      <c r="G263" t="inlineStr">
        <is>
          <t>VANSBRO</t>
        </is>
      </c>
      <c r="I263" t="n">
        <v>19.1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45309</v>
      </c>
      <c r="E264" s="1" t="n">
        <v>46266</v>
      </c>
      <c r="F264" t="inlineStr">
        <is>
          <t>DALARNAS LÄN</t>
        </is>
      </c>
      <c r="G264" t="inlineStr">
        <is>
          <t>VANSBRO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45240</v>
      </c>
      <c r="E265" s="1" t="n">
        <v>46266</v>
      </c>
      <c r="F265" t="inlineStr">
        <is>
          <t>DALARNAS LÄN</t>
        </is>
      </c>
      <c r="G265" t="inlineStr">
        <is>
          <t>VANSBRO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46266</v>
      </c>
      <c r="F266" t="inlineStr">
        <is>
          <t>DALARNAS LÄN</t>
        </is>
      </c>
      <c r="G266" t="inlineStr">
        <is>
          <t>VANSBRO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45673</v>
      </c>
      <c r="E267" s="1" t="n">
        <v>46266</v>
      </c>
      <c r="F267" t="inlineStr">
        <is>
          <t>DALARNAS LÄN</t>
        </is>
      </c>
      <c r="G267" t="inlineStr">
        <is>
          <t>VANSBRO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44734</v>
      </c>
      <c r="E268" s="1" t="n">
        <v>46266</v>
      </c>
      <c r="F268" t="inlineStr">
        <is>
          <t>DALARNAS LÄN</t>
        </is>
      </c>
      <c r="G268" t="inlineStr">
        <is>
          <t>VANSBRO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46266</v>
      </c>
      <c r="F269" t="inlineStr">
        <is>
          <t>DALARNAS LÄN</t>
        </is>
      </c>
      <c r="G269" t="inlineStr">
        <is>
          <t>VANSBRO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46266</v>
      </c>
      <c r="F270" t="inlineStr">
        <is>
          <t>DALARNAS LÄN</t>
        </is>
      </c>
      <c r="G270" t="inlineStr">
        <is>
          <t>VANSBRO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46266</v>
      </c>
      <c r="F271" t="inlineStr">
        <is>
          <t>DALARNAS LÄN</t>
        </is>
      </c>
      <c r="G271" t="inlineStr">
        <is>
          <t>VANSBRO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46266</v>
      </c>
      <c r="F272" t="inlineStr">
        <is>
          <t>DALARNAS LÄN</t>
        </is>
      </c>
      <c r="G272" t="inlineStr">
        <is>
          <t>VANSBRO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46266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45712</v>
      </c>
      <c r="E274" s="1" t="n">
        <v>46266</v>
      </c>
      <c r="F274" t="inlineStr">
        <is>
          <t>DALARNAS LÄN</t>
        </is>
      </c>
      <c r="G274" t="inlineStr">
        <is>
          <t>VANSBRO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46266</v>
      </c>
      <c r="F275" t="inlineStr">
        <is>
          <t>DALARNAS LÄN</t>
        </is>
      </c>
      <c r="G275" t="inlineStr">
        <is>
          <t>VANSBRO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46266</v>
      </c>
      <c r="F276" t="inlineStr">
        <is>
          <t>DALARNAS LÄN</t>
        </is>
      </c>
      <c r="G276" t="inlineStr">
        <is>
          <t>VANSBRO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46266</v>
      </c>
      <c r="F277" t="inlineStr">
        <is>
          <t>DALARNAS LÄN</t>
        </is>
      </c>
      <c r="G277" t="inlineStr">
        <is>
          <t>VANSBRO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46082</v>
      </c>
      <c r="E278" s="1" t="n">
        <v>46266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46082</v>
      </c>
      <c r="E279" s="1" t="n">
        <v>46266</v>
      </c>
      <c r="F279" t="inlineStr">
        <is>
          <t>DALARNAS LÄN</t>
        </is>
      </c>
      <c r="G279" t="inlineStr">
        <is>
          <t>VANSBRO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45481</v>
      </c>
      <c r="E280" s="1" t="n">
        <v>46266</v>
      </c>
      <c r="F280" t="inlineStr">
        <is>
          <t>DALARNAS LÄN</t>
        </is>
      </c>
      <c r="G280" t="inlineStr">
        <is>
          <t>VANSBRO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46266</v>
      </c>
      <c r="F281" t="inlineStr">
        <is>
          <t>DALARNAS LÄN</t>
        </is>
      </c>
      <c r="G281" t="inlineStr">
        <is>
          <t>VANSBRO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46266</v>
      </c>
      <c r="F282" t="inlineStr">
        <is>
          <t>DALARNAS LÄN</t>
        </is>
      </c>
      <c r="G282" t="inlineStr">
        <is>
          <t>VANSBRO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13062-2023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45002</v>
      </c>
      <c r="E283" s="1" t="n">
        <v>46266</v>
      </c>
      <c r="F283" t="inlineStr">
        <is>
          <t>DALARNAS LÄN</t>
        </is>
      </c>
      <c r="G283" t="inlineStr">
        <is>
          <t>VANSBRO</t>
        </is>
      </c>
      <c r="H283" t="inlineStr">
        <is>
          <t>Övriga statliga verk och myndigheter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46266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46266</v>
      </c>
      <c r="F285" t="inlineStr">
        <is>
          <t>DALARNAS LÄN</t>
        </is>
      </c>
      <c r="G285" t="inlineStr">
        <is>
          <t>VANSBRO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46266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46266</v>
      </c>
      <c r="F287" t="inlineStr">
        <is>
          <t>DALARNAS LÄN</t>
        </is>
      </c>
      <c r="G287" t="inlineStr">
        <is>
          <t>VANSBRO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46266</v>
      </c>
      <c r="F288" t="inlineStr">
        <is>
          <t>DALARNAS LÄN</t>
        </is>
      </c>
      <c r="G288" t="inlineStr">
        <is>
          <t>VANSBRO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46266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46266</v>
      </c>
      <c r="F290" t="inlineStr">
        <is>
          <t>DALARNAS LÄN</t>
        </is>
      </c>
      <c r="G290" t="inlineStr">
        <is>
          <t>VANSBRO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46266</v>
      </c>
      <c r="F291" t="inlineStr">
        <is>
          <t>DALARNAS LÄN</t>
        </is>
      </c>
      <c r="G291" t="inlineStr">
        <is>
          <t>VANSBRO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46266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44503</v>
      </c>
      <c r="E293" s="1" t="n">
        <v>46266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22.1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46266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46266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46266</v>
      </c>
      <c r="F296" t="inlineStr">
        <is>
          <t>DALARNAS LÄN</t>
        </is>
      </c>
      <c r="G296" t="inlineStr">
        <is>
          <t>VANSBRO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48111-2024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45589</v>
      </c>
      <c r="E297" s="1" t="n">
        <v>46266</v>
      </c>
      <c r="F297" t="inlineStr">
        <is>
          <t>DALARNAS LÄN</t>
        </is>
      </c>
      <c r="G297" t="inlineStr">
        <is>
          <t>VANSBRO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46266</v>
      </c>
      <c r="F298" t="inlineStr">
        <is>
          <t>DALARNAS LÄN</t>
        </is>
      </c>
      <c r="G298" t="inlineStr">
        <is>
          <t>VANSBRO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46266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5477-2023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46266</v>
      </c>
      <c r="F300" t="inlineStr">
        <is>
          <t>DALARNAS LÄN</t>
        </is>
      </c>
      <c r="G300" t="inlineStr">
        <is>
          <t>VANSBRO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46266</v>
      </c>
      <c r="F301" t="inlineStr">
        <is>
          <t>DALARNAS LÄN</t>
        </is>
      </c>
      <c r="G301" t="inlineStr">
        <is>
          <t>VANSBRO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16948-2026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46113</v>
      </c>
      <c r="E302" s="1" t="n">
        <v>46266</v>
      </c>
      <c r="F302" t="inlineStr">
        <is>
          <t>DALARNAS LÄN</t>
        </is>
      </c>
      <c r="G302" t="inlineStr">
        <is>
          <t>VANSBRO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46266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46266</v>
      </c>
      <c r="F304" t="inlineStr">
        <is>
          <t>DALARNAS LÄN</t>
        </is>
      </c>
      <c r="G304" t="inlineStr">
        <is>
          <t>VANSBRO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46266</v>
      </c>
      <c r="F305" t="inlineStr">
        <is>
          <t>DALARNAS LÄN</t>
        </is>
      </c>
      <c r="G305" t="inlineStr">
        <is>
          <t>VANSBRO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45085</v>
      </c>
      <c r="E306" s="1" t="n">
        <v>46266</v>
      </c>
      <c r="F306" t="inlineStr">
        <is>
          <t>DALARNAS LÄN</t>
        </is>
      </c>
      <c r="G306" t="inlineStr">
        <is>
          <t>VANSBRO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46266</v>
      </c>
      <c r="F307" t="inlineStr">
        <is>
          <t>DALARNAS LÄN</t>
        </is>
      </c>
      <c r="G307" t="inlineStr">
        <is>
          <t>VANSBRO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46266</v>
      </c>
      <c r="F308" t="inlineStr">
        <is>
          <t>DALARNAS LÄN</t>
        </is>
      </c>
      <c r="G308" t="inlineStr">
        <is>
          <t>VANSBRO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17552-2026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46120</v>
      </c>
      <c r="E309" s="1" t="n">
        <v>46266</v>
      </c>
      <c r="F309" t="inlineStr">
        <is>
          <t>DALARNAS LÄN</t>
        </is>
      </c>
      <c r="G309" t="inlineStr">
        <is>
          <t>VANSBRO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46121</v>
      </c>
      <c r="E310" s="1" t="n">
        <v>46266</v>
      </c>
      <c r="F310" t="inlineStr">
        <is>
          <t>DALARNAS LÄN</t>
        </is>
      </c>
      <c r="G310" t="inlineStr">
        <is>
          <t>VANSBRO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46266</v>
      </c>
      <c r="F311" t="inlineStr">
        <is>
          <t>DALARNAS LÄN</t>
        </is>
      </c>
      <c r="G311" t="inlineStr">
        <is>
          <t>VANSBRO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46266</v>
      </c>
      <c r="F312" t="inlineStr">
        <is>
          <t>DALARNAS LÄN</t>
        </is>
      </c>
      <c r="G312" t="inlineStr">
        <is>
          <t>VANSBRO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46266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46266</v>
      </c>
      <c r="F314" t="inlineStr">
        <is>
          <t>DALARNAS LÄN</t>
        </is>
      </c>
      <c r="G314" t="inlineStr">
        <is>
          <t>VANSBRO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46266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46128</v>
      </c>
      <c r="E316" s="1" t="n">
        <v>46266</v>
      </c>
      <c r="F316" t="inlineStr">
        <is>
          <t>DALARNAS LÄN</t>
        </is>
      </c>
      <c r="G316" t="inlineStr">
        <is>
          <t>VANSBRO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46266</v>
      </c>
      <c r="F317" t="inlineStr">
        <is>
          <t>DALARNAS LÄN</t>
        </is>
      </c>
      <c r="G317" t="inlineStr">
        <is>
          <t>VANSBRO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46266</v>
      </c>
      <c r="F318" t="inlineStr">
        <is>
          <t>DALARNAS LÄN</t>
        </is>
      </c>
      <c r="G318" t="inlineStr">
        <is>
          <t>VANSBRO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46266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46128</v>
      </c>
      <c r="E320" s="1" t="n">
        <v>46266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46127</v>
      </c>
      <c r="E321" s="1" t="n">
        <v>46266</v>
      </c>
      <c r="F321" t="inlineStr">
        <is>
          <t>DALARNAS LÄN</t>
        </is>
      </c>
      <c r="G321" t="inlineStr">
        <is>
          <t>VANSBRO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46266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46266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72635-2021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44546</v>
      </c>
      <c r="E324" s="1" t="n">
        <v>46266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46266</v>
      </c>
      <c r="F325" t="inlineStr">
        <is>
          <t>DALARNAS LÄN</t>
        </is>
      </c>
      <c r="G325" t="inlineStr">
        <is>
          <t>VANSBRO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46266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45940</v>
      </c>
      <c r="E327" s="1" t="n">
        <v>46266</v>
      </c>
      <c r="F327" t="inlineStr">
        <is>
          <t>DALARNAS LÄN</t>
        </is>
      </c>
      <c r="G327" t="inlineStr">
        <is>
          <t>VANSBRO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46266</v>
      </c>
      <c r="F328" t="inlineStr">
        <is>
          <t>DALARNAS LÄN</t>
        </is>
      </c>
      <c r="G328" t="inlineStr">
        <is>
          <t>VANSBRO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46266</v>
      </c>
      <c r="F329" t="inlineStr">
        <is>
          <t>DALARNAS LÄN</t>
        </is>
      </c>
      <c r="G329" t="inlineStr">
        <is>
          <t>VANSBRO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46266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46266</v>
      </c>
      <c r="F331" t="inlineStr">
        <is>
          <t>DALARNAS LÄN</t>
        </is>
      </c>
      <c r="G331" t="inlineStr">
        <is>
          <t>VANSBRO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45776</v>
      </c>
      <c r="E332" s="1" t="n">
        <v>46266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46266</v>
      </c>
      <c r="F333" t="inlineStr">
        <is>
          <t>DALARNAS LÄN</t>
        </is>
      </c>
      <c r="G333" t="inlineStr">
        <is>
          <t>VANSBRO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46266</v>
      </c>
      <c r="F334" t="inlineStr">
        <is>
          <t>DALARNAS LÄN</t>
        </is>
      </c>
      <c r="G334" t="inlineStr">
        <is>
          <t>VANSBRO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45806</v>
      </c>
      <c r="E335" s="1" t="n">
        <v>46266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46266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26658-2022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44739</v>
      </c>
      <c r="E337" s="1" t="n">
        <v>46266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46266</v>
      </c>
      <c r="F338" t="inlineStr">
        <is>
          <t>DALARNAS LÄN</t>
        </is>
      </c>
      <c r="G338" t="inlineStr">
        <is>
          <t>VANSBRO</t>
        </is>
      </c>
      <c r="I338" t="n">
        <v>13.9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45363</v>
      </c>
      <c r="E339" s="1" t="n">
        <v>46266</v>
      </c>
      <c r="F339" t="inlineStr">
        <is>
          <t>DALARNAS LÄN</t>
        </is>
      </c>
      <c r="G339" t="inlineStr">
        <is>
          <t>VANSBRO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45714</v>
      </c>
      <c r="E340" s="1" t="n">
        <v>46266</v>
      </c>
      <c r="F340" t="inlineStr">
        <is>
          <t>DALARNAS LÄN</t>
        </is>
      </c>
      <c r="G340" t="inlineStr">
        <is>
          <t>VANSBRO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51396-2022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44869</v>
      </c>
      <c r="E341" s="1" t="n">
        <v>46266</v>
      </c>
      <c r="F341" t="inlineStr">
        <is>
          <t>DALARNAS LÄN</t>
        </is>
      </c>
      <c r="G341" t="inlineStr">
        <is>
          <t>VANSBRO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46266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36855-2022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44805</v>
      </c>
      <c r="E343" s="1" t="n">
        <v>46266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46266</v>
      </c>
      <c r="F344" t="inlineStr">
        <is>
          <t>DALARNAS LÄN</t>
        </is>
      </c>
      <c r="G344" t="inlineStr">
        <is>
          <t>VANSBRO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45689</v>
      </c>
      <c r="E345" s="1" t="n">
        <v>46266</v>
      </c>
      <c r="F345" t="inlineStr">
        <is>
          <t>DALARNAS LÄN</t>
        </is>
      </c>
      <c r="G345" t="inlineStr">
        <is>
          <t>VANSBRO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45689</v>
      </c>
      <c r="E346" s="1" t="n">
        <v>46266</v>
      </c>
      <c r="F346" t="inlineStr">
        <is>
          <t>DALARNAS LÄN</t>
        </is>
      </c>
      <c r="G346" t="inlineStr">
        <is>
          <t>VANSBRO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46266</v>
      </c>
      <c r="F347" t="inlineStr">
        <is>
          <t>DALARNAS LÄN</t>
        </is>
      </c>
      <c r="G347" t="inlineStr">
        <is>
          <t>VANSBRO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46266</v>
      </c>
      <c r="F348" t="inlineStr">
        <is>
          <t>DALARNAS LÄN</t>
        </is>
      </c>
      <c r="G348" t="inlineStr">
        <is>
          <t>VANSBRO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46266</v>
      </c>
      <c r="F349" t="inlineStr">
        <is>
          <t>DALARNAS LÄN</t>
        </is>
      </c>
      <c r="G349" t="inlineStr">
        <is>
          <t>VANSBRO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46266</v>
      </c>
      <c r="F350" t="inlineStr">
        <is>
          <t>DALARNAS LÄN</t>
        </is>
      </c>
      <c r="G350" t="inlineStr">
        <is>
          <t>VANSBRO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52572-2023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45225</v>
      </c>
      <c r="E351" s="1" t="n">
        <v>46266</v>
      </c>
      <c r="F351" t="inlineStr">
        <is>
          <t>DALARNAS LÄN</t>
        </is>
      </c>
      <c r="G351" t="inlineStr">
        <is>
          <t>VANSBRO</t>
        </is>
      </c>
      <c r="H351" t="inlineStr">
        <is>
          <t>Övriga statliga verk och myndigheter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51414-2021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46266</v>
      </c>
      <c r="F352" t="inlineStr">
        <is>
          <t>DALARNAS LÄN</t>
        </is>
      </c>
      <c r="G352" t="inlineStr">
        <is>
          <t>VANSBRO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46266</v>
      </c>
      <c r="F353" t="inlineStr">
        <is>
          <t>DALARNAS LÄN</t>
        </is>
      </c>
      <c r="G353" t="inlineStr">
        <is>
          <t>VANSBRO</t>
        </is>
      </c>
      <c r="I353" t="n">
        <v>15.8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46266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46266</v>
      </c>
      <c r="F355" t="inlineStr">
        <is>
          <t>DALARNAS LÄN</t>
        </is>
      </c>
      <c r="G355" t="inlineStr">
        <is>
          <t>VANSBRO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46021</v>
      </c>
      <c r="E356" s="1" t="n">
        <v>46266</v>
      </c>
      <c r="F356" t="inlineStr">
        <is>
          <t>DALARNAS LÄN</t>
        </is>
      </c>
      <c r="G356" t="inlineStr">
        <is>
          <t>VANSBRO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46266</v>
      </c>
      <c r="F357" t="inlineStr">
        <is>
          <t>DALARNAS LÄN</t>
        </is>
      </c>
      <c r="G357" t="inlineStr">
        <is>
          <t>VANSBRO</t>
        </is>
      </c>
      <c r="H357" t="inlineStr">
        <is>
          <t>Övriga statliga verk och myndigheter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20931-2022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44701</v>
      </c>
      <c r="E358" s="1" t="n">
        <v>46266</v>
      </c>
      <c r="F358" t="inlineStr">
        <is>
          <t>DALARNAS LÄN</t>
        </is>
      </c>
      <c r="G358" t="inlineStr">
        <is>
          <t>VANSBRO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45296</v>
      </c>
      <c r="E359" s="1" t="n">
        <v>46266</v>
      </c>
      <c r="F359" t="inlineStr">
        <is>
          <t>DALARNAS LÄN</t>
        </is>
      </c>
      <c r="G359" t="inlineStr">
        <is>
          <t>VANSBRO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45775</v>
      </c>
      <c r="E360" s="1" t="n">
        <v>46266</v>
      </c>
      <c r="F360" t="inlineStr">
        <is>
          <t>DALARNAS LÄN</t>
        </is>
      </c>
      <c r="G360" t="inlineStr">
        <is>
          <t>VANSBRO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46266</v>
      </c>
      <c r="F361" t="inlineStr">
        <is>
          <t>DALARNAS LÄN</t>
        </is>
      </c>
      <c r="G361" t="inlineStr">
        <is>
          <t>VANSBRO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46266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45448</v>
      </c>
      <c r="E363" s="1" t="n">
        <v>46266</v>
      </c>
      <c r="F363" t="inlineStr">
        <is>
          <t>DALARNAS LÄN</t>
        </is>
      </c>
      <c r="G363" t="inlineStr">
        <is>
          <t>VANSBRO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7864-2024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45350</v>
      </c>
      <c r="E364" s="1" t="n">
        <v>46266</v>
      </c>
      <c r="F364" t="inlineStr">
        <is>
          <t>DALARNAS LÄN</t>
        </is>
      </c>
      <c r="G364" t="inlineStr">
        <is>
          <t>VANSBRO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46266</v>
      </c>
      <c r="F365" t="inlineStr">
        <is>
          <t>DALARNAS LÄN</t>
        </is>
      </c>
      <c r="G365" t="inlineStr">
        <is>
          <t>VANSBRO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44930</v>
      </c>
      <c r="E366" s="1" t="n">
        <v>46266</v>
      </c>
      <c r="F366" t="inlineStr">
        <is>
          <t>DALARNAS LÄN</t>
        </is>
      </c>
      <c r="G366" t="inlineStr">
        <is>
          <t>VANSBRO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46266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45471</v>
      </c>
      <c r="E368" s="1" t="n">
        <v>46266</v>
      </c>
      <c r="F368" t="inlineStr">
        <is>
          <t>DALARNAS LÄN</t>
        </is>
      </c>
      <c r="G368" t="inlineStr">
        <is>
          <t>VANSBRO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46266</v>
      </c>
      <c r="F369" t="inlineStr">
        <is>
          <t>DALARNAS LÄN</t>
        </is>
      </c>
      <c r="G369" t="inlineStr">
        <is>
          <t>VANSBRO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46266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46266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46266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11485-2024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45372</v>
      </c>
      <c r="E373" s="1" t="n">
        <v>46266</v>
      </c>
      <c r="F373" t="inlineStr">
        <is>
          <t>DALARNAS LÄN</t>
        </is>
      </c>
      <c r="G373" t="inlineStr">
        <is>
          <t>VANSBRO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43570-2023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45184</v>
      </c>
      <c r="E374" s="1" t="n">
        <v>46266</v>
      </c>
      <c r="F374" t="inlineStr">
        <is>
          <t>DALARNAS LÄN</t>
        </is>
      </c>
      <c r="G374" t="inlineStr">
        <is>
          <t>VANSBRO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5386-2024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45331</v>
      </c>
      <c r="E375" s="1" t="n">
        <v>46266</v>
      </c>
      <c r="F375" t="inlineStr">
        <is>
          <t>DALARNAS LÄN</t>
        </is>
      </c>
      <c r="G375" t="inlineStr">
        <is>
          <t>VANSBRO</t>
        </is>
      </c>
      <c r="I375" t="n">
        <v>11.4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45082</v>
      </c>
      <c r="E376" s="1" t="n">
        <v>46266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46266</v>
      </c>
      <c r="F377" t="inlineStr">
        <is>
          <t>DALARNAS LÄN</t>
        </is>
      </c>
      <c r="G377" t="inlineStr">
        <is>
          <t>VANSBRO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46164</v>
      </c>
      <c r="E378" s="1" t="n">
        <v>46266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46266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46266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45754</v>
      </c>
      <c r="E381" s="1" t="n">
        <v>46266</v>
      </c>
      <c r="F381" t="inlineStr">
        <is>
          <t>DALARNAS LÄN</t>
        </is>
      </c>
      <c r="G381" t="inlineStr">
        <is>
          <t>VANSBRO</t>
        </is>
      </c>
      <c r="I381" t="n">
        <v>9.9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17807-2022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44673</v>
      </c>
      <c r="E382" s="1" t="n">
        <v>46266</v>
      </c>
      <c r="F382" t="inlineStr">
        <is>
          <t>DALARNAS LÄN</t>
        </is>
      </c>
      <c r="G382" t="inlineStr">
        <is>
          <t>VANSBRO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45240</v>
      </c>
      <c r="E383" s="1" t="n">
        <v>46266</v>
      </c>
      <c r="F383" t="inlineStr">
        <is>
          <t>DALARNAS LÄN</t>
        </is>
      </c>
      <c r="G383" t="inlineStr">
        <is>
          <t>VANSBRO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33520-2024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45519</v>
      </c>
      <c r="E384" s="1" t="n">
        <v>46266</v>
      </c>
      <c r="F384" t="inlineStr">
        <is>
          <t>DALARNAS LÄN</t>
        </is>
      </c>
      <c r="G384" t="inlineStr">
        <is>
          <t>VANSBRO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46266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46266</v>
      </c>
      <c r="F386" t="inlineStr">
        <is>
          <t>DALARNAS LÄN</t>
        </is>
      </c>
      <c r="G386" t="inlineStr">
        <is>
          <t>VANSBRO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46266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46266</v>
      </c>
      <c r="F388" t="inlineStr">
        <is>
          <t>DALARNAS LÄN</t>
        </is>
      </c>
      <c r="G388" t="inlineStr">
        <is>
          <t>VANSBRO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60031-2022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44909</v>
      </c>
      <c r="E389" s="1" t="n">
        <v>46266</v>
      </c>
      <c r="F389" t="inlineStr">
        <is>
          <t>DALARNAS LÄN</t>
        </is>
      </c>
      <c r="G389" t="inlineStr">
        <is>
          <t>VANSBRO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46169</v>
      </c>
      <c r="E390" s="1" t="n">
        <v>46266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46168</v>
      </c>
      <c r="E391" s="1" t="n">
        <v>46266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5420-2024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45331</v>
      </c>
      <c r="E392" s="1" t="n">
        <v>46266</v>
      </c>
      <c r="F392" t="inlineStr">
        <is>
          <t>DALARNAS LÄN</t>
        </is>
      </c>
      <c r="G392" t="inlineStr">
        <is>
          <t>VANSBRO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46266</v>
      </c>
      <c r="F393" t="inlineStr">
        <is>
          <t>DALARNAS LÄN</t>
        </is>
      </c>
      <c r="G393" t="inlineStr">
        <is>
          <t>VANSBRO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11274-2024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45371</v>
      </c>
      <c r="E394" s="1" t="n">
        <v>46266</v>
      </c>
      <c r="F394" t="inlineStr">
        <is>
          <t>DALARNAS LÄN</t>
        </is>
      </c>
      <c r="G394" t="inlineStr">
        <is>
          <t>VANSBRO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46266</v>
      </c>
      <c r="F395" t="inlineStr">
        <is>
          <t>DALARNAS LÄN</t>
        </is>
      </c>
      <c r="G395" t="inlineStr">
        <is>
          <t>VANSBRO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45244</v>
      </c>
      <c r="E396" s="1" t="n">
        <v>46266</v>
      </c>
      <c r="F396" t="inlineStr">
        <is>
          <t>DALARNAS LÄN</t>
        </is>
      </c>
      <c r="G396" t="inlineStr">
        <is>
          <t>VANSBRO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45631</v>
      </c>
      <c r="E397" s="1" t="n">
        <v>46266</v>
      </c>
      <c r="F397" t="inlineStr">
        <is>
          <t>DALARNAS LÄN</t>
        </is>
      </c>
      <c r="G397" t="inlineStr">
        <is>
          <t>VANSBRO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46034</v>
      </c>
      <c r="E398" s="1" t="n">
        <v>46266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46266</v>
      </c>
      <c r="F399" t="inlineStr">
        <is>
          <t>DALARNAS LÄN</t>
        </is>
      </c>
      <c r="G399" t="inlineStr">
        <is>
          <t>VANSBRO</t>
        </is>
      </c>
      <c r="H399" t="inlineStr">
        <is>
          <t>Kommuner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46266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44960</v>
      </c>
      <c r="E401" s="1" t="n">
        <v>46266</v>
      </c>
      <c r="F401" t="inlineStr">
        <is>
          <t>DALARNAS LÄN</t>
        </is>
      </c>
      <c r="G401" t="inlineStr">
        <is>
          <t>VANSBRO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46266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46266</v>
      </c>
      <c r="F403" t="inlineStr">
        <is>
          <t>DALARNAS LÄN</t>
        </is>
      </c>
      <c r="G403" t="inlineStr">
        <is>
          <t>VANSBRO</t>
        </is>
      </c>
      <c r="H403" t="inlineStr">
        <is>
          <t>Övriga statliga verk och myndigheter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45247</v>
      </c>
      <c r="E404" s="1" t="n">
        <v>46266</v>
      </c>
      <c r="F404" t="inlineStr">
        <is>
          <t>DALARNAS LÄN</t>
        </is>
      </c>
      <c r="G404" t="inlineStr">
        <is>
          <t>VANSBRO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46231</v>
      </c>
      <c r="E405" s="1" t="n">
        <v>46266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44931</v>
      </c>
      <c r="E406" s="1" t="n">
        <v>46266</v>
      </c>
      <c r="F406" t="inlineStr">
        <is>
          <t>DALARNAS LÄN</t>
        </is>
      </c>
      <c r="G406" t="inlineStr">
        <is>
          <t>VANSBRO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46266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46266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46266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46266</v>
      </c>
      <c r="F410" t="inlineStr">
        <is>
          <t>DALARNAS LÄN</t>
        </is>
      </c>
      <c r="G410" t="inlineStr">
        <is>
          <t>VANSBRO</t>
        </is>
      </c>
      <c r="H410" t="inlineStr">
        <is>
          <t>Övriga statliga verk och myndigheter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46266</v>
      </c>
      <c r="F411" t="inlineStr">
        <is>
          <t>DALARNAS LÄN</t>
        </is>
      </c>
      <c r="G411" t="inlineStr">
        <is>
          <t>VANSBRO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46266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46266</v>
      </c>
      <c r="F413" t="inlineStr">
        <is>
          <t>DALARNAS LÄN</t>
        </is>
      </c>
      <c r="G413" t="inlineStr">
        <is>
          <t>VANSBRO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46266</v>
      </c>
      <c r="F414" t="inlineStr">
        <is>
          <t>DALARNAS LÄN</t>
        </is>
      </c>
      <c r="G414" t="inlineStr">
        <is>
          <t>VANSBRO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45491</v>
      </c>
      <c r="E415" s="1" t="n">
        <v>46266</v>
      </c>
      <c r="F415" t="inlineStr">
        <is>
          <t>DALARNAS LÄN</t>
        </is>
      </c>
      <c r="G415" t="inlineStr">
        <is>
          <t>VANSBRO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46266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10.5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46266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46266</v>
      </c>
      <c r="F419" t="inlineStr">
        <is>
          <t>DALARNAS LÄN</t>
        </is>
      </c>
      <c r="G419" t="inlineStr">
        <is>
          <t>VANSBRO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46266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46266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46266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46266</v>
      </c>
      <c r="F423" t="inlineStr">
        <is>
          <t>DALARNAS LÄN</t>
        </is>
      </c>
      <c r="G423" t="inlineStr">
        <is>
          <t>VANSBRO</t>
        </is>
      </c>
      <c r="I423" t="n">
        <v>15.5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46266</v>
      </c>
      <c r="F424" t="inlineStr">
        <is>
          <t>DALARNAS LÄN</t>
        </is>
      </c>
      <c r="G424" t="inlineStr">
        <is>
          <t>VANSBRO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27930-2026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46266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32393-2026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46238</v>
      </c>
      <c r="E426" s="1" t="n">
        <v>46266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46266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46266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61515-2022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44916</v>
      </c>
      <c r="E429" s="1" t="n">
        <v>46266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46266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46266</v>
      </c>
      <c r="F431" t="inlineStr">
        <is>
          <t>DALARNAS LÄN</t>
        </is>
      </c>
      <c r="G431" t="inlineStr">
        <is>
          <t>VANSBRO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29174-2026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46202</v>
      </c>
      <c r="E432" s="1" t="n">
        <v>46266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46266</v>
      </c>
      <c r="F433" t="inlineStr">
        <is>
          <t>DALARNAS LÄN</t>
        </is>
      </c>
      <c r="G433" t="inlineStr">
        <is>
          <t>VANSBRO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46266</v>
      </c>
      <c r="F434" t="inlineStr">
        <is>
          <t>DALARNAS LÄN</t>
        </is>
      </c>
      <c r="G434" t="inlineStr">
        <is>
          <t>VANSBRO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46266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46266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46203</v>
      </c>
      <c r="E437" s="1" t="n">
        <v>46266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46266</v>
      </c>
      <c r="F438" t="inlineStr">
        <is>
          <t>DALARNAS LÄN</t>
        </is>
      </c>
      <c r="G438" t="inlineStr">
        <is>
          <t>VANSBRO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33944-2026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46252</v>
      </c>
      <c r="E439" s="1" t="n">
        <v>46266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33953-2026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46252</v>
      </c>
      <c r="E440" s="1" t="n">
        <v>46266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46266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46266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12.1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46266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46266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13.3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46266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46266</v>
      </c>
      <c r="F446" t="inlineStr">
        <is>
          <t>DALARNAS LÄN</t>
        </is>
      </c>
      <c r="G446" t="inlineStr">
        <is>
          <t>VANSBRO</t>
        </is>
      </c>
      <c r="H446" t="inlineStr">
        <is>
          <t>Övriga statliga verk och myndigheter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46266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46266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46266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46266</v>
      </c>
      <c r="F450" t="inlineStr">
        <is>
          <t>DALARNAS LÄN</t>
        </is>
      </c>
      <c r="G450" t="inlineStr">
        <is>
          <t>VANSBRO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46266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46266</v>
      </c>
      <c r="F452" t="inlineStr">
        <is>
          <t>DALARNAS LÄN</t>
        </is>
      </c>
      <c r="G452" t="inlineStr">
        <is>
          <t>VANSBRO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46266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46266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46266</v>
      </c>
      <c r="F455" t="inlineStr">
        <is>
          <t>DALARNAS LÄN</t>
        </is>
      </c>
      <c r="G455" t="inlineStr">
        <is>
          <t>VANSBRO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46266</v>
      </c>
      <c r="F456" t="inlineStr">
        <is>
          <t>DALARNAS LÄN</t>
        </is>
      </c>
      <c r="G456" t="inlineStr">
        <is>
          <t>VANSBRO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46266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46266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46266</v>
      </c>
      <c r="F459" t="inlineStr">
        <is>
          <t>DALARNAS LÄN</t>
        </is>
      </c>
      <c r="G459" t="inlineStr">
        <is>
          <t>VANSBRO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35579-2026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46262</v>
      </c>
      <c r="E460" s="1" t="n">
        <v>46266</v>
      </c>
      <c r="F460" t="inlineStr">
        <is>
          <t>DALARNAS LÄN</t>
        </is>
      </c>
      <c r="G460" t="inlineStr">
        <is>
          <t>VANSBRO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46265</v>
      </c>
      <c r="E461" s="1" t="n">
        <v>46266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1286-2024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45401</v>
      </c>
      <c r="E462" s="1" t="n">
        <v>46266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220.8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4782-2022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44802</v>
      </c>
      <c r="E463" s="1" t="n">
        <v>46266</v>
      </c>
      <c r="F463" t="inlineStr">
        <is>
          <t>DALARNAS LÄN</t>
        </is>
      </c>
      <c r="G463" t="inlineStr">
        <is>
          <t>VANSBRO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3514-2023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45208</v>
      </c>
      <c r="E464" s="1" t="n">
        <v>46266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37.8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409-2025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45699</v>
      </c>
      <c r="E465" s="1" t="n">
        <v>46266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277.1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46035</v>
      </c>
      <c r="E466" s="1" t="n">
        <v>46266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153.5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747-2026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46089</v>
      </c>
      <c r="E467" s="1" t="n">
        <v>46266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82.40000000000001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2026-09-01T02:04:52Z</dcterms:created>
  <dcterms:modified xmlns:dcterms="http://purl.org/dc/terms/" xmlns:xsi="http://www.w3.org/2001/XMLSchema-instance" xsi:type="dcterms:W3CDTF">2026-09-01T02:04:53Z</dcterms:modified>
</cp:coreProperties>
</file>