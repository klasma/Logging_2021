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46294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46294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46294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46294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46294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46294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46294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46294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46294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11713-2025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45727</v>
      </c>
      <c r="E11" s="1" t="n">
        <v>46294</v>
      </c>
      <c r="F11" t="inlineStr">
        <is>
          <t>DALARNAS LÄN</t>
        </is>
      </c>
      <c r="G11" t="inlineStr">
        <is>
          <t>VANSBRO</t>
        </is>
      </c>
      <c r="I11" t="n">
        <v>10.6</v>
      </c>
      <c r="J11" t="n">
        <v>3</v>
      </c>
      <c r="K11" t="n">
        <v>2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65</v>
      </c>
      <c r="U11" t="n">
        <v>65</v>
      </c>
      <c r="V11" s="2" t="inlineStr">
        <is>
          <t>Garnlav
Knärot
Fjällig taggsvamp s.str.
Orange taggsvamp
Rynkskinn
Tretåig hackspett
Ullticka
Trådticka
Vedticka
Tjäder</t>
        </is>
      </c>
      <c r="W11">
        <f>HYPERLINK("https://klasma.github.io/Logging_2021/artfynd/A 11713-2025 artfynd.xlsx", "A 11713-2025")</f>
        <v/>
      </c>
      <c r="X11">
        <f>HYPERLINK("https://klasma.github.io/Logging_2021/kartor/A 11713-2025 karta.png", "A 11713-2025")</f>
        <v/>
      </c>
      <c r="Y11">
        <f>HYPERLINK("https://klasma.github.io/Logging_2021/kartor_geotiff/A 11713-2025 georefererad karta.tif", "A 11713-2025")</f>
        <v/>
      </c>
      <c r="Z11">
        <f>HYPERLINK("https://klasma.github.io/Logging_2021/knärot/A 11713-2025 karta knärot.png", "A 11713-2025")</f>
        <v/>
      </c>
      <c r="AA11">
        <f>HYPERLINK("https://klasma.github.io/Logging_2021/klagomål/A 11713-2025 FSC-klagomål.docx", "A 11713-2025")</f>
        <v/>
      </c>
      <c r="AB11">
        <f>HYPERLINK("https://klasma.github.io/Logging_2021/klagomålsmail/A 11713-2025 FSC-klagomål mail.docx", "A 11713-2025")</f>
        <v/>
      </c>
      <c r="AC11">
        <f>HYPERLINK("https://klasma.github.io/Logging_2021/tillsyn/A 11713-2025 tillsynsbegäran.docx", "A 11713-2025")</f>
        <v/>
      </c>
      <c r="AD11">
        <f>HYPERLINK("https://klasma.github.io/Logging_2021/tillsynsmail/A 11713-2025 tillsynsbegäran mail.docx", "A 11713-2025")</f>
        <v/>
      </c>
      <c r="AE11">
        <f>HYPERLINK("https://klasma.github.io/Logging_2021/fåglar/A 11713-2025 prioriterade fågelarter.docx", "A 11713-2025")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46294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46294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46294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33963-2025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46294</v>
      </c>
      <c r="F15" t="inlineStr">
        <is>
          <t>DALARNAS LÄN</t>
        </is>
      </c>
      <c r="G15" t="inlineStr">
        <is>
          <t>VANSBRO</t>
        </is>
      </c>
      <c r="I15" t="n">
        <v>3.2</v>
      </c>
      <c r="J15" t="n">
        <v>3</v>
      </c>
      <c r="K15" t="n">
        <v>1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18</v>
      </c>
      <c r="U15" t="n">
        <v>18</v>
      </c>
      <c r="V15" s="2" t="inlineStr">
        <is>
          <t>Garnlav
Knärot
Kattfotslav
Tretåig hackspett
Ullticka
Vedskivlav
Vedticka
Spillkråka</t>
        </is>
      </c>
      <c r="W15">
        <f>HYPERLINK("https://klasma.github.io/Logging_2021/artfynd/A 33963-2025 artfynd.xlsx", "A 33963-2025")</f>
        <v/>
      </c>
      <c r="X15">
        <f>HYPERLINK("https://klasma.github.io/Logging_2021/kartor/A 33963-2025 karta.png", "A 33963-2025")</f>
        <v/>
      </c>
      <c r="Y15">
        <f>HYPERLINK("https://klasma.github.io/Logging_2021/kartor_geotiff/A 33963-2025 georefererad karta.tif", "A 33963-2025")</f>
        <v/>
      </c>
      <c r="Z15">
        <f>HYPERLINK("https://klasma.github.io/Logging_2021/knärot/A 33963-2025 karta knärot.png", "A 33963-2025")</f>
        <v/>
      </c>
      <c r="AA15">
        <f>HYPERLINK("https://klasma.github.io/Logging_2021/klagomål/A 33963-2025 FSC-klagomål.docx", "A 33963-2025")</f>
        <v/>
      </c>
      <c r="AB15">
        <f>HYPERLINK("https://klasma.github.io/Logging_2021/klagomålsmail/A 33963-2025 FSC-klagomål mail.docx", "A 33963-2025")</f>
        <v/>
      </c>
      <c r="AC15">
        <f>HYPERLINK("https://klasma.github.io/Logging_2021/tillsyn/A 33963-2025 tillsynsbegäran.docx", "A 33963-2025")</f>
        <v/>
      </c>
      <c r="AD15">
        <f>HYPERLINK("https://klasma.github.io/Logging_2021/tillsynsmail/A 33963-2025 tillsynsbegäran mail.docx", "A 33963-2025")</f>
        <v/>
      </c>
      <c r="AE15">
        <f>HYPERLINK("https://klasma.github.io/Logging_2021/fåglar/A 33963-2025 prioriterade fågelarter.docx", "A 33963-2025")</f>
        <v/>
      </c>
    </row>
    <row r="16" ht="15" customHeight="1">
      <c r="A16" t="inlineStr">
        <is>
          <t>A 33962-2025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46294</v>
      </c>
      <c r="F16" t="inlineStr">
        <is>
          <t>DALARNAS LÄN</t>
        </is>
      </c>
      <c r="G16" t="inlineStr">
        <is>
          <t>VANSBRO</t>
        </is>
      </c>
      <c r="I16" t="n">
        <v>7</v>
      </c>
      <c r="J16" t="n">
        <v>3</v>
      </c>
      <c r="K16" t="n">
        <v>1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6</v>
      </c>
      <c r="T16" t="n">
        <v>22</v>
      </c>
      <c r="U16" t="n">
        <v>22</v>
      </c>
      <c r="V16" s="2" t="inlineStr">
        <is>
          <t>Garnlav
Knärot
Lunglav
Tretåig hackspett
Vedticka
Spillkråka</t>
        </is>
      </c>
      <c r="W16">
        <f>HYPERLINK("https://klasma.github.io/Logging_2021/artfynd/A 33962-2025 artfynd.xlsx", "A 33962-2025")</f>
        <v/>
      </c>
      <c r="X16">
        <f>HYPERLINK("https://klasma.github.io/Logging_2021/kartor/A 33962-2025 karta.png", "A 33962-2025")</f>
        <v/>
      </c>
      <c r="Y16">
        <f>HYPERLINK("https://klasma.github.io/Logging_2021/kartor_geotiff/A 33962-2025 georefererad karta.tif", "A 33962-2025")</f>
        <v/>
      </c>
      <c r="Z16">
        <f>HYPERLINK("https://klasma.github.io/Logging_2021/knärot/A 33962-2025 karta knärot.png", "A 33962-2025")</f>
        <v/>
      </c>
      <c r="AA16">
        <f>HYPERLINK("https://klasma.github.io/Logging_2021/klagomål/A 33962-2025 FSC-klagomål.docx", "A 33962-2025")</f>
        <v/>
      </c>
      <c r="AB16">
        <f>HYPERLINK("https://klasma.github.io/Logging_2021/klagomålsmail/A 33962-2025 FSC-klagomål mail.docx", "A 33962-2025")</f>
        <v/>
      </c>
      <c r="AC16">
        <f>HYPERLINK("https://klasma.github.io/Logging_2021/tillsyn/A 33962-2025 tillsynsbegäran.docx", "A 33962-2025")</f>
        <v/>
      </c>
      <c r="AD16">
        <f>HYPERLINK("https://klasma.github.io/Logging_2021/tillsynsmail/A 33962-2025 tillsynsbegäran mail.docx", "A 33962-2025")</f>
        <v/>
      </c>
      <c r="AE16">
        <f>HYPERLINK("https://klasma.github.io/Logging_2021/fåglar/A 33962-2025 prioriterade fågelarter.docx", "A 33962-2025")</f>
        <v/>
      </c>
    </row>
    <row r="17" ht="15" customHeight="1">
      <c r="A17" t="inlineStr">
        <is>
          <t>A 6671-2026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46052</v>
      </c>
      <c r="E17" s="1" t="n">
        <v>46294</v>
      </c>
      <c r="F17" t="inlineStr">
        <is>
          <t>DALARNAS LÄN</t>
        </is>
      </c>
      <c r="G17" t="inlineStr">
        <is>
          <t>VANSBRO</t>
        </is>
      </c>
      <c r="I17" t="n">
        <v>13.9</v>
      </c>
      <c r="J17" t="n">
        <v>1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6</v>
      </c>
      <c r="T17" t="n">
        <v>27</v>
      </c>
      <c r="U17" t="n">
        <v>0</v>
      </c>
      <c r="V17" s="2" t="inlineStr">
        <is>
          <t>Garnlav
Kolflarnlav
Mörk kolflarnlav
Rynkskinn
Mindre märgborre
Tjäder</t>
        </is>
      </c>
      <c r="W17">
        <f>HYPERLINK("https://klasma.github.io/Logging_2021/artfynd/A 6671-2026 artfynd.xlsx", "A 6671-2026")</f>
        <v/>
      </c>
      <c r="X17">
        <f>HYPERLINK("https://klasma.github.io/Logging_2021/kartor/A 6671-2026 karta.png", "A 6671-2026")</f>
        <v/>
      </c>
      <c r="Y17">
        <f>HYPERLINK("https://klasma.github.io/Logging_2021/kartor_geotiff/A 6671-2026 georefererad karta.tif", "A 6671-2026")</f>
        <v/>
      </c>
      <c r="AA17">
        <f>HYPERLINK("https://klasma.github.io/Logging_2021/klagomål/A 6671-2026 FSC-klagomål.docx", "A 6671-2026")</f>
        <v/>
      </c>
      <c r="AB17">
        <f>HYPERLINK("https://klasma.github.io/Logging_2021/klagomålsmail/A 6671-2026 FSC-klagomål mail.docx", "A 6671-2026")</f>
        <v/>
      </c>
      <c r="AC17">
        <f>HYPERLINK("https://klasma.github.io/Logging_2021/tillsyn/A 6671-2026 tillsynsbegäran.docx", "A 6671-2026")</f>
        <v/>
      </c>
      <c r="AD17">
        <f>HYPERLINK("https://klasma.github.io/Logging_2021/tillsynsmail/A 6671-2026 tillsynsbegäran mail.docx", "A 6671-2026")</f>
        <v/>
      </c>
      <c r="AE17">
        <f>HYPERLINK("https://klasma.github.io/Logging_2021/fåglar/A 6671-2026 prioriterade fågelarter.docx", "A 6671-2026")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46294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46294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46294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46294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3854-2024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46294</v>
      </c>
      <c r="F22" t="inlineStr">
        <is>
          <t>DALARNAS LÄN</t>
        </is>
      </c>
      <c r="G22" t="inlineStr">
        <is>
          <t>VANSBRO</t>
        </is>
      </c>
      <c r="H22" t="inlineStr">
        <is>
          <t>Kyrkan</t>
        </is>
      </c>
      <c r="I22" t="n">
        <v>4.6</v>
      </c>
      <c r="J22" t="n">
        <v>2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3</v>
      </c>
      <c r="V22" s="2" t="inlineStr">
        <is>
          <t>Garnlav
Tretåig hackspett
Björksplintborre
Utter</t>
        </is>
      </c>
      <c r="W22">
        <f>HYPERLINK("https://klasma.github.io/Logging_2021/artfynd/A 3854-2024 artfynd.xlsx", "A 3854-2024")</f>
        <v/>
      </c>
      <c r="X22">
        <f>HYPERLINK("https://klasma.github.io/Logging_2021/kartor/A 3854-2024 karta.png", "A 3854-2024")</f>
        <v/>
      </c>
      <c r="Y22">
        <f>HYPERLINK("https://klasma.github.io/Logging_2021/kartor_geotiff/A 3854-2024 georefererad karta.tif", "A 3854-2024")</f>
        <v/>
      </c>
      <c r="AA22">
        <f>HYPERLINK("https://klasma.github.io/Logging_2021/klagomål/A 3854-2024 FSC-klagomål.docx", "A 3854-2024")</f>
        <v/>
      </c>
      <c r="AB22">
        <f>HYPERLINK("https://klasma.github.io/Logging_2021/klagomålsmail/A 3854-2024 FSC-klagomål mail.docx", "A 3854-2024")</f>
        <v/>
      </c>
      <c r="AC22">
        <f>HYPERLINK("https://klasma.github.io/Logging_2021/tillsyn/A 3854-2024 tillsynsbegäran.docx", "A 3854-2024")</f>
        <v/>
      </c>
      <c r="AD22">
        <f>HYPERLINK("https://klasma.github.io/Logging_2021/tillsynsmail/A 3854-2024 tillsynsbegäran mail.docx", "A 3854-2024")</f>
        <v/>
      </c>
      <c r="AE22">
        <f>HYPERLINK("https://klasma.github.io/Logging_2021/fåglar/A 3854-2024 prioriterade fågelarter.docx", "A 3854-2024")</f>
        <v/>
      </c>
    </row>
    <row r="23" ht="15" customHeight="1">
      <c r="A23" t="inlineStr">
        <is>
          <t>A 13339-2025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46294</v>
      </c>
      <c r="F23" t="inlineStr">
        <is>
          <t>DALARNAS LÄN</t>
        </is>
      </c>
      <c r="G23" t="inlineStr">
        <is>
          <t>VANSBRO</t>
        </is>
      </c>
      <c r="I23" t="n">
        <v>0.4</v>
      </c>
      <c r="J23" t="n">
        <v>1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5</v>
      </c>
      <c r="U23" t="n">
        <v>5</v>
      </c>
      <c r="V23" s="2" t="inlineStr">
        <is>
          <t>Garnlav
Knärot
Dropptaggsvamp
Mörk kolflarnlav</t>
        </is>
      </c>
      <c r="W23">
        <f>HYPERLINK("https://klasma.github.io/Logging_2021/artfynd/A 13339-2025 artfynd.xlsx", "A 13339-2025")</f>
        <v/>
      </c>
      <c r="X23">
        <f>HYPERLINK("https://klasma.github.io/Logging_2021/kartor/A 13339-2025 karta.png", "A 13339-2025")</f>
        <v/>
      </c>
      <c r="Y23">
        <f>HYPERLINK("https://klasma.github.io/Logging_2021/kartor_geotiff/A 13339-2025 georefererad karta.tif", "A 13339-2025")</f>
        <v/>
      </c>
      <c r="Z23">
        <f>HYPERLINK("https://klasma.github.io/Logging_2021/knärot/A 13339-2025 karta knärot.png", "A 13339-2025")</f>
        <v/>
      </c>
      <c r="AA23">
        <f>HYPERLINK("https://klasma.github.io/Logging_2021/klagomål/A 13339-2025 FSC-klagomål.docx", "A 13339-2025")</f>
        <v/>
      </c>
      <c r="AB23">
        <f>HYPERLINK("https://klasma.github.io/Logging_2021/klagomålsmail/A 13339-2025 FSC-klagomål mail.docx", "A 13339-2025")</f>
        <v/>
      </c>
      <c r="AC23">
        <f>HYPERLINK("https://klasma.github.io/Logging_2021/tillsyn/A 13339-2025 tillsynsbegäran.docx", "A 13339-2025")</f>
        <v/>
      </c>
      <c r="AD23">
        <f>HYPERLINK("https://klasma.github.io/Logging_2021/tillsynsmail/A 13339-2025 tillsynsbegäran mail.docx", "A 13339-2025")</f>
        <v/>
      </c>
    </row>
    <row r="24" ht="15" customHeight="1">
      <c r="A24" t="inlineStr">
        <is>
          <t>A 13344-2025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46294</v>
      </c>
      <c r="F24" t="inlineStr">
        <is>
          <t>DALARNAS LÄN</t>
        </is>
      </c>
      <c r="G24" t="inlineStr">
        <is>
          <t>VANSBRO</t>
        </is>
      </c>
      <c r="I24" t="n">
        <v>0.5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6</v>
      </c>
      <c r="V24" s="2" t="inlineStr">
        <is>
          <t>Knärot
Mörk kolflarnlav
Ullticka
Tjäder</t>
        </is>
      </c>
      <c r="W24">
        <f>HYPERLINK("https://klasma.github.io/Logging_2021/artfynd/A 13344-2025 artfynd.xlsx", "A 13344-2025")</f>
        <v/>
      </c>
      <c r="X24">
        <f>HYPERLINK("https://klasma.github.io/Logging_2021/kartor/A 13344-2025 karta.png", "A 13344-2025")</f>
        <v/>
      </c>
      <c r="Y24">
        <f>HYPERLINK("https://klasma.github.io/Logging_2021/kartor_geotiff/A 13344-2025 georefererad karta.tif", "A 13344-2025")</f>
        <v/>
      </c>
      <c r="Z24">
        <f>HYPERLINK("https://klasma.github.io/Logging_2021/knärot/A 13344-2025 karta knärot.png", "A 13344-2025")</f>
        <v/>
      </c>
      <c r="AA24">
        <f>HYPERLINK("https://klasma.github.io/Logging_2021/klagomål/A 13344-2025 FSC-klagomål.docx", "A 13344-2025")</f>
        <v/>
      </c>
      <c r="AB24">
        <f>HYPERLINK("https://klasma.github.io/Logging_2021/klagomålsmail/A 13344-2025 FSC-klagomål mail.docx", "A 13344-2025")</f>
        <v/>
      </c>
      <c r="AC24">
        <f>HYPERLINK("https://klasma.github.io/Logging_2021/tillsyn/A 13344-2025 tillsynsbegäran.docx", "A 13344-2025")</f>
        <v/>
      </c>
      <c r="AD24">
        <f>HYPERLINK("https://klasma.github.io/Logging_2021/tillsynsmail/A 13344-2025 tillsynsbegäran mail.docx", "A 13344-2025")</f>
        <v/>
      </c>
      <c r="AE24">
        <f>HYPERLINK("https://klasma.github.io/Logging_2021/fåglar/A 13344-2025 prioriterade fågelarter.docx", "A 13344-2025")</f>
        <v/>
      </c>
    </row>
    <row r="25" ht="15" customHeight="1">
      <c r="A25" t="inlineStr">
        <is>
          <t>A 33003-2025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45840</v>
      </c>
      <c r="E25" s="1" t="n">
        <v>46294</v>
      </c>
      <c r="F25" t="inlineStr">
        <is>
          <t>DALARNAS LÄN</t>
        </is>
      </c>
      <c r="G25" t="inlineStr">
        <is>
          <t>VANSBRO</t>
        </is>
      </c>
      <c r="I25" t="n">
        <v>2.3</v>
      </c>
      <c r="J25" t="n">
        <v>2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12</v>
      </c>
      <c r="U25" t="n">
        <v>12</v>
      </c>
      <c r="V25" s="2" t="inlineStr">
        <is>
          <t>Garnlav
Knärot
Kolflarnlav
Tretåig hackspett</t>
        </is>
      </c>
      <c r="W25">
        <f>HYPERLINK("https://klasma.github.io/Logging_2021/artfynd/A 33003-2025 artfynd.xlsx", "A 33003-2025")</f>
        <v/>
      </c>
      <c r="X25">
        <f>HYPERLINK("https://klasma.github.io/Logging_2021/kartor/A 33003-2025 karta.png", "A 33003-2025")</f>
        <v/>
      </c>
      <c r="Y25">
        <f>HYPERLINK("https://klasma.github.io/Logging_2021/kartor_geotiff/A 33003-2025 georefererad karta.tif", "A 33003-2025")</f>
        <v/>
      </c>
      <c r="Z25">
        <f>HYPERLINK("https://klasma.github.io/Logging_2021/knärot/A 33003-2025 karta knärot.png", "A 33003-2025")</f>
        <v/>
      </c>
      <c r="AA25">
        <f>HYPERLINK("https://klasma.github.io/Logging_2021/klagomål/A 33003-2025 FSC-klagomål.docx", "A 33003-2025")</f>
        <v/>
      </c>
      <c r="AB25">
        <f>HYPERLINK("https://klasma.github.io/Logging_2021/klagomålsmail/A 33003-2025 FSC-klagomål mail.docx", "A 33003-2025")</f>
        <v/>
      </c>
      <c r="AC25">
        <f>HYPERLINK("https://klasma.github.io/Logging_2021/tillsyn/A 33003-2025 tillsynsbegäran.docx", "A 33003-2025")</f>
        <v/>
      </c>
      <c r="AD25">
        <f>HYPERLINK("https://klasma.github.io/Logging_2021/tillsynsmail/A 33003-2025 tillsynsbegäran mail.docx", "A 33003-2025")</f>
        <v/>
      </c>
      <c r="AE25">
        <f>HYPERLINK("https://klasma.github.io/Logging_2021/fåglar/A 33003-2025 prioriterade fågelarter.docx", "A 33003-2025")</f>
        <v/>
      </c>
    </row>
    <row r="26" ht="15" customHeight="1">
      <c r="A26" t="inlineStr">
        <is>
          <t>A 45350-2024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45576</v>
      </c>
      <c r="E26" s="1" t="n">
        <v>46294</v>
      </c>
      <c r="F26" t="inlineStr">
        <is>
          <t>DALARNAS LÄN</t>
        </is>
      </c>
      <c r="G26" t="inlineStr">
        <is>
          <t>VANSBRO</t>
        </is>
      </c>
      <c r="I26" t="n">
        <v>13.4</v>
      </c>
      <c r="J26" t="n">
        <v>0</v>
      </c>
      <c r="K26" t="n">
        <v>1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8</v>
      </c>
      <c r="U26" t="n">
        <v>8</v>
      </c>
      <c r="V26" s="2" t="inlineStr">
        <is>
          <t>Garnlav
Dropptaggsvamp
Kolflarnlav
Mindre märgborre</t>
        </is>
      </c>
      <c r="W26">
        <f>HYPERLINK("https://klasma.github.io/Logging_2021/artfynd/A 45350-2024 artfynd.xlsx", "A 45350-2024")</f>
        <v/>
      </c>
      <c r="X26">
        <f>HYPERLINK("https://klasma.github.io/Logging_2021/kartor/A 45350-2024 karta.png", "A 45350-2024")</f>
        <v/>
      </c>
      <c r="Y26">
        <f>HYPERLINK("https://klasma.github.io/Logging_2021/kartor_geotiff/A 45350-2024 georefererad karta.tif", "A 45350-2024")</f>
        <v/>
      </c>
      <c r="AA26">
        <f>HYPERLINK("https://klasma.github.io/Logging_2021/klagomål/A 45350-2024 FSC-klagomål.docx", "A 45350-2024")</f>
        <v/>
      </c>
      <c r="AB26">
        <f>HYPERLINK("https://klasma.github.io/Logging_2021/klagomålsmail/A 45350-2024 FSC-klagomål mail.docx", "A 45350-2024")</f>
        <v/>
      </c>
      <c r="AC26">
        <f>HYPERLINK("https://klasma.github.io/Logging_2021/tillsyn/A 45350-2024 tillsynsbegäran.docx", "A 45350-2024")</f>
        <v/>
      </c>
      <c r="AD26">
        <f>HYPERLINK("https://klasma.github.io/Logging_2021/tillsynsmail/A 45350-2024 tillsynsbegäran mail.docx", "A 45350-2024")</f>
        <v/>
      </c>
    </row>
    <row r="27" ht="15" customHeight="1">
      <c r="A27" t="inlineStr">
        <is>
          <t>A 11477-2026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46083</v>
      </c>
      <c r="E27" s="1" t="n">
        <v>46294</v>
      </c>
      <c r="F27" t="inlineStr">
        <is>
          <t>DALARNAS LÄN</t>
        </is>
      </c>
      <c r="G27" t="inlineStr">
        <is>
          <t>VANSBRO</t>
        </is>
      </c>
      <c r="I27" t="n">
        <v>14.5</v>
      </c>
      <c r="J27" t="n">
        <v>0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4</v>
      </c>
      <c r="T27" t="n">
        <v>5</v>
      </c>
      <c r="U27" t="n">
        <v>0</v>
      </c>
      <c r="V27" s="2" t="inlineStr">
        <is>
          <t>Garnlav
Dvärgbägarlav
Nordtagging
Vedskivlav</t>
        </is>
      </c>
      <c r="W27">
        <f>HYPERLINK("https://klasma.github.io/Logging_2021/artfynd/A 11477-2026 artfynd.xlsx", "A 11477-2026")</f>
        <v/>
      </c>
      <c r="X27">
        <f>HYPERLINK("https://klasma.github.io/Logging_2021/kartor/A 11477-2026 karta.png", "A 11477-2026")</f>
        <v/>
      </c>
      <c r="Y27">
        <f>HYPERLINK("https://klasma.github.io/Logging_2021/kartor_geotiff/A 11477-2026 georefererad karta.tif", "A 11477-2026")</f>
        <v/>
      </c>
      <c r="AA27">
        <f>HYPERLINK("https://klasma.github.io/Logging_2021/klagomål/A 11477-2026 FSC-klagomål.docx", "A 11477-2026")</f>
        <v/>
      </c>
      <c r="AB27">
        <f>HYPERLINK("https://klasma.github.io/Logging_2021/klagomålsmail/A 11477-2026 FSC-klagomål mail.docx", "A 11477-2026")</f>
        <v/>
      </c>
      <c r="AC27">
        <f>HYPERLINK("https://klasma.github.io/Logging_2021/tillsyn/A 11477-2026 tillsynsbegäran.docx", "A 11477-2026")</f>
        <v/>
      </c>
      <c r="AD27">
        <f>HYPERLINK("https://klasma.github.io/Logging_2021/tillsynsmail/A 11477-2026 tillsynsbegäran mail.docx", "A 11477-2026")</f>
        <v/>
      </c>
    </row>
    <row r="28" ht="15" customHeight="1">
      <c r="A28" t="inlineStr">
        <is>
          <t>A 16725-2024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45409</v>
      </c>
      <c r="E28" s="1" t="n">
        <v>46294</v>
      </c>
      <c r="F28" t="inlineStr">
        <is>
          <t>DALARNAS LÄN</t>
        </is>
      </c>
      <c r="G28" t="inlineStr">
        <is>
          <t>VANSBRO</t>
        </is>
      </c>
      <c r="I28" t="n">
        <v>3.1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Skuggblåslav
Bollvitmossa</t>
        </is>
      </c>
      <c r="W28">
        <f>HYPERLINK("https://klasma.github.io/Logging_2021/artfynd/A 16725-2024 artfynd.xlsx", "A 16725-2024")</f>
        <v/>
      </c>
      <c r="X28">
        <f>HYPERLINK("https://klasma.github.io/Logging_2021/kartor/A 16725-2024 karta.png", "A 16725-2024")</f>
        <v/>
      </c>
      <c r="Y28">
        <f>HYPERLINK("https://klasma.github.io/Logging_2021/kartor_geotiff/A 16725-2024 georefererad karta.tif", "A 16725-2024")</f>
        <v/>
      </c>
      <c r="AA28">
        <f>HYPERLINK("https://klasma.github.io/Logging_2021/klagomål/A 16725-2024 FSC-klagomål.docx", "A 16725-2024")</f>
        <v/>
      </c>
      <c r="AB28">
        <f>HYPERLINK("https://klasma.github.io/Logging_2021/klagomålsmail/A 16725-2024 FSC-klagomål mail.docx", "A 16725-2024")</f>
        <v/>
      </c>
      <c r="AC28">
        <f>HYPERLINK("https://klasma.github.io/Logging_2021/tillsyn/A 16725-2024 tillsynsbegäran.docx", "A 16725-2024")</f>
        <v/>
      </c>
      <c r="AD28">
        <f>HYPERLINK("https://klasma.github.io/Logging_2021/tillsynsmail/A 16725-2024 tillsynsbegäran mail.docx", "A 16725-2024")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46294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27504-2025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45813</v>
      </c>
      <c r="E30" s="1" t="n">
        <v>46294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3.4</v>
      </c>
      <c r="J30" t="n">
        <v>0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5</v>
      </c>
      <c r="U30" t="n">
        <v>0</v>
      </c>
      <c r="V30" s="2" t="inlineStr">
        <is>
          <t>Garnlav
Kortskaftad ärgspik
Vedticka</t>
        </is>
      </c>
      <c r="W30">
        <f>HYPERLINK("https://klasma.github.io/Logging_2021/artfynd/A 27504-2025 artfynd.xlsx", "A 27504-2025")</f>
        <v/>
      </c>
      <c r="X30">
        <f>HYPERLINK("https://klasma.github.io/Logging_2021/kartor/A 27504-2025 karta.png", "A 27504-2025")</f>
        <v/>
      </c>
      <c r="Y30">
        <f>HYPERLINK("https://klasma.github.io/Logging_2021/kartor_geotiff/A 27504-2025 georefererad karta.tif", "A 27504-2025")</f>
        <v/>
      </c>
      <c r="AA30">
        <f>HYPERLINK("https://klasma.github.io/Logging_2021/klagomål/A 27504-2025 FSC-klagomål.docx", "A 27504-2025")</f>
        <v/>
      </c>
      <c r="AB30">
        <f>HYPERLINK("https://klasma.github.io/Logging_2021/klagomålsmail/A 27504-2025 FSC-klagomål mail.docx", "A 27504-2025")</f>
        <v/>
      </c>
      <c r="AC30">
        <f>HYPERLINK("https://klasma.github.io/Logging_2021/tillsyn/A 27504-2025 tillsynsbegäran.docx", "A 27504-2025")</f>
        <v/>
      </c>
      <c r="AD30">
        <f>HYPERLINK("https://klasma.github.io/Logging_2021/tillsynsmail/A 27504-2025 tillsynsbegäran mail.docx", "A 27504-2025")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46294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46294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46294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1691-2026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46294</v>
      </c>
      <c r="F34" t="inlineStr">
        <is>
          <t>DALARNAS LÄN</t>
        </is>
      </c>
      <c r="G34" t="inlineStr">
        <is>
          <t>VANSBRO</t>
        </is>
      </c>
      <c r="I34" t="n">
        <v>6.3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Dropptaggsvamp
Motaggsvamp</t>
        </is>
      </c>
      <c r="W34">
        <f>HYPERLINK("https://klasma.github.io/Logging_2021/artfynd/A 1691-2026 artfynd.xlsx", "A 1691-2026")</f>
        <v/>
      </c>
      <c r="X34">
        <f>HYPERLINK("https://klasma.github.io/Logging_2021/kartor/A 1691-2026 karta.png", "A 1691-2026")</f>
        <v/>
      </c>
      <c r="Y34">
        <f>HYPERLINK("https://klasma.github.io/Logging_2021/kartor_geotiff/A 1691-2026 georefererad karta.tif", "A 1691-2026")</f>
        <v/>
      </c>
      <c r="AA34">
        <f>HYPERLINK("https://klasma.github.io/Logging_2021/klagomål/A 1691-2026 FSC-klagomål.docx", "A 1691-2026")</f>
        <v/>
      </c>
      <c r="AB34">
        <f>HYPERLINK("https://klasma.github.io/Logging_2021/klagomålsmail/A 1691-2026 FSC-klagomål mail.docx", "A 1691-2026")</f>
        <v/>
      </c>
      <c r="AC34">
        <f>HYPERLINK("https://klasma.github.io/Logging_2021/tillsyn/A 1691-2026 tillsynsbegäran.docx", "A 1691-2026")</f>
        <v/>
      </c>
      <c r="AD34">
        <f>HYPERLINK("https://klasma.github.io/Logging_2021/tillsynsmail/A 1691-2026 tillsynsbegäran mail.docx", "A 1691-2026")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46294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58009-2023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45247</v>
      </c>
      <c r="E36" s="1" t="n">
        <v>46294</v>
      </c>
      <c r="F36" t="inlineStr">
        <is>
          <t>DALARNAS LÄN</t>
        </is>
      </c>
      <c r="G36" t="inlineStr">
        <is>
          <t>VANSBRO</t>
        </is>
      </c>
      <c r="I36" t="n">
        <v>0.5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Sädesärla
Orre</t>
        </is>
      </c>
      <c r="W36">
        <f>HYPERLINK("https://klasma.github.io/Logging_2021/artfynd/A 58009-2023 artfynd.xlsx", "A 58009-2023")</f>
        <v/>
      </c>
      <c r="X36">
        <f>HYPERLINK("https://klasma.github.io/Logging_2021/kartor/A 58009-2023 karta.png", "A 58009-2023")</f>
        <v/>
      </c>
      <c r="Y36">
        <f>HYPERLINK("https://klasma.github.io/Logging_2021/kartor_geotiff/A 58009-2023 georefererad karta.tif", "A 58009-2023")</f>
        <v/>
      </c>
      <c r="AA36">
        <f>HYPERLINK("https://klasma.github.io/Logging_2021/klagomål/A 58009-2023 FSC-klagomål.docx", "A 58009-2023")</f>
        <v/>
      </c>
      <c r="AB36">
        <f>HYPERLINK("https://klasma.github.io/Logging_2021/klagomålsmail/A 58009-2023 FSC-klagomål mail.docx", "A 58009-2023")</f>
        <v/>
      </c>
      <c r="AC36">
        <f>HYPERLINK("https://klasma.github.io/Logging_2021/tillsyn/A 58009-2023 tillsynsbegäran.docx", "A 58009-2023")</f>
        <v/>
      </c>
      <c r="AD36">
        <f>HYPERLINK("https://klasma.github.io/Logging_2021/tillsynsmail/A 58009-2023 tillsynsbegäran mail.docx", "A 58009-2023")</f>
        <v/>
      </c>
      <c r="AE36">
        <f>HYPERLINK("https://klasma.github.io/Logging_2021/fåglar/A 58009-2023 prioriterade fågelarter.docx", "A 58009-2023")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46294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33793-2026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46294</v>
      </c>
      <c r="F38" t="inlineStr">
        <is>
          <t>DALARNAS LÄN</t>
        </is>
      </c>
      <c r="G38" t="inlineStr">
        <is>
          <t>VANSBRO</t>
        </is>
      </c>
      <c r="H38" t="inlineStr">
        <is>
          <t>Bergvik skog öst AB</t>
        </is>
      </c>
      <c r="I38" t="n">
        <v>0.9</v>
      </c>
      <c r="J38" t="n">
        <v>0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Nästlav</t>
        </is>
      </c>
      <c r="W38">
        <f>HYPERLINK("https://klasma.github.io/Logging_2021/artfynd/A 33793-2026 artfynd.xlsx", "A 33793-2026")</f>
        <v/>
      </c>
      <c r="X38">
        <f>HYPERLINK("https://klasma.github.io/Logging_2021/kartor/A 33793-2026 karta.png", "A 33793-2026")</f>
        <v/>
      </c>
      <c r="Y38">
        <f>HYPERLINK("https://klasma.github.io/Logging_2021/kartor_geotiff/A 33793-2026 georefererad karta.tif", "A 33793-2026")</f>
        <v/>
      </c>
      <c r="AA38">
        <f>HYPERLINK("https://klasma.github.io/Logging_2021/klagomål/A 33793-2026 FSC-klagomål.docx", "A 33793-2026")</f>
        <v/>
      </c>
      <c r="AB38">
        <f>HYPERLINK("https://klasma.github.io/Logging_2021/klagomålsmail/A 33793-2026 FSC-klagomål mail.docx", "A 33793-2026")</f>
        <v/>
      </c>
      <c r="AC38">
        <f>HYPERLINK("https://klasma.github.io/Logging_2021/tillsyn/A 33793-2026 tillsynsbegäran.docx", "A 33793-2026")</f>
        <v/>
      </c>
      <c r="AD38">
        <f>HYPERLINK("https://klasma.github.io/Logging_2021/tillsynsmail/A 33793-2026 tillsynsbegäran mail.docx", "A 33793-2026")</f>
        <v/>
      </c>
    </row>
    <row r="39" ht="15" customHeight="1">
      <c r="A39" t="inlineStr">
        <is>
          <t>A 27052-2025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45811</v>
      </c>
      <c r="E39" s="1" t="n">
        <v>46294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väst AB</t>
        </is>
      </c>
      <c r="I39" t="n">
        <v>1.9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Tjäder</t>
        </is>
      </c>
      <c r="W39">
        <f>HYPERLINK("https://klasma.github.io/Logging_2021/artfynd/A 27052-2025 artfynd.xlsx", "A 27052-2025")</f>
        <v/>
      </c>
      <c r="X39">
        <f>HYPERLINK("https://klasma.github.io/Logging_2021/kartor/A 27052-2025 karta.png", "A 27052-2025")</f>
        <v/>
      </c>
      <c r="Y39">
        <f>HYPERLINK("https://klasma.github.io/Logging_2021/kartor_geotiff/A 27052-2025 georefererad karta.tif", "A 27052-2025")</f>
        <v/>
      </c>
      <c r="AA39">
        <f>HYPERLINK("https://klasma.github.io/Logging_2021/klagomål/A 27052-2025 FSC-klagomål.docx", "A 27052-2025")</f>
        <v/>
      </c>
      <c r="AB39">
        <f>HYPERLINK("https://klasma.github.io/Logging_2021/klagomålsmail/A 27052-2025 FSC-klagomål mail.docx", "A 27052-2025")</f>
        <v/>
      </c>
      <c r="AC39">
        <f>HYPERLINK("https://klasma.github.io/Logging_2021/tillsyn/A 27052-2025 tillsynsbegäran.docx", "A 27052-2025")</f>
        <v/>
      </c>
      <c r="AD39">
        <f>HYPERLINK("https://klasma.github.io/Logging_2021/tillsynsmail/A 27052-2025 tillsynsbegäran mail.docx", "A 27052-2025")</f>
        <v/>
      </c>
      <c r="AE39">
        <f>HYPERLINK("https://klasma.github.io/Logging_2021/fåglar/A 27052-2025 prioriterade fågelarter.docx", "A 27052-2025")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46294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32917-2025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46294</v>
      </c>
      <c r="F41" t="inlineStr">
        <is>
          <t>DALARNAS LÄN</t>
        </is>
      </c>
      <c r="G41" t="inlineStr">
        <is>
          <t>VANSBRO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2</v>
      </c>
      <c r="V41" s="2" t="inlineStr">
        <is>
          <t>Garnlav</t>
        </is>
      </c>
      <c r="W41">
        <f>HYPERLINK("https://klasma.github.io/Logging_2021/artfynd/A 32917-2025 artfynd.xlsx", "A 32917-2025")</f>
        <v/>
      </c>
      <c r="X41">
        <f>HYPERLINK("https://klasma.github.io/Logging_2021/kartor/A 32917-2025 karta.png", "A 32917-2025")</f>
        <v/>
      </c>
      <c r="Y41">
        <f>HYPERLINK("https://klasma.github.io/Logging_2021/kartor_geotiff/A 32917-2025 georefererad karta.tif", "A 32917-2025")</f>
        <v/>
      </c>
      <c r="AA41">
        <f>HYPERLINK("https://klasma.github.io/Logging_2021/klagomål/A 32917-2025 FSC-klagomål.docx", "A 32917-2025")</f>
        <v/>
      </c>
      <c r="AB41">
        <f>HYPERLINK("https://klasma.github.io/Logging_2021/klagomålsmail/A 32917-2025 FSC-klagomål mail.docx", "A 32917-2025")</f>
        <v/>
      </c>
      <c r="AC41">
        <f>HYPERLINK("https://klasma.github.io/Logging_2021/tillsyn/A 32917-2025 tillsynsbegäran.docx", "A 32917-2025")</f>
        <v/>
      </c>
      <c r="AD41">
        <f>HYPERLINK("https://klasma.github.io/Logging_2021/tillsynsmail/A 32917-2025 tillsynsbegäran mail.docx", "A 32917-2025")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46294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5659-2026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46051</v>
      </c>
      <c r="E43" s="1" t="n">
        <v>46294</v>
      </c>
      <c r="F43" t="inlineStr">
        <is>
          <t>DALARNAS LÄN</t>
        </is>
      </c>
      <c r="G43" t="inlineStr">
        <is>
          <t>VANSBRO</t>
        </is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rörsvepemossa</t>
        </is>
      </c>
      <c r="W43">
        <f>HYPERLINK("https://klasma.github.io/Logging_2021/artfynd/A 5659-2026 artfynd.xlsx", "A 5659-2026")</f>
        <v/>
      </c>
      <c r="X43">
        <f>HYPERLINK("https://klasma.github.io/Logging_2021/kartor/A 5659-2026 karta.png", "A 5659-2026")</f>
        <v/>
      </c>
      <c r="Y43">
        <f>HYPERLINK("https://klasma.github.io/Logging_2021/kartor_geotiff/A 5659-2026 georefererad karta.tif", "A 5659-2026")</f>
        <v/>
      </c>
      <c r="Z43">
        <f>HYPERLINK("https://klasma.github.io/Logging_2021/knärot/A 5659-2026 karta knärot.png", "A 5659-2026")</f>
        <v/>
      </c>
      <c r="AA43">
        <f>HYPERLINK("https://klasma.github.io/Logging_2021/klagomål/A 5659-2026 FSC-klagomål.docx", "A 5659-2026")</f>
        <v/>
      </c>
      <c r="AB43">
        <f>HYPERLINK("https://klasma.github.io/Logging_2021/klagomålsmail/A 5659-2026 FSC-klagomål mail.docx", "A 5659-2026")</f>
        <v/>
      </c>
      <c r="AC43">
        <f>HYPERLINK("https://klasma.github.io/Logging_2021/tillsyn/A 5659-2026 tillsynsbegäran.docx", "A 5659-2026")</f>
        <v/>
      </c>
      <c r="AD43">
        <f>HYPERLINK("https://klasma.github.io/Logging_2021/tillsynsmail/A 5659-2026 tillsynsbegäran mail.docx", "A 5659-2026")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46294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20076-2026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46136</v>
      </c>
      <c r="E45" s="1" t="n">
        <v>46294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öst AB</t>
        </is>
      </c>
      <c r="I45" t="n">
        <v>13.2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Kransrams</t>
        </is>
      </c>
      <c r="W45">
        <f>HYPERLINK("https://klasma.github.io/Logging_2021/artfynd/A 20076-2026 artfynd.xlsx", "A 20076-2026")</f>
        <v/>
      </c>
      <c r="X45">
        <f>HYPERLINK("https://klasma.github.io/Logging_2021/kartor/A 20076-2026 karta.png", "A 20076-2026")</f>
        <v/>
      </c>
      <c r="Y45">
        <f>HYPERLINK("https://klasma.github.io/Logging_2021/kartor_geotiff/A 20076-2026 georefererad karta.tif", "A 20076-2026")</f>
        <v/>
      </c>
      <c r="AA45">
        <f>HYPERLINK("https://klasma.github.io/Logging_2021/klagomål/A 20076-2026 FSC-klagomål.docx", "A 20076-2026")</f>
        <v/>
      </c>
      <c r="AB45">
        <f>HYPERLINK("https://klasma.github.io/Logging_2021/klagomålsmail/A 20076-2026 FSC-klagomål mail.docx", "A 20076-2026")</f>
        <v/>
      </c>
      <c r="AC45">
        <f>HYPERLINK("https://klasma.github.io/Logging_2021/tillsyn/A 20076-2026 tillsynsbegäran.docx", "A 20076-2026")</f>
        <v/>
      </c>
      <c r="AD45">
        <f>HYPERLINK("https://klasma.github.io/Logging_2021/tillsynsmail/A 20076-2026 tillsynsbegäran mail.docx", "A 20076-2026")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46294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46294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46294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46294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35533-2026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46294</v>
      </c>
      <c r="F50" t="inlineStr">
        <is>
          <t>DALARNAS LÄN</t>
        </is>
      </c>
      <c r="G50" t="inlineStr">
        <is>
          <t>VANSBRO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HYPERLINK("https://klasma.github.io/Logging_2021/artfynd/A 35533-2026 artfynd.xlsx", "A 35533-2026")</f>
        <v/>
      </c>
      <c r="X50">
        <f>HYPERLINK("https://klasma.github.io/Logging_2021/kartor/A 35533-2026 karta.png", "A 35533-2026")</f>
        <v/>
      </c>
      <c r="Y50">
        <f>HYPERLINK("https://klasma.github.io/Logging_2021/kartor_geotiff/A 35533-2026 georefererad karta.tif", "A 35533-2026")</f>
        <v/>
      </c>
      <c r="Z50">
        <f>HYPERLINK("https://klasma.github.io/Logging_2021/knärot/A 35533-2026 karta knärot.png", "A 35533-2026")</f>
        <v/>
      </c>
      <c r="AA50">
        <f>HYPERLINK("https://klasma.github.io/Logging_2021/klagomål/A 35533-2026 FSC-klagomål.docx", "A 35533-2026")</f>
        <v/>
      </c>
      <c r="AB50">
        <f>HYPERLINK("https://klasma.github.io/Logging_2021/klagomålsmail/A 35533-2026 FSC-klagomål mail.docx", "A 35533-2026")</f>
        <v/>
      </c>
      <c r="AC50">
        <f>HYPERLINK("https://klasma.github.io/Logging_2021/tillsyn/A 35533-2026 tillsynsbegäran.docx", "A 35533-2026")</f>
        <v/>
      </c>
      <c r="AD50">
        <f>HYPERLINK("https://klasma.github.io/Logging_2021/tillsynsmail/A 35533-2026 tillsynsbegäran mail.docx", "A 35533-2026")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46294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46294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46294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46294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46294</v>
      </c>
      <c r="F55" t="inlineStr">
        <is>
          <t>DALARNAS LÄN</t>
        </is>
      </c>
      <c r="G55" t="inlineStr">
        <is>
          <t>VANSBRO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46294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44708</v>
      </c>
      <c r="E58" s="1" t="n">
        <v>46294</v>
      </c>
      <c r="F58" t="inlineStr">
        <is>
          <t>DALARNAS LÄN</t>
        </is>
      </c>
      <c r="G58" t="inlineStr">
        <is>
          <t>VANSBRO</t>
        </is>
      </c>
      <c r="I58" t="n">
        <v>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46294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46294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46294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46294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46294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46294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46294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46294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46294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46294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44774</v>
      </c>
      <c r="E69" s="1" t="n">
        <v>46294</v>
      </c>
      <c r="F69" t="inlineStr">
        <is>
          <t>DALARNAS LÄN</t>
        </is>
      </c>
      <c r="G69" t="inlineStr">
        <is>
          <t>VANSBRO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8890-2022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44614</v>
      </c>
      <c r="E70" s="1" t="n">
        <v>46294</v>
      </c>
      <c r="F70" t="inlineStr">
        <is>
          <t>DALARNAS LÄN</t>
        </is>
      </c>
      <c r="G70" t="inlineStr">
        <is>
          <t>VANSBRO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46294</v>
      </c>
      <c r="F71" t="inlineStr">
        <is>
          <t>DALARNAS LÄN</t>
        </is>
      </c>
      <c r="G71" t="inlineStr">
        <is>
          <t>VANSBRO</t>
        </is>
      </c>
      <c r="H71" t="inlineStr">
        <is>
          <t>Övriga statliga verk och myndigheter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46294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25624-2022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46294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44827</v>
      </c>
      <c r="E74" s="1" t="n">
        <v>46294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väst AB</t>
        </is>
      </c>
      <c r="I74" t="n">
        <v>6.9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28657-2022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46294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44476</v>
      </c>
      <c r="E76" s="1" t="n">
        <v>46294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56098-2021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44477</v>
      </c>
      <c r="E77" s="1" t="n">
        <v>46294</v>
      </c>
      <c r="F77" t="inlineStr">
        <is>
          <t>DALARNAS LÄN</t>
        </is>
      </c>
      <c r="G77" t="inlineStr">
        <is>
          <t>VANSBRO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44643</v>
      </c>
      <c r="E78" s="1" t="n">
        <v>46294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46294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46294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38773-2022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46294</v>
      </c>
      <c r="F81" t="inlineStr">
        <is>
          <t>DALARNAS LÄN</t>
        </is>
      </c>
      <c r="G81" t="inlineStr">
        <is>
          <t>VANSBRO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38253-2022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46294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46294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4680-2023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44957</v>
      </c>
      <c r="E84" s="1" t="n">
        <v>46294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55078-2022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46294</v>
      </c>
      <c r="F85" t="inlineStr">
        <is>
          <t>DALARNAS LÄN</t>
        </is>
      </c>
      <c r="G85" t="inlineStr">
        <is>
          <t>VANSBRO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45443</v>
      </c>
      <c r="E86" s="1" t="n">
        <v>46294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45498</v>
      </c>
      <c r="E87" s="1" t="n">
        <v>46294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34738-2023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45141</v>
      </c>
      <c r="E88" s="1" t="n">
        <v>46294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45617</v>
      </c>
      <c r="E89" s="1" t="n">
        <v>46294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23899-2023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46294</v>
      </c>
      <c r="F90" t="inlineStr">
        <is>
          <t>DALARNAS LÄN</t>
        </is>
      </c>
      <c r="G90" t="inlineStr">
        <is>
          <t>VANSBRO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11408-2025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45726</v>
      </c>
      <c r="E91" s="1" t="n">
        <v>46294</v>
      </c>
      <c r="F91" t="inlineStr">
        <is>
          <t>DALARNAS LÄN</t>
        </is>
      </c>
      <c r="G91" t="inlineStr">
        <is>
          <t>VANSBRO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45194</v>
      </c>
      <c r="E92" s="1" t="n">
        <v>46294</v>
      </c>
      <c r="F92" t="inlineStr">
        <is>
          <t>DALARNAS LÄN</t>
        </is>
      </c>
      <c r="G92" t="inlineStr">
        <is>
          <t>VANSBRO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45183</v>
      </c>
      <c r="E93" s="1" t="n">
        <v>46294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46294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41371-2022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44826</v>
      </c>
      <c r="E95" s="1" t="n">
        <v>46294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öst AB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38034-2024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45544</v>
      </c>
      <c r="E96" s="1" t="n">
        <v>46294</v>
      </c>
      <c r="F96" t="inlineStr">
        <is>
          <t>DALARNAS LÄN</t>
        </is>
      </c>
      <c r="G96" t="inlineStr">
        <is>
          <t>VANSBRO</t>
        </is>
      </c>
      <c r="H96" t="inlineStr">
        <is>
          <t>Övriga statliga verk och myndigheter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34882-2022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44796</v>
      </c>
      <c r="E97" s="1" t="n">
        <v>46294</v>
      </c>
      <c r="F97" t="inlineStr">
        <is>
          <t>DALARNAS LÄN</t>
        </is>
      </c>
      <c r="G97" t="inlineStr">
        <is>
          <t>VANSBRO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46294</v>
      </c>
      <c r="F98" t="inlineStr">
        <is>
          <t>DALARNAS LÄN</t>
        </is>
      </c>
      <c r="G98" t="inlineStr">
        <is>
          <t>VANSBRO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45315</v>
      </c>
      <c r="E99" s="1" t="n">
        <v>46294</v>
      </c>
      <c r="F99" t="inlineStr">
        <is>
          <t>DALARNAS LÄN</t>
        </is>
      </c>
      <c r="G99" t="inlineStr">
        <is>
          <t>VANSBRO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45793</v>
      </c>
      <c r="E100" s="1" t="n">
        <v>46294</v>
      </c>
      <c r="F100" t="inlineStr">
        <is>
          <t>DALARNAS LÄN</t>
        </is>
      </c>
      <c r="G100" t="inlineStr">
        <is>
          <t>VANSBRO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46294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45688</v>
      </c>
      <c r="E102" s="1" t="n">
        <v>46294</v>
      </c>
      <c r="F102" t="inlineStr">
        <is>
          <t>DALARNAS LÄN</t>
        </is>
      </c>
      <c r="G102" t="inlineStr">
        <is>
          <t>VANSBRO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29411-2024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45483</v>
      </c>
      <c r="E103" s="1" t="n">
        <v>46294</v>
      </c>
      <c r="F103" t="inlineStr">
        <is>
          <t>DALARNAS LÄN</t>
        </is>
      </c>
      <c r="G103" t="inlineStr">
        <is>
          <t>VANSBRO</t>
        </is>
      </c>
      <c r="H103" t="inlineStr">
        <is>
          <t>Bergvik skog väst AB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35516-2024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46294</v>
      </c>
      <c r="F104" t="inlineStr">
        <is>
          <t>DALARNAS LÄN</t>
        </is>
      </c>
      <c r="G104" t="inlineStr">
        <is>
          <t>VANSBRO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46294</v>
      </c>
      <c r="F105" t="inlineStr">
        <is>
          <t>DALARNAS LÄN</t>
        </is>
      </c>
      <c r="G105" t="inlineStr">
        <is>
          <t>VANSBRO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46294</v>
      </c>
      <c r="F106" t="inlineStr">
        <is>
          <t>DALARNAS LÄN</t>
        </is>
      </c>
      <c r="G106" t="inlineStr">
        <is>
          <t>VANSBRO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46294</v>
      </c>
      <c r="F107" t="inlineStr">
        <is>
          <t>DALARNAS LÄN</t>
        </is>
      </c>
      <c r="G107" t="inlineStr">
        <is>
          <t>VANSBRO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46294</v>
      </c>
      <c r="F108" t="inlineStr">
        <is>
          <t>DALARNAS LÄN</t>
        </is>
      </c>
      <c r="G108" t="inlineStr">
        <is>
          <t>VANSBRO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39502-2025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45890</v>
      </c>
      <c r="E109" s="1" t="n">
        <v>46294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väst AB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39490-2025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45890</v>
      </c>
      <c r="E110" s="1" t="n">
        <v>46294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45689</v>
      </c>
      <c r="E111" s="1" t="n">
        <v>46294</v>
      </c>
      <c r="F111" t="inlineStr">
        <is>
          <t>DALARNAS LÄN</t>
        </is>
      </c>
      <c r="G111" t="inlineStr">
        <is>
          <t>VANSBRO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59142-2024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45637</v>
      </c>
      <c r="E112" s="1" t="n">
        <v>46294</v>
      </c>
      <c r="F112" t="inlineStr">
        <is>
          <t>DALARNAS LÄN</t>
        </is>
      </c>
      <c r="G112" t="inlineStr">
        <is>
          <t>VANSBRO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13639-2022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44648</v>
      </c>
      <c r="E113" s="1" t="n">
        <v>46294</v>
      </c>
      <c r="F113" t="inlineStr">
        <is>
          <t>DALARNAS LÄN</t>
        </is>
      </c>
      <c r="G113" t="inlineStr">
        <is>
          <t>VANSBRO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40884-2025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46294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öst AB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46294</v>
      </c>
      <c r="F115" t="inlineStr">
        <is>
          <t>DALARNAS LÄN</t>
        </is>
      </c>
      <c r="G115" t="inlineStr">
        <is>
          <t>VANSBRO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26508-2025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45807</v>
      </c>
      <c r="E116" s="1" t="n">
        <v>46294</v>
      </c>
      <c r="F116" t="inlineStr">
        <is>
          <t>DALARNAS LÄN</t>
        </is>
      </c>
      <c r="G116" t="inlineStr">
        <is>
          <t>VANSBRO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46294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26990-2025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46294</v>
      </c>
      <c r="F118" t="inlineStr">
        <is>
          <t>DALARNAS LÄN</t>
        </is>
      </c>
      <c r="G118" t="inlineStr">
        <is>
          <t>VANSBRO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26995-2025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45811</v>
      </c>
      <c r="E119" s="1" t="n">
        <v>46294</v>
      </c>
      <c r="F119" t="inlineStr">
        <is>
          <t>DALARNAS LÄN</t>
        </is>
      </c>
      <c r="G119" t="inlineStr">
        <is>
          <t>VANSBRO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44679-2023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45189</v>
      </c>
      <c r="E120" s="1" t="n">
        <v>46294</v>
      </c>
      <c r="F120" t="inlineStr">
        <is>
          <t>DALARNAS LÄN</t>
        </is>
      </c>
      <c r="G120" t="inlineStr">
        <is>
          <t>VANSBRO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32383-2024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45512</v>
      </c>
      <c r="E121" s="1" t="n">
        <v>46294</v>
      </c>
      <c r="F121" t="inlineStr">
        <is>
          <t>DALARNAS LÄN</t>
        </is>
      </c>
      <c r="G121" t="inlineStr">
        <is>
          <t>VANSBRO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45695</v>
      </c>
      <c r="E122" s="1" t="n">
        <v>46294</v>
      </c>
      <c r="F122" t="inlineStr">
        <is>
          <t>DALARNAS LÄN</t>
        </is>
      </c>
      <c r="G122" t="inlineStr">
        <is>
          <t>VANSBRO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46294</v>
      </c>
      <c r="F123" t="inlineStr">
        <is>
          <t>DALARNAS LÄN</t>
        </is>
      </c>
      <c r="G123" t="inlineStr">
        <is>
          <t>VANSBRO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28469-2025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46294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öst AB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16827-2025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46294</v>
      </c>
      <c r="F125" t="inlineStr">
        <is>
          <t>DALARNAS LÄN</t>
        </is>
      </c>
      <c r="G125" t="inlineStr">
        <is>
          <t>VANSBRO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45377</v>
      </c>
      <c r="E126" s="1" t="n">
        <v>46294</v>
      </c>
      <c r="F126" t="inlineStr">
        <is>
          <t>DALARNAS LÄN</t>
        </is>
      </c>
      <c r="G126" t="inlineStr">
        <is>
          <t>VANSBRO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45689</v>
      </c>
      <c r="E127" s="1" t="n">
        <v>46294</v>
      </c>
      <c r="F127" t="inlineStr">
        <is>
          <t>DALARNAS LÄN</t>
        </is>
      </c>
      <c r="G127" t="inlineStr">
        <is>
          <t>VANSBRO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46294</v>
      </c>
      <c r="F128" t="inlineStr">
        <is>
          <t>DALARNAS LÄN</t>
        </is>
      </c>
      <c r="G128" t="inlineStr">
        <is>
          <t>VANSBRO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35299-2024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45530</v>
      </c>
      <c r="E129" s="1" t="n">
        <v>46294</v>
      </c>
      <c r="F129" t="inlineStr">
        <is>
          <t>DALARNAS LÄN</t>
        </is>
      </c>
      <c r="G129" t="inlineStr">
        <is>
          <t>VANSBRO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44925</v>
      </c>
      <c r="E130" s="1" t="n">
        <v>46294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31196-2025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45832</v>
      </c>
      <c r="E131" s="1" t="n">
        <v>46294</v>
      </c>
      <c r="F131" t="inlineStr">
        <is>
          <t>DALARNAS LÄN</t>
        </is>
      </c>
      <c r="G131" t="inlineStr">
        <is>
          <t>VANSBRO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31499-2025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45833</v>
      </c>
      <c r="E132" s="1" t="n">
        <v>46294</v>
      </c>
      <c r="F132" t="inlineStr">
        <is>
          <t>DALARNAS LÄN</t>
        </is>
      </c>
      <c r="G132" t="inlineStr">
        <is>
          <t>VANSBRO</t>
        </is>
      </c>
      <c r="I132" t="n">
        <v>27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31489-2025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46294</v>
      </c>
      <c r="F133" t="inlineStr">
        <is>
          <t>DALARNAS LÄN</t>
        </is>
      </c>
      <c r="G133" t="inlineStr">
        <is>
          <t>VANSBRO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45933</v>
      </c>
      <c r="E134" s="1" t="n">
        <v>46294</v>
      </c>
      <c r="F134" t="inlineStr">
        <is>
          <t>DALARNAS LÄN</t>
        </is>
      </c>
      <c r="G134" t="inlineStr">
        <is>
          <t>VANSBRO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32040-2025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45835</v>
      </c>
      <c r="E135" s="1" t="n">
        <v>46294</v>
      </c>
      <c r="F135" t="inlineStr">
        <is>
          <t>DALARNAS LÄN</t>
        </is>
      </c>
      <c r="G135" t="inlineStr">
        <is>
          <t>VANSBRO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46294</v>
      </c>
      <c r="F136" t="inlineStr">
        <is>
          <t>DALARNAS LÄN</t>
        </is>
      </c>
      <c r="G136" t="inlineStr">
        <is>
          <t>VANSBRO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45932</v>
      </c>
      <c r="E137" s="1" t="n">
        <v>46294</v>
      </c>
      <c r="F137" t="inlineStr">
        <is>
          <t>DALARNAS LÄN</t>
        </is>
      </c>
      <c r="G137" t="inlineStr">
        <is>
          <t>VANSBRO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49565-2022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44862</v>
      </c>
      <c r="E138" s="1" t="n">
        <v>46294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väst AB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48840-2025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45937</v>
      </c>
      <c r="E139" s="1" t="n">
        <v>46294</v>
      </c>
      <c r="F139" t="inlineStr">
        <is>
          <t>DALARNAS LÄN</t>
        </is>
      </c>
      <c r="G139" t="inlineStr">
        <is>
          <t>VANSBRO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33109-2025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46294</v>
      </c>
      <c r="F140" t="inlineStr">
        <is>
          <t>DALARNAS LÄN</t>
        </is>
      </c>
      <c r="G140" t="inlineStr">
        <is>
          <t>VANSBRO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33056-2025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45840</v>
      </c>
      <c r="E141" s="1" t="n">
        <v>46294</v>
      </c>
      <c r="F141" t="inlineStr">
        <is>
          <t>DALARNAS LÄN</t>
        </is>
      </c>
      <c r="G141" t="inlineStr">
        <is>
          <t>VANSBRO</t>
        </is>
      </c>
      <c r="H141" t="inlineStr">
        <is>
          <t>Bergvik skog öst AB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46294</v>
      </c>
      <c r="F142" t="inlineStr">
        <is>
          <t>DALARNAS LÄN</t>
        </is>
      </c>
      <c r="G142" t="inlineStr">
        <is>
          <t>VANSBRO</t>
        </is>
      </c>
      <c r="H142" t="inlineStr">
        <is>
          <t>Bergvik skog öst AB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49677-2025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46294</v>
      </c>
      <c r="F143" t="inlineStr">
        <is>
          <t>DALARNAS LÄN</t>
        </is>
      </c>
      <c r="G143" t="inlineStr">
        <is>
          <t>VANSBRO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30342-2023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45111</v>
      </c>
      <c r="E144" s="1" t="n">
        <v>46294</v>
      </c>
      <c r="F144" t="inlineStr">
        <is>
          <t>DALARNAS LÄN</t>
        </is>
      </c>
      <c r="G144" t="inlineStr">
        <is>
          <t>VANSBRO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49617-2025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45939</v>
      </c>
      <c r="E145" s="1" t="n">
        <v>46294</v>
      </c>
      <c r="F145" t="inlineStr">
        <is>
          <t>DALARNAS LÄN</t>
        </is>
      </c>
      <c r="G145" t="inlineStr">
        <is>
          <t>VANSBRO</t>
        </is>
      </c>
      <c r="H145" t="inlineStr">
        <is>
          <t>Bergvik skog öst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49679-2025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46294</v>
      </c>
      <c r="F146" t="inlineStr">
        <is>
          <t>DALARNAS LÄN</t>
        </is>
      </c>
      <c r="G146" t="inlineStr">
        <is>
          <t>VANSBRO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49673-2025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46294</v>
      </c>
      <c r="F147" t="inlineStr">
        <is>
          <t>DALARNAS LÄN</t>
        </is>
      </c>
      <c r="G147" t="inlineStr">
        <is>
          <t>VANSBRO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50622-2025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46294</v>
      </c>
      <c r="F148" t="inlineStr">
        <is>
          <t>DALARNAS LÄN</t>
        </is>
      </c>
      <c r="G148" t="inlineStr">
        <is>
          <t>VANSBRO</t>
        </is>
      </c>
      <c r="H148" t="inlineStr">
        <is>
          <t>Bergvik skog väst AB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45356-2024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46294</v>
      </c>
      <c r="F149" t="inlineStr">
        <is>
          <t>DALARNAS LÄN</t>
        </is>
      </c>
      <c r="G149" t="inlineStr">
        <is>
          <t>VANSBRO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45846</v>
      </c>
      <c r="E150" s="1" t="n">
        <v>46294</v>
      </c>
      <c r="F150" t="inlineStr">
        <is>
          <t>DALARNAS LÄN</t>
        </is>
      </c>
      <c r="G150" t="inlineStr">
        <is>
          <t>VANSBRO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50687-2025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46294</v>
      </c>
      <c r="F151" t="inlineStr">
        <is>
          <t>DALARNAS LÄN</t>
        </is>
      </c>
      <c r="G151" t="inlineStr">
        <is>
          <t>VANSBRO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46294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35284-2025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45854</v>
      </c>
      <c r="E153" s="1" t="n">
        <v>46294</v>
      </c>
      <c r="F153" t="inlineStr">
        <is>
          <t>DALARNAS LÄN</t>
        </is>
      </c>
      <c r="G153" t="inlineStr">
        <is>
          <t>VANSBRO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51855-2025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45952</v>
      </c>
      <c r="E154" s="1" t="n">
        <v>46294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10.2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45756</v>
      </c>
      <c r="E155" s="1" t="n">
        <v>46294</v>
      </c>
      <c r="F155" t="inlineStr">
        <is>
          <t>DALARNAS LÄN</t>
        </is>
      </c>
      <c r="G155" t="inlineStr">
        <is>
          <t>VANSBRO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53828-2021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44469</v>
      </c>
      <c r="E156" s="1" t="n">
        <v>46294</v>
      </c>
      <c r="F156" t="inlineStr">
        <is>
          <t>DALARNAS LÄN</t>
        </is>
      </c>
      <c r="G156" t="inlineStr">
        <is>
          <t>VANSBRO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45860</v>
      </c>
      <c r="E157" s="1" t="n">
        <v>46294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52676-2025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45956</v>
      </c>
      <c r="E158" s="1" t="n">
        <v>46294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16830-2025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45754</v>
      </c>
      <c r="E159" s="1" t="n">
        <v>46294</v>
      </c>
      <c r="F159" t="inlineStr">
        <is>
          <t>DALARNAS LÄN</t>
        </is>
      </c>
      <c r="G159" t="inlineStr">
        <is>
          <t>VANSBRO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52673-2025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45956</v>
      </c>
      <c r="E160" s="1" t="n">
        <v>46294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51601-2023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46294</v>
      </c>
      <c r="F161" t="inlineStr">
        <is>
          <t>DALARNAS LÄN</t>
        </is>
      </c>
      <c r="G161" t="inlineStr">
        <is>
          <t>VANSBRO</t>
        </is>
      </c>
      <c r="H161" t="inlineStr">
        <is>
          <t>Bergvik skog väst AB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46294</v>
      </c>
      <c r="F162" t="inlineStr">
        <is>
          <t>DALARNAS LÄN</t>
        </is>
      </c>
      <c r="G162" t="inlineStr">
        <is>
          <t>VANSBRO</t>
        </is>
      </c>
      <c r="H162" t="inlineStr">
        <is>
          <t>Bergvik skog öst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24839-2022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44728</v>
      </c>
      <c r="E163" s="1" t="n">
        <v>46294</v>
      </c>
      <c r="F163" t="inlineStr">
        <is>
          <t>DALARNAS LÄN</t>
        </is>
      </c>
      <c r="G163" t="inlineStr">
        <is>
          <t>VANSBRO</t>
        </is>
      </c>
      <c r="H163" t="inlineStr">
        <is>
          <t>Bergvik skog öst AB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52442-2025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45954</v>
      </c>
      <c r="E164" s="1" t="n">
        <v>46294</v>
      </c>
      <c r="F164" t="inlineStr">
        <is>
          <t>DALARNAS LÄN</t>
        </is>
      </c>
      <c r="G164" t="inlineStr">
        <is>
          <t>VANSBRO</t>
        </is>
      </c>
      <c r="I164" t="n">
        <v>12.6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46031</v>
      </c>
      <c r="E165" s="1" t="n">
        <v>46294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öst AB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36382-2025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45868</v>
      </c>
      <c r="E166" s="1" t="n">
        <v>46294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45959</v>
      </c>
      <c r="E167" s="1" t="n">
        <v>46294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45961</v>
      </c>
      <c r="E168" s="1" t="n">
        <v>46294</v>
      </c>
      <c r="F168" t="inlineStr">
        <is>
          <t>DALARNAS LÄN</t>
        </is>
      </c>
      <c r="G168" t="inlineStr">
        <is>
          <t>VANSBRO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15088-2025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46294</v>
      </c>
      <c r="F169" t="inlineStr">
        <is>
          <t>DALARNAS LÄN</t>
        </is>
      </c>
      <c r="G169" t="inlineStr">
        <is>
          <t>VANSBRO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46294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öst AB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60036-2023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46294</v>
      </c>
      <c r="F171" t="inlineStr">
        <is>
          <t>DALARNAS LÄN</t>
        </is>
      </c>
      <c r="G171" t="inlineStr">
        <is>
          <t>VANSBRO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46033</v>
      </c>
      <c r="E172" s="1" t="n">
        <v>46294</v>
      </c>
      <c r="F172" t="inlineStr">
        <is>
          <t>DALARNAS LÄN</t>
        </is>
      </c>
      <c r="G172" t="inlineStr">
        <is>
          <t>VANSBRO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46294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46294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46294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väst AB</t>
        </is>
      </c>
      <c r="I175" t="n">
        <v>8.4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46294</v>
      </c>
      <c r="F176" t="inlineStr">
        <is>
          <t>DALARNAS LÄN</t>
        </is>
      </c>
      <c r="G176" t="inlineStr">
        <is>
          <t>VANSBRO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37287-2025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45876</v>
      </c>
      <c r="E177" s="1" t="n">
        <v>46294</v>
      </c>
      <c r="F177" t="inlineStr">
        <is>
          <t>DALARNAS LÄN</t>
        </is>
      </c>
      <c r="G177" t="inlineStr">
        <is>
          <t>VANSBRO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54736-2025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45966</v>
      </c>
      <c r="E178" s="1" t="n">
        <v>46294</v>
      </c>
      <c r="F178" t="inlineStr">
        <is>
          <t>DALARNAS LÄN</t>
        </is>
      </c>
      <c r="G178" t="inlineStr">
        <is>
          <t>VANSBRO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43258-2023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45183</v>
      </c>
      <c r="E179" s="1" t="n">
        <v>46294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öst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46294</v>
      </c>
      <c r="F180" t="inlineStr">
        <is>
          <t>DALARNAS LÄN</t>
        </is>
      </c>
      <c r="G180" t="inlineStr">
        <is>
          <t>VANSBRO</t>
        </is>
      </c>
      <c r="I180" t="n">
        <v>6.9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18859-2025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45764</v>
      </c>
      <c r="E181" s="1" t="n">
        <v>46294</v>
      </c>
      <c r="F181" t="inlineStr">
        <is>
          <t>DALARNAS LÄN</t>
        </is>
      </c>
      <c r="G181" t="inlineStr">
        <is>
          <t>VANSBRO</t>
        </is>
      </c>
      <c r="H181" t="inlineStr">
        <is>
          <t>Bergvik skog väst AB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18882-2025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45764</v>
      </c>
      <c r="E182" s="1" t="n">
        <v>46294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45532</v>
      </c>
      <c r="E183" s="1" t="n">
        <v>46294</v>
      </c>
      <c r="F183" t="inlineStr">
        <is>
          <t>DALARNAS LÄN</t>
        </is>
      </c>
      <c r="G183" t="inlineStr">
        <is>
          <t>VANSBRO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46294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46294</v>
      </c>
      <c r="F185" t="inlineStr">
        <is>
          <t>DALARNAS LÄN</t>
        </is>
      </c>
      <c r="G185" t="inlineStr">
        <is>
          <t>VANSBRO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55767-2025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45972</v>
      </c>
      <c r="E186" s="1" t="n">
        <v>46294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46294</v>
      </c>
      <c r="F187" t="inlineStr">
        <is>
          <t>DALARNAS LÄN</t>
        </is>
      </c>
      <c r="G187" t="inlineStr">
        <is>
          <t>VANSBRO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45665</v>
      </c>
      <c r="E188" s="1" t="n">
        <v>46294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45974</v>
      </c>
      <c r="E189" s="1" t="n">
        <v>46294</v>
      </c>
      <c r="F189" t="inlineStr">
        <is>
          <t>DALARNAS LÄN</t>
        </is>
      </c>
      <c r="G189" t="inlineStr">
        <is>
          <t>VANSBRO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46294</v>
      </c>
      <c r="F190" t="inlineStr">
        <is>
          <t>DALARNAS LÄN</t>
        </is>
      </c>
      <c r="G190" t="inlineStr">
        <is>
          <t>VANSBRO</t>
        </is>
      </c>
      <c r="I190" t="n">
        <v>7.3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46037</v>
      </c>
      <c r="E191" s="1" t="n">
        <v>46294</v>
      </c>
      <c r="F191" t="inlineStr">
        <is>
          <t>DALARNAS LÄN</t>
        </is>
      </c>
      <c r="G191" t="inlineStr">
        <is>
          <t>VANSBRO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35537-2024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45531</v>
      </c>
      <c r="E192" s="1" t="n">
        <v>46294</v>
      </c>
      <c r="F192" t="inlineStr">
        <is>
          <t>DALARNAS LÄN</t>
        </is>
      </c>
      <c r="G192" t="inlineStr">
        <is>
          <t>VANSBRO</t>
        </is>
      </c>
      <c r="H192" t="inlineStr">
        <is>
          <t>Övriga statliga verk och myndigheter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46294</v>
      </c>
      <c r="F193" t="inlineStr">
        <is>
          <t>DALARNAS LÄN</t>
        </is>
      </c>
      <c r="G193" t="inlineStr">
        <is>
          <t>VANSBRO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45979</v>
      </c>
      <c r="E194" s="1" t="n">
        <v>46294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46042</v>
      </c>
      <c r="E195" s="1" t="n">
        <v>46294</v>
      </c>
      <c r="F195" t="inlineStr">
        <is>
          <t>DALARNAS LÄN</t>
        </is>
      </c>
      <c r="G195" t="inlineStr">
        <is>
          <t>VANSBRO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57716-2025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45981</v>
      </c>
      <c r="E196" s="1" t="n">
        <v>46294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46294</v>
      </c>
      <c r="F197" t="inlineStr">
        <is>
          <t>DALARNAS LÄN</t>
        </is>
      </c>
      <c r="G197" t="inlineStr">
        <is>
          <t>VANSBRO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46294</v>
      </c>
      <c r="F198" t="inlineStr">
        <is>
          <t>DALARNAS LÄN</t>
        </is>
      </c>
      <c r="G198" t="inlineStr">
        <is>
          <t>VANSBRO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58733-2025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45986</v>
      </c>
      <c r="E199" s="1" t="n">
        <v>46294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45666</v>
      </c>
      <c r="E200" s="1" t="n">
        <v>46294</v>
      </c>
      <c r="F200" t="inlineStr">
        <is>
          <t>DALARNAS LÄN</t>
        </is>
      </c>
      <c r="G200" t="inlineStr">
        <is>
          <t>VANSBRO</t>
        </is>
      </c>
      <c r="H200" t="inlineStr">
        <is>
          <t>Övriga statliga verk och myndigheter</t>
        </is>
      </c>
      <c r="I200" t="n">
        <v>4.4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58874-2025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45987</v>
      </c>
      <c r="E201" s="1" t="n">
        <v>46294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4998-2026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46294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46048</v>
      </c>
      <c r="E203" s="1" t="n">
        <v>46294</v>
      </c>
      <c r="F203" t="inlineStr">
        <is>
          <t>DALARNAS LÄN</t>
        </is>
      </c>
      <c r="G203" t="inlineStr">
        <is>
          <t>VANSBRO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4970-2026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46049</v>
      </c>
      <c r="E204" s="1" t="n">
        <v>46294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5747-2026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46051</v>
      </c>
      <c r="E205" s="1" t="n">
        <v>46294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5335-2026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46294</v>
      </c>
      <c r="F206" t="inlineStr">
        <is>
          <t>DALARNAS LÄN</t>
        </is>
      </c>
      <c r="G206" t="inlineStr">
        <is>
          <t>VANSBRO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45240</v>
      </c>
      <c r="E207" s="1" t="n">
        <v>46294</v>
      </c>
      <c r="F207" t="inlineStr">
        <is>
          <t>DALARNAS LÄN</t>
        </is>
      </c>
      <c r="G207" t="inlineStr">
        <is>
          <t>VANSBRO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46294</v>
      </c>
      <c r="F208" t="inlineStr">
        <is>
          <t>DALARNAS LÄN</t>
        </is>
      </c>
      <c r="G208" t="inlineStr">
        <is>
          <t>VANSBRO</t>
        </is>
      </c>
      <c r="I208" t="n">
        <v>9.1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44811</v>
      </c>
      <c r="E209" s="1" t="n">
        <v>46294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6076-2026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46294</v>
      </c>
      <c r="F210" t="inlineStr">
        <is>
          <t>DALARNAS LÄN</t>
        </is>
      </c>
      <c r="G210" t="inlineStr">
        <is>
          <t>VANSBRO</t>
        </is>
      </c>
      <c r="I210" t="n">
        <v>8.5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46294</v>
      </c>
      <c r="F211" t="inlineStr">
        <is>
          <t>DALARNAS LÄN</t>
        </is>
      </c>
      <c r="G211" t="inlineStr">
        <is>
          <t>VANSBRO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21418-2023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46294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öst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45691</v>
      </c>
      <c r="E213" s="1" t="n">
        <v>46294</v>
      </c>
      <c r="F213" t="inlineStr">
        <is>
          <t>DALARNAS LÄN</t>
        </is>
      </c>
      <c r="G213" t="inlineStr">
        <is>
          <t>VANSBRO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7014-2026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46294</v>
      </c>
      <c r="F214" t="inlineStr">
        <is>
          <t>DALARNAS LÄN</t>
        </is>
      </c>
      <c r="G214" t="inlineStr">
        <is>
          <t>VANSBRO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7259-2026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46058</v>
      </c>
      <c r="E215" s="1" t="n">
        <v>46294</v>
      </c>
      <c r="F215" t="inlineStr">
        <is>
          <t>DALARNAS LÄN</t>
        </is>
      </c>
      <c r="G215" t="inlineStr">
        <is>
          <t>VANSBRO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45582</v>
      </c>
      <c r="E216" s="1" t="n">
        <v>46294</v>
      </c>
      <c r="F216" t="inlineStr">
        <is>
          <t>DALARNAS LÄN</t>
        </is>
      </c>
      <c r="G216" t="inlineStr">
        <is>
          <t>VANSBRO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53839-2022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44880</v>
      </c>
      <c r="E217" s="1" t="n">
        <v>46294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öst AB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46058</v>
      </c>
      <c r="E218" s="1" t="n">
        <v>46294</v>
      </c>
      <c r="F218" t="inlineStr">
        <is>
          <t>DALARNAS LÄN</t>
        </is>
      </c>
      <c r="G218" t="inlineStr">
        <is>
          <t>VANSBRO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7779-2026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46062</v>
      </c>
      <c r="E219" s="1" t="n">
        <v>46294</v>
      </c>
      <c r="F219" t="inlineStr">
        <is>
          <t>DALARNAS LÄN</t>
        </is>
      </c>
      <c r="G219" t="inlineStr">
        <is>
          <t>VANSBRO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45182</v>
      </c>
      <c r="E220" s="1" t="n">
        <v>46294</v>
      </c>
      <c r="F220" t="inlineStr">
        <is>
          <t>DALARNAS LÄN</t>
        </is>
      </c>
      <c r="G220" t="inlineStr">
        <is>
          <t>VANSBRO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3258-2026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46294</v>
      </c>
      <c r="F221" t="inlineStr">
        <is>
          <t>DALARNAS LÄN</t>
        </is>
      </c>
      <c r="G221" t="inlineStr">
        <is>
          <t>VANSBRO</t>
        </is>
      </c>
      <c r="I221" t="n">
        <v>15.1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45666</v>
      </c>
      <c r="E222" s="1" t="n">
        <v>46294</v>
      </c>
      <c r="F222" t="inlineStr">
        <is>
          <t>DALARNAS LÄN</t>
        </is>
      </c>
      <c r="G222" t="inlineStr">
        <is>
          <t>VANSBRO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64072-2025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46021</v>
      </c>
      <c r="E223" s="1" t="n">
        <v>46294</v>
      </c>
      <c r="F223" t="inlineStr">
        <is>
          <t>DALARNAS LÄN</t>
        </is>
      </c>
      <c r="G223" t="inlineStr">
        <is>
          <t>VANSBRO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56269-2023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45240</v>
      </c>
      <c r="E224" s="1" t="n">
        <v>46294</v>
      </c>
      <c r="F224" t="inlineStr">
        <is>
          <t>DALARNAS LÄN</t>
        </is>
      </c>
      <c r="G224" t="inlineStr">
        <is>
          <t>VANSBRO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46294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59856-2024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45639</v>
      </c>
      <c r="E226" s="1" t="n">
        <v>46294</v>
      </c>
      <c r="F226" t="inlineStr">
        <is>
          <t>DALARNAS LÄN</t>
        </is>
      </c>
      <c r="G226" t="inlineStr">
        <is>
          <t>VANSBRO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45673</v>
      </c>
      <c r="E227" s="1" t="n">
        <v>46294</v>
      </c>
      <c r="F227" t="inlineStr">
        <is>
          <t>DALARNAS LÄN</t>
        </is>
      </c>
      <c r="G227" t="inlineStr">
        <is>
          <t>VANSBRO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44734</v>
      </c>
      <c r="E228" s="1" t="n">
        <v>46294</v>
      </c>
      <c r="F228" t="inlineStr">
        <is>
          <t>DALARNAS LÄN</t>
        </is>
      </c>
      <c r="G228" t="inlineStr">
        <is>
          <t>VANSBRO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45689</v>
      </c>
      <c r="E229" s="1" t="n">
        <v>46294</v>
      </c>
      <c r="F229" t="inlineStr">
        <is>
          <t>DALARNAS LÄN</t>
        </is>
      </c>
      <c r="G229" t="inlineStr">
        <is>
          <t>VANSBRO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9417-2026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46294</v>
      </c>
      <c r="F230" t="inlineStr">
        <is>
          <t>DALARNAS LÄN</t>
        </is>
      </c>
      <c r="G230" t="inlineStr">
        <is>
          <t>VANSBRO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46062</v>
      </c>
      <c r="E231" s="1" t="n">
        <v>46294</v>
      </c>
      <c r="F231" t="inlineStr">
        <is>
          <t>DALARNAS LÄN</t>
        </is>
      </c>
      <c r="G231" t="inlineStr">
        <is>
          <t>VANSBRO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32820-2024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45516</v>
      </c>
      <c r="E232" s="1" t="n">
        <v>46294</v>
      </c>
      <c r="F232" t="inlineStr">
        <is>
          <t>DALARNAS LÄN</t>
        </is>
      </c>
      <c r="G232" t="inlineStr">
        <is>
          <t>VANSBRO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35365-2022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44798</v>
      </c>
      <c r="E233" s="1" t="n">
        <v>46294</v>
      </c>
      <c r="F233" t="inlineStr">
        <is>
          <t>DALARNAS LÄN</t>
        </is>
      </c>
      <c r="G233" t="inlineStr">
        <is>
          <t>VANSBRO</t>
        </is>
      </c>
      <c r="H233" t="inlineStr">
        <is>
          <t>Kommuner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49921-2023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45214</v>
      </c>
      <c r="E234" s="1" t="n">
        <v>46294</v>
      </c>
      <c r="F234" t="inlineStr">
        <is>
          <t>DALARNAS LÄN</t>
        </is>
      </c>
      <c r="G234" t="inlineStr">
        <is>
          <t>VANSBRO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11603-2026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46084</v>
      </c>
      <c r="E235" s="1" t="n">
        <v>46294</v>
      </c>
      <c r="F235" t="inlineStr">
        <is>
          <t>DALARNAS LÄN</t>
        </is>
      </c>
      <c r="G235" t="inlineStr">
        <is>
          <t>VANSBRO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11349-2026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46082</v>
      </c>
      <c r="E236" s="1" t="n">
        <v>46294</v>
      </c>
      <c r="F236" t="inlineStr">
        <is>
          <t>DALARNAS LÄN</t>
        </is>
      </c>
      <c r="G236" t="inlineStr">
        <is>
          <t>VANSBRO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11350-2026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46082</v>
      </c>
      <c r="E237" s="1" t="n">
        <v>46294</v>
      </c>
      <c r="F237" t="inlineStr">
        <is>
          <t>DALARNAS LÄN</t>
        </is>
      </c>
      <c r="G237" t="inlineStr">
        <is>
          <t>VANSBRO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54159-2022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44881</v>
      </c>
      <c r="E238" s="1" t="n">
        <v>46294</v>
      </c>
      <c r="F238" t="inlineStr">
        <is>
          <t>DALARNAS LÄN</t>
        </is>
      </c>
      <c r="G238" t="inlineStr">
        <is>
          <t>VANSBRO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50258-2024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45600</v>
      </c>
      <c r="E239" s="1" t="n">
        <v>46294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öst AB</t>
        </is>
      </c>
      <c r="I239" t="n">
        <v>45.8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46294</v>
      </c>
      <c r="F240" t="inlineStr">
        <is>
          <t>DALARNAS LÄN</t>
        </is>
      </c>
      <c r="G240" t="inlineStr">
        <is>
          <t>VANSBRO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46294</v>
      </c>
      <c r="F241" t="inlineStr">
        <is>
          <t>DALARNAS LÄN</t>
        </is>
      </c>
      <c r="G241" t="inlineStr">
        <is>
          <t>VANSBRO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45533</v>
      </c>
      <c r="E242" s="1" t="n">
        <v>46294</v>
      </c>
      <c r="F242" t="inlineStr">
        <is>
          <t>DALARNAS LÄN</t>
        </is>
      </c>
      <c r="G242" t="inlineStr">
        <is>
          <t>VANSBRO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13392-2026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46294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46294</v>
      </c>
      <c r="F244" t="inlineStr">
        <is>
          <t>DALARNAS LÄN</t>
        </is>
      </c>
      <c r="G244" t="inlineStr">
        <is>
          <t>VANSBRO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921-2025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45665</v>
      </c>
      <c r="E245" s="1" t="n">
        <v>46294</v>
      </c>
      <c r="F245" t="inlineStr">
        <is>
          <t>DALARNAS LÄN</t>
        </is>
      </c>
      <c r="G245" t="inlineStr">
        <is>
          <t>VANSBRO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46294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13506-2026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46294</v>
      </c>
      <c r="F247" t="inlineStr">
        <is>
          <t>DALARNAS LÄN</t>
        </is>
      </c>
      <c r="G247" t="inlineStr">
        <is>
          <t>VANSBRO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9296-2023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44980</v>
      </c>
      <c r="E248" s="1" t="n">
        <v>46294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46294</v>
      </c>
      <c r="F249" t="inlineStr">
        <is>
          <t>DALARNAS LÄN</t>
        </is>
      </c>
      <c r="G249" t="inlineStr">
        <is>
          <t>VANSBRO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14112-2026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46099</v>
      </c>
      <c r="E250" s="1" t="n">
        <v>46294</v>
      </c>
      <c r="F250" t="inlineStr">
        <is>
          <t>DALARNAS LÄN</t>
        </is>
      </c>
      <c r="G250" t="inlineStr">
        <is>
          <t>VANSBRO</t>
        </is>
      </c>
      <c r="H250" t="inlineStr">
        <is>
          <t>Bergvik skog väst AB</t>
        </is>
      </c>
      <c r="I250" t="n">
        <v>5.8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46294</v>
      </c>
      <c r="F251" t="inlineStr">
        <is>
          <t>DALARNAS LÄN</t>
        </is>
      </c>
      <c r="G251" t="inlineStr">
        <is>
          <t>VANSBRO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46294</v>
      </c>
      <c r="F252" t="inlineStr">
        <is>
          <t>DALARNAS LÄN</t>
        </is>
      </c>
      <c r="G252" t="inlineStr">
        <is>
          <t>VANSBRO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55570-2023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45238</v>
      </c>
      <c r="E253" s="1" t="n">
        <v>46294</v>
      </c>
      <c r="F253" t="inlineStr">
        <is>
          <t>DALARNAS LÄN</t>
        </is>
      </c>
      <c r="G253" t="inlineStr">
        <is>
          <t>VANSBRO</t>
        </is>
      </c>
      <c r="H253" t="inlineStr">
        <is>
          <t>Övriga statliga verk och myndigheter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7142-2023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46294</v>
      </c>
      <c r="F254" t="inlineStr">
        <is>
          <t>DALARNAS LÄN</t>
        </is>
      </c>
      <c r="G254" t="inlineStr">
        <is>
          <t>VANSBRO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46294</v>
      </c>
      <c r="F255" t="inlineStr">
        <is>
          <t>DALARNAS LÄN</t>
        </is>
      </c>
      <c r="G255" t="inlineStr">
        <is>
          <t>VANSBRO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46294</v>
      </c>
      <c r="F256" t="inlineStr">
        <is>
          <t>DALARNAS LÄN</t>
        </is>
      </c>
      <c r="G256" t="inlineStr">
        <is>
          <t>VANSBRO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16669-2026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46294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väst AB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16952-2026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46114</v>
      </c>
      <c r="E258" s="1" t="n">
        <v>46294</v>
      </c>
      <c r="F258" t="inlineStr">
        <is>
          <t>DALARNAS LÄN</t>
        </is>
      </c>
      <c r="G258" t="inlineStr">
        <is>
          <t>VANSBRO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61663-2024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46294</v>
      </c>
      <c r="F259" t="inlineStr">
        <is>
          <t>DALARNAS LÄN</t>
        </is>
      </c>
      <c r="G259" t="inlineStr">
        <is>
          <t>VANSBRO</t>
        </is>
      </c>
      <c r="I259" t="n">
        <v>8.800000000000001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16948-2026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46113</v>
      </c>
      <c r="E260" s="1" t="n">
        <v>46294</v>
      </c>
      <c r="F260" t="inlineStr">
        <is>
          <t>DALARNAS LÄN</t>
        </is>
      </c>
      <c r="G260" t="inlineStr">
        <is>
          <t>VANSBRO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8694-2023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44972</v>
      </c>
      <c r="E261" s="1" t="n">
        <v>46294</v>
      </c>
      <c r="F261" t="inlineStr">
        <is>
          <t>DALARNAS LÄN</t>
        </is>
      </c>
      <c r="G261" t="inlineStr">
        <is>
          <t>VANSBRO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46119</v>
      </c>
      <c r="E262" s="1" t="n">
        <v>46294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väst AB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46121</v>
      </c>
      <c r="E263" s="1" t="n">
        <v>46294</v>
      </c>
      <c r="F263" t="inlineStr">
        <is>
          <t>DALARNAS LÄN</t>
        </is>
      </c>
      <c r="G263" t="inlineStr">
        <is>
          <t>VANSBRO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46294</v>
      </c>
      <c r="F264" t="inlineStr">
        <is>
          <t>DALARNAS LÄN</t>
        </is>
      </c>
      <c r="G264" t="inlineStr">
        <is>
          <t>VANSBRO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17613-2026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46121</v>
      </c>
      <c r="E265" s="1" t="n">
        <v>46294</v>
      </c>
      <c r="F265" t="inlineStr">
        <is>
          <t>DALARNAS LÄN</t>
        </is>
      </c>
      <c r="G265" t="inlineStr">
        <is>
          <t>VANSBRO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17552-2026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46120</v>
      </c>
      <c r="E266" s="1" t="n">
        <v>46294</v>
      </c>
      <c r="F266" t="inlineStr">
        <is>
          <t>DALARNAS LÄN</t>
        </is>
      </c>
      <c r="G266" t="inlineStr">
        <is>
          <t>VANSBRO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46121</v>
      </c>
      <c r="E267" s="1" t="n">
        <v>46294</v>
      </c>
      <c r="F267" t="inlineStr">
        <is>
          <t>DALARNAS LÄN</t>
        </is>
      </c>
      <c r="G267" t="inlineStr">
        <is>
          <t>VANSBRO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45772</v>
      </c>
      <c r="E268" s="1" t="n">
        <v>46294</v>
      </c>
      <c r="F268" t="inlineStr">
        <is>
          <t>DALARNAS LÄN</t>
        </is>
      </c>
      <c r="G268" t="inlineStr">
        <is>
          <t>VANSBRO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17553-2026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46120</v>
      </c>
      <c r="E269" s="1" t="n">
        <v>46294</v>
      </c>
      <c r="F269" t="inlineStr">
        <is>
          <t>DALARNAS LÄN</t>
        </is>
      </c>
      <c r="G269" t="inlineStr">
        <is>
          <t>VANSBRO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33829-2024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45520</v>
      </c>
      <c r="E270" s="1" t="n">
        <v>46294</v>
      </c>
      <c r="F270" t="inlineStr">
        <is>
          <t>DALARNAS LÄN</t>
        </is>
      </c>
      <c r="G270" t="inlineStr">
        <is>
          <t>VANSBRO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46294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18140-2026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46125</v>
      </c>
      <c r="E272" s="1" t="n">
        <v>46294</v>
      </c>
      <c r="F272" t="inlineStr">
        <is>
          <t>DALARNAS LÄN</t>
        </is>
      </c>
      <c r="G272" t="inlineStr">
        <is>
          <t>VANSBRO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50533-2024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45601</v>
      </c>
      <c r="E273" s="1" t="n">
        <v>46294</v>
      </c>
      <c r="F273" t="inlineStr">
        <is>
          <t>DALARNAS LÄN</t>
        </is>
      </c>
      <c r="G273" t="inlineStr">
        <is>
          <t>VANSBRO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18717-2026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46294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18709-2026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46294</v>
      </c>
      <c r="F275" t="inlineStr">
        <is>
          <t>DALARNAS LÄN</t>
        </is>
      </c>
      <c r="G275" t="inlineStr">
        <is>
          <t>VANSBRO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46127</v>
      </c>
      <c r="E276" s="1" t="n">
        <v>46294</v>
      </c>
      <c r="F276" t="inlineStr">
        <is>
          <t>DALARNAS LÄN</t>
        </is>
      </c>
      <c r="G276" t="inlineStr">
        <is>
          <t>VANSBRO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46127</v>
      </c>
      <c r="E277" s="1" t="n">
        <v>46294</v>
      </c>
      <c r="F277" t="inlineStr">
        <is>
          <t>DALARNAS LÄN</t>
        </is>
      </c>
      <c r="G277" t="inlineStr">
        <is>
          <t>VANSBRO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46127</v>
      </c>
      <c r="E278" s="1" t="n">
        <v>46294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46128</v>
      </c>
      <c r="E279" s="1" t="n">
        <v>46294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44980</v>
      </c>
      <c r="E280" s="1" t="n">
        <v>46294</v>
      </c>
      <c r="F280" t="inlineStr">
        <is>
          <t>DALARNAS LÄN</t>
        </is>
      </c>
      <c r="G280" t="inlineStr">
        <is>
          <t>VANSBRO</t>
        </is>
      </c>
      <c r="H280" t="inlineStr">
        <is>
          <t>Bergvik skog väst AB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46294</v>
      </c>
      <c r="F281" t="inlineStr">
        <is>
          <t>DALARNAS LÄN</t>
        </is>
      </c>
      <c r="G281" t="inlineStr">
        <is>
          <t>VANSBRO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19809-2026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46294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öst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8447-2022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44612</v>
      </c>
      <c r="E283" s="1" t="n">
        <v>46294</v>
      </c>
      <c r="F283" t="inlineStr">
        <is>
          <t>DALARNAS LÄN</t>
        </is>
      </c>
      <c r="G283" t="inlineStr">
        <is>
          <t>VANSBRO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5017-2025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45691</v>
      </c>
      <c r="E284" s="1" t="n">
        <v>46294</v>
      </c>
      <c r="F284" t="inlineStr">
        <is>
          <t>DALARNAS LÄN</t>
        </is>
      </c>
      <c r="G284" t="inlineStr">
        <is>
          <t>VANSBRO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45817</v>
      </c>
      <c r="E285" s="1" t="n">
        <v>46294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46139</v>
      </c>
      <c r="E286" s="1" t="n">
        <v>46294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49819-2025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46294</v>
      </c>
      <c r="F287" t="inlineStr">
        <is>
          <t>DALARNAS LÄN</t>
        </is>
      </c>
      <c r="G287" t="inlineStr">
        <is>
          <t>VANSBRO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45322</v>
      </c>
      <c r="E288" s="1" t="n">
        <v>46294</v>
      </c>
      <c r="F288" t="inlineStr">
        <is>
          <t>DALARNAS LÄN</t>
        </is>
      </c>
      <c r="G288" t="inlineStr">
        <is>
          <t>VANSBRO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49509-2024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46294</v>
      </c>
      <c r="F289" t="inlineStr">
        <is>
          <t>DALARNAS LÄN</t>
        </is>
      </c>
      <c r="G289" t="inlineStr">
        <is>
          <t>VANSBRO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21117-2024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46294</v>
      </c>
      <c r="F290" t="inlineStr">
        <is>
          <t>DALARNAS LÄN</t>
        </is>
      </c>
      <c r="G290" t="inlineStr">
        <is>
          <t>VANSBRO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2086-2024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45309</v>
      </c>
      <c r="E291" s="1" t="n">
        <v>46294</v>
      </c>
      <c r="F291" t="inlineStr">
        <is>
          <t>DALARNAS LÄN</t>
        </is>
      </c>
      <c r="G291" t="inlineStr">
        <is>
          <t>VANSBRO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27000-2025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46294</v>
      </c>
      <c r="F292" t="inlineStr">
        <is>
          <t>DALARNAS LÄN</t>
        </is>
      </c>
      <c r="G292" t="inlineStr">
        <is>
          <t>VANSBRO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46294</v>
      </c>
      <c r="F293" t="inlineStr">
        <is>
          <t>DALARNAS LÄN</t>
        </is>
      </c>
      <c r="G293" t="inlineStr">
        <is>
          <t>VANSBRO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46294</v>
      </c>
      <c r="F294" t="inlineStr">
        <is>
          <t>DALARNAS LÄN</t>
        </is>
      </c>
      <c r="G294" t="inlineStr">
        <is>
          <t>VANSBRO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45776</v>
      </c>
      <c r="E295" s="1" t="n">
        <v>46294</v>
      </c>
      <c r="F295" t="inlineStr">
        <is>
          <t>DALARNAS LÄN</t>
        </is>
      </c>
      <c r="G295" t="inlineStr">
        <is>
          <t>VANSBRO</t>
        </is>
      </c>
      <c r="H295" t="inlineStr">
        <is>
          <t>Bergvik skog väst AB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27089-2024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45471</v>
      </c>
      <c r="E296" s="1" t="n">
        <v>46294</v>
      </c>
      <c r="F296" t="inlineStr">
        <is>
          <t>DALARNAS LÄN</t>
        </is>
      </c>
      <c r="G296" t="inlineStr">
        <is>
          <t>VANSBRO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63816-2021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44509</v>
      </c>
      <c r="E297" s="1" t="n">
        <v>46294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17.6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45806</v>
      </c>
      <c r="E298" s="1" t="n">
        <v>46294</v>
      </c>
      <c r="F298" t="inlineStr">
        <is>
          <t>DALARNAS LÄN</t>
        </is>
      </c>
      <c r="G298" t="inlineStr">
        <is>
          <t>VANSBRO</t>
        </is>
      </c>
      <c r="H298" t="inlineStr">
        <is>
          <t>Bergvik skog väst AB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8793-2025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46294</v>
      </c>
      <c r="F299" t="inlineStr">
        <is>
          <t>DALARNAS LÄN</t>
        </is>
      </c>
      <c r="G299" t="inlineStr">
        <is>
          <t>VANSBRO</t>
        </is>
      </c>
      <c r="I299" t="n">
        <v>13.8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51400-2024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45604</v>
      </c>
      <c r="E300" s="1" t="n">
        <v>46294</v>
      </c>
      <c r="F300" t="inlineStr">
        <is>
          <t>DALARNAS LÄN</t>
        </is>
      </c>
      <c r="G300" t="inlineStr">
        <is>
          <t>VANSBRO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46294</v>
      </c>
      <c r="F301" t="inlineStr">
        <is>
          <t>DALARNAS LÄN</t>
        </is>
      </c>
      <c r="G301" t="inlineStr">
        <is>
          <t>VANSBRO</t>
        </is>
      </c>
      <c r="I301" t="n">
        <v>13.9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6632-2023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44966</v>
      </c>
      <c r="E302" s="1" t="n">
        <v>46294</v>
      </c>
      <c r="F302" t="inlineStr">
        <is>
          <t>DALARNAS LÄN</t>
        </is>
      </c>
      <c r="G302" t="inlineStr">
        <is>
          <t>VANSBRO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9145-2025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46294</v>
      </c>
      <c r="F303" t="inlineStr">
        <is>
          <t>DALARNAS LÄN</t>
        </is>
      </c>
      <c r="G303" t="inlineStr">
        <is>
          <t>VANSBRO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28924-2024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45481</v>
      </c>
      <c r="E304" s="1" t="n">
        <v>46294</v>
      </c>
      <c r="F304" t="inlineStr">
        <is>
          <t>DALARNAS LÄN</t>
        </is>
      </c>
      <c r="G304" t="inlineStr">
        <is>
          <t>VANSBRO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24384-2024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45457</v>
      </c>
      <c r="E305" s="1" t="n">
        <v>46294</v>
      </c>
      <c r="F305" t="inlineStr">
        <is>
          <t>DALARNAS LÄN</t>
        </is>
      </c>
      <c r="G305" t="inlineStr">
        <is>
          <t>VANSBRO</t>
        </is>
      </c>
      <c r="I305" t="n">
        <v>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13062-2023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45002</v>
      </c>
      <c r="E306" s="1" t="n">
        <v>46294</v>
      </c>
      <c r="F306" t="inlineStr">
        <is>
          <t>DALARNAS LÄN</t>
        </is>
      </c>
      <c r="G306" t="inlineStr">
        <is>
          <t>VANSBRO</t>
        </is>
      </c>
      <c r="H306" t="inlineStr">
        <is>
          <t>Övriga statliga verk och myndigheter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10013-2024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45363</v>
      </c>
      <c r="E307" s="1" t="n">
        <v>46294</v>
      </c>
      <c r="F307" t="inlineStr">
        <is>
          <t>DALARNAS LÄN</t>
        </is>
      </c>
      <c r="G307" t="inlineStr">
        <is>
          <t>VANSBRO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28011-2025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45817</v>
      </c>
      <c r="E308" s="1" t="n">
        <v>46294</v>
      </c>
      <c r="F308" t="inlineStr">
        <is>
          <t>DALARNAS LÄN</t>
        </is>
      </c>
      <c r="G308" t="inlineStr">
        <is>
          <t>VANSBRO</t>
        </is>
      </c>
      <c r="I308" t="n">
        <v>15.8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46141</v>
      </c>
      <c r="E309" s="1" t="n">
        <v>46294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45614</v>
      </c>
      <c r="E310" s="1" t="n">
        <v>46294</v>
      </c>
      <c r="F310" t="inlineStr">
        <is>
          <t>DALARNAS LÄN</t>
        </is>
      </c>
      <c r="G310" t="inlineStr">
        <is>
          <t>VANSBRO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46021</v>
      </c>
      <c r="E311" s="1" t="n">
        <v>46294</v>
      </c>
      <c r="F311" t="inlineStr">
        <is>
          <t>DALARNAS LÄN</t>
        </is>
      </c>
      <c r="G311" t="inlineStr">
        <is>
          <t>VANSBRO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11007-2026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46079</v>
      </c>
      <c r="E312" s="1" t="n">
        <v>46294</v>
      </c>
      <c r="F312" t="inlineStr">
        <is>
          <t>DALARNAS LÄN</t>
        </is>
      </c>
      <c r="G312" t="inlineStr">
        <is>
          <t>VANSBRO</t>
        </is>
      </c>
      <c r="H312" t="inlineStr">
        <is>
          <t>Övriga statliga verk och myndigheter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43139-2023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46294</v>
      </c>
      <c r="F313" t="inlineStr">
        <is>
          <t>DALARNAS LÄN</t>
        </is>
      </c>
      <c r="G313" t="inlineStr">
        <is>
          <t>VANSBRO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29492-2023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45106</v>
      </c>
      <c r="E314" s="1" t="n">
        <v>46294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62398-2021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44503</v>
      </c>
      <c r="E315" s="1" t="n">
        <v>46294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öst AB</t>
        </is>
      </c>
      <c r="I315" t="n">
        <v>22.1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45315</v>
      </c>
      <c r="E316" s="1" t="n">
        <v>46294</v>
      </c>
      <c r="F316" t="inlineStr">
        <is>
          <t>DALARNAS LÄN</t>
        </is>
      </c>
      <c r="G316" t="inlineStr">
        <is>
          <t>VANSBRO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46294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öst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48111-2024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45589</v>
      </c>
      <c r="E318" s="1" t="n">
        <v>46294</v>
      </c>
      <c r="F318" t="inlineStr">
        <is>
          <t>DALARNAS LÄN</t>
        </is>
      </c>
      <c r="G318" t="inlineStr">
        <is>
          <t>VANSBRO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5477-2023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44960</v>
      </c>
      <c r="E319" s="1" t="n">
        <v>46294</v>
      </c>
      <c r="F319" t="inlineStr">
        <is>
          <t>DALARNAS LÄN</t>
        </is>
      </c>
      <c r="G319" t="inlineStr">
        <is>
          <t>VANSBRO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7864-2024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45350</v>
      </c>
      <c r="E320" s="1" t="n">
        <v>46294</v>
      </c>
      <c r="F320" t="inlineStr">
        <is>
          <t>DALARNAS LÄN</t>
        </is>
      </c>
      <c r="G320" t="inlineStr">
        <is>
          <t>VANSBRO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46154</v>
      </c>
      <c r="E321" s="1" t="n">
        <v>46294</v>
      </c>
      <c r="F321" t="inlineStr">
        <is>
          <t>DALARNAS LÄN</t>
        </is>
      </c>
      <c r="G321" t="inlineStr">
        <is>
          <t>VANSBRO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47824-2023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45204</v>
      </c>
      <c r="E322" s="1" t="n">
        <v>46294</v>
      </c>
      <c r="F322" t="inlineStr">
        <is>
          <t>DALARNAS LÄN</t>
        </is>
      </c>
      <c r="G322" t="inlineStr">
        <is>
          <t>VANSBRO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24982-2023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45085</v>
      </c>
      <c r="E323" s="1" t="n">
        <v>46294</v>
      </c>
      <c r="F323" t="inlineStr">
        <is>
          <t>DALARNAS LÄN</t>
        </is>
      </c>
      <c r="G323" t="inlineStr">
        <is>
          <t>VANSBRO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22379-2026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46294</v>
      </c>
      <c r="F324" t="inlineStr">
        <is>
          <t>DALARNAS LÄN</t>
        </is>
      </c>
      <c r="G324" t="inlineStr">
        <is>
          <t>VANSBRO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45890</v>
      </c>
      <c r="E325" s="1" t="n">
        <v>46294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23059-2026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46294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öst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5386-2024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45331</v>
      </c>
      <c r="E327" s="1" t="n">
        <v>46294</v>
      </c>
      <c r="F327" t="inlineStr">
        <is>
          <t>DALARNAS LÄN</t>
        </is>
      </c>
      <c r="G327" t="inlineStr">
        <is>
          <t>VANSBRO</t>
        </is>
      </c>
      <c r="I327" t="n">
        <v>11.4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23752-2026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46164</v>
      </c>
      <c r="E328" s="1" t="n">
        <v>46294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23780-2026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46164</v>
      </c>
      <c r="E329" s="1" t="n">
        <v>46294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öst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72635-2021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44546</v>
      </c>
      <c r="E330" s="1" t="n">
        <v>46294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35699-2023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46294</v>
      </c>
      <c r="F331" t="inlineStr">
        <is>
          <t>DALARNAS LÄN</t>
        </is>
      </c>
      <c r="G331" t="inlineStr">
        <is>
          <t>VANSBRO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43658-2023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45187</v>
      </c>
      <c r="E332" s="1" t="n">
        <v>46294</v>
      </c>
      <c r="F332" t="inlineStr">
        <is>
          <t>DALARNAS LÄN</t>
        </is>
      </c>
      <c r="G332" t="inlineStr">
        <is>
          <t>VANSBRO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46294</v>
      </c>
      <c r="F333" t="inlineStr">
        <is>
          <t>DALARNAS LÄN</t>
        </is>
      </c>
      <c r="G333" t="inlineStr">
        <is>
          <t>VANSBRO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25045-2026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46174</v>
      </c>
      <c r="E334" s="1" t="n">
        <v>46294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60848-2024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46294</v>
      </c>
      <c r="F335" t="inlineStr">
        <is>
          <t>DALARNAS LÄN</t>
        </is>
      </c>
      <c r="G335" t="inlineStr">
        <is>
          <t>VANSBRO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41290-2023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45174</v>
      </c>
      <c r="E336" s="1" t="n">
        <v>46294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24277-2026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46169</v>
      </c>
      <c r="E337" s="1" t="n">
        <v>46294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26658-2022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44739</v>
      </c>
      <c r="E338" s="1" t="n">
        <v>46294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24202-2026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46294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10012-2024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45363</v>
      </c>
      <c r="E340" s="1" t="n">
        <v>46294</v>
      </c>
      <c r="F340" t="inlineStr">
        <is>
          <t>DALARNAS LÄN</t>
        </is>
      </c>
      <c r="G340" t="inlineStr">
        <is>
          <t>VANSBRO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51396-2022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44869</v>
      </c>
      <c r="E341" s="1" t="n">
        <v>46294</v>
      </c>
      <c r="F341" t="inlineStr">
        <is>
          <t>DALARNAS LÄN</t>
        </is>
      </c>
      <c r="G341" t="inlineStr">
        <is>
          <t>VANSBRO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45749</v>
      </c>
      <c r="E342" s="1" t="n">
        <v>46294</v>
      </c>
      <c r="F342" t="inlineStr">
        <is>
          <t>DALARNAS LÄN</t>
        </is>
      </c>
      <c r="G342" t="inlineStr">
        <is>
          <t>VANSBRO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36855-2022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44805</v>
      </c>
      <c r="E343" s="1" t="n">
        <v>46294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45299</v>
      </c>
      <c r="E344" s="1" t="n">
        <v>46294</v>
      </c>
      <c r="F344" t="inlineStr">
        <is>
          <t>DALARNAS LÄN</t>
        </is>
      </c>
      <c r="G344" t="inlineStr">
        <is>
          <t>VANSBRO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45689</v>
      </c>
      <c r="E345" s="1" t="n">
        <v>46294</v>
      </c>
      <c r="F345" t="inlineStr">
        <is>
          <t>DALARNAS LÄN</t>
        </is>
      </c>
      <c r="G345" t="inlineStr">
        <is>
          <t>VANSBRO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45689</v>
      </c>
      <c r="E346" s="1" t="n">
        <v>46294</v>
      </c>
      <c r="F346" t="inlineStr">
        <is>
          <t>DALARNAS LÄN</t>
        </is>
      </c>
      <c r="G346" t="inlineStr">
        <is>
          <t>VANSBRO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57904-2024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45631</v>
      </c>
      <c r="E347" s="1" t="n">
        <v>46294</v>
      </c>
      <c r="F347" t="inlineStr">
        <is>
          <t>DALARNAS LÄN</t>
        </is>
      </c>
      <c r="G347" t="inlineStr">
        <is>
          <t>VANSBRO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56988-2023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45244</v>
      </c>
      <c r="E348" s="1" t="n">
        <v>46294</v>
      </c>
      <c r="F348" t="inlineStr">
        <is>
          <t>DALARNAS LÄN</t>
        </is>
      </c>
      <c r="G348" t="inlineStr">
        <is>
          <t>VANSBRO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59736-2022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44908</v>
      </c>
      <c r="E349" s="1" t="n">
        <v>46294</v>
      </c>
      <c r="F349" t="inlineStr">
        <is>
          <t>DALARNAS LÄN</t>
        </is>
      </c>
      <c r="G349" t="inlineStr">
        <is>
          <t>VANSBRO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25958-2026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46181</v>
      </c>
      <c r="E350" s="1" t="n">
        <v>46294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26542-2026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46183</v>
      </c>
      <c r="E351" s="1" t="n">
        <v>46294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46294</v>
      </c>
      <c r="F352" t="inlineStr">
        <is>
          <t>DALARNAS LÄN</t>
        </is>
      </c>
      <c r="G352" t="inlineStr">
        <is>
          <t>VANSBRO</t>
        </is>
      </c>
      <c r="H352" t="inlineStr">
        <is>
          <t>Övriga statliga verk och myndigheter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26689-2026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46294</v>
      </c>
      <c r="F353" t="inlineStr">
        <is>
          <t>DALARNAS LÄN</t>
        </is>
      </c>
      <c r="G353" t="inlineStr">
        <is>
          <t>VANSBRO</t>
        </is>
      </c>
      <c r="H353" t="inlineStr">
        <is>
          <t>Övriga statliga verk och myndigheter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27334-2026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46188</v>
      </c>
      <c r="E354" s="1" t="n">
        <v>46294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45169</v>
      </c>
      <c r="E355" s="1" t="n">
        <v>46294</v>
      </c>
      <c r="F355" t="inlineStr">
        <is>
          <t>DALARNAS LÄN</t>
        </is>
      </c>
      <c r="G355" t="inlineStr">
        <is>
          <t>VANSBRO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46294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27344-2026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46188</v>
      </c>
      <c r="E357" s="1" t="n">
        <v>46294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46294</v>
      </c>
      <c r="F358" t="inlineStr">
        <is>
          <t>DALARNAS LÄN</t>
        </is>
      </c>
      <c r="G358" t="inlineStr">
        <is>
          <t>VANSBRO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46294</v>
      </c>
      <c r="F359" t="inlineStr">
        <is>
          <t>DALARNAS LÄN</t>
        </is>
      </c>
      <c r="G359" t="inlineStr">
        <is>
          <t>VANSBRO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20931-2022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44701</v>
      </c>
      <c r="E360" s="1" t="n">
        <v>46294</v>
      </c>
      <c r="F360" t="inlineStr">
        <is>
          <t>DALARNAS LÄN</t>
        </is>
      </c>
      <c r="G360" t="inlineStr">
        <is>
          <t>VANSBRO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26669-2026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46294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6.5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45296</v>
      </c>
      <c r="E362" s="1" t="n">
        <v>46294</v>
      </c>
      <c r="F362" t="inlineStr">
        <is>
          <t>DALARNAS LÄN</t>
        </is>
      </c>
      <c r="G362" t="inlineStr">
        <is>
          <t>VANSBRO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27242-2026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46188</v>
      </c>
      <c r="E363" s="1" t="n">
        <v>46294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väst AB</t>
        </is>
      </c>
      <c r="I363" t="n">
        <v>10.5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46188</v>
      </c>
      <c r="E364" s="1" t="n">
        <v>46294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27932-2026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46191</v>
      </c>
      <c r="E365" s="1" t="n">
        <v>46294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27937-2026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46191</v>
      </c>
      <c r="E366" s="1" t="n">
        <v>46294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27930-2026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46191</v>
      </c>
      <c r="E367" s="1" t="n">
        <v>46294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väst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20419-2025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46294</v>
      </c>
      <c r="F368" t="inlineStr">
        <is>
          <t>DALARNAS LÄN</t>
        </is>
      </c>
      <c r="G368" t="inlineStr">
        <is>
          <t>VANSBRO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14057-2023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45008</v>
      </c>
      <c r="E369" s="1" t="n">
        <v>46294</v>
      </c>
      <c r="F369" t="inlineStr">
        <is>
          <t>DALARNAS LÄN</t>
        </is>
      </c>
      <c r="G369" t="inlineStr">
        <is>
          <t>VANSBRO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22756-2024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45448</v>
      </c>
      <c r="E370" s="1" t="n">
        <v>46294</v>
      </c>
      <c r="F370" t="inlineStr">
        <is>
          <t>DALARNAS LÄN</t>
        </is>
      </c>
      <c r="G370" t="inlineStr">
        <is>
          <t>VANSBRO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28069-2026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46294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10.7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46294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29035-2026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46294</v>
      </c>
      <c r="F373" t="inlineStr">
        <is>
          <t>DALARNAS LÄN</t>
        </is>
      </c>
      <c r="G373" t="inlineStr">
        <is>
          <t>VANSBRO</t>
        </is>
      </c>
      <c r="I373" t="n">
        <v>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46294</v>
      </c>
      <c r="F374" t="inlineStr">
        <is>
          <t>DALARNAS LÄN</t>
        </is>
      </c>
      <c r="G374" t="inlineStr">
        <is>
          <t>VANSBRO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61717-2023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45265</v>
      </c>
      <c r="E375" s="1" t="n">
        <v>46294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29174-2026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46202</v>
      </c>
      <c r="E376" s="1" t="n">
        <v>46294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29621-2026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46294</v>
      </c>
      <c r="F377" t="inlineStr">
        <is>
          <t>DALARNAS LÄN</t>
        </is>
      </c>
      <c r="G377" t="inlineStr">
        <is>
          <t>VANSBRO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29671-2026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46294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45471</v>
      </c>
      <c r="E379" s="1" t="n">
        <v>46294</v>
      </c>
      <c r="F379" t="inlineStr">
        <is>
          <t>DALARNAS LÄN</t>
        </is>
      </c>
      <c r="G379" t="inlineStr">
        <is>
          <t>VANSBRO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29687-2026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46204</v>
      </c>
      <c r="E380" s="1" t="n">
        <v>46294</v>
      </c>
      <c r="F380" t="inlineStr">
        <is>
          <t>DALARNAS LÄN</t>
        </is>
      </c>
      <c r="G380" t="inlineStr">
        <is>
          <t>VANSBRO</t>
        </is>
      </c>
      <c r="H380" t="inlineStr">
        <is>
          <t>Bergvik skog öst AB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46294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46294</v>
      </c>
      <c r="F382" t="inlineStr">
        <is>
          <t>DALARNAS LÄN</t>
        </is>
      </c>
      <c r="G382" t="inlineStr">
        <is>
          <t>VANSBRO</t>
        </is>
      </c>
      <c r="H382" t="inlineStr">
        <is>
          <t>Bergvik skog öst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29630-2026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46204</v>
      </c>
      <c r="E383" s="1" t="n">
        <v>46294</v>
      </c>
      <c r="F383" t="inlineStr">
        <is>
          <t>DALARNAS LÄN</t>
        </is>
      </c>
      <c r="G383" t="inlineStr">
        <is>
          <t>VANSBRO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11485-2024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45372</v>
      </c>
      <c r="E384" s="1" t="n">
        <v>46294</v>
      </c>
      <c r="F384" t="inlineStr">
        <is>
          <t>DALARNAS LÄN</t>
        </is>
      </c>
      <c r="G384" t="inlineStr">
        <is>
          <t>VANSBRO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45184</v>
      </c>
      <c r="E385" s="1" t="n">
        <v>46294</v>
      </c>
      <c r="F385" t="inlineStr">
        <is>
          <t>DALARNAS LÄN</t>
        </is>
      </c>
      <c r="G385" t="inlineStr">
        <is>
          <t>VANSBRO</t>
        </is>
      </c>
      <c r="I385" t="n">
        <v>6.8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46252</v>
      </c>
      <c r="E386" s="1" t="n">
        <v>46294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24481-2023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45082</v>
      </c>
      <c r="E387" s="1" t="n">
        <v>46294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50741-2022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44867</v>
      </c>
      <c r="E388" s="1" t="n">
        <v>46294</v>
      </c>
      <c r="F388" t="inlineStr">
        <is>
          <t>DALARNAS LÄN</t>
        </is>
      </c>
      <c r="G388" t="inlineStr">
        <is>
          <t>VANSBRO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46252</v>
      </c>
      <c r="E389" s="1" t="n">
        <v>46294</v>
      </c>
      <c r="F389" t="inlineStr">
        <is>
          <t>DALARNAS LÄN</t>
        </is>
      </c>
      <c r="G389" t="inlineStr">
        <is>
          <t>VANSBRO</t>
        </is>
      </c>
      <c r="H389" t="inlineStr">
        <is>
          <t>Bergvik skog väst AB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33949-2026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46252</v>
      </c>
      <c r="E390" s="1" t="n">
        <v>46294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5.9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43589-2022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44837</v>
      </c>
      <c r="E391" s="1" t="n">
        <v>46294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34207-2026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46253</v>
      </c>
      <c r="E392" s="1" t="n">
        <v>46294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46253</v>
      </c>
      <c r="E393" s="1" t="n">
        <v>46294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34211-2026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46253</v>
      </c>
      <c r="E394" s="1" t="n">
        <v>46294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34209-2026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46253</v>
      </c>
      <c r="E395" s="1" t="n">
        <v>46294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30509-2026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46210</v>
      </c>
      <c r="E396" s="1" t="n">
        <v>46294</v>
      </c>
      <c r="F396" t="inlineStr">
        <is>
          <t>DALARNAS LÄN</t>
        </is>
      </c>
      <c r="G396" t="inlineStr">
        <is>
          <t>VANSBRO</t>
        </is>
      </c>
      <c r="H396" t="inlineStr">
        <is>
          <t>Övriga statliga verk och myndigheter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34214-2026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46253</v>
      </c>
      <c r="E397" s="1" t="n">
        <v>46294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17.3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34216-2026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46253</v>
      </c>
      <c r="E398" s="1" t="n">
        <v>46294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18.9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45754</v>
      </c>
      <c r="E399" s="1" t="n">
        <v>46294</v>
      </c>
      <c r="F399" t="inlineStr">
        <is>
          <t>DALARNAS LÄN</t>
        </is>
      </c>
      <c r="G399" t="inlineStr">
        <is>
          <t>VANSBRO</t>
        </is>
      </c>
      <c r="I399" t="n">
        <v>9.9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30568-2026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46210</v>
      </c>
      <c r="E400" s="1" t="n">
        <v>46294</v>
      </c>
      <c r="F400" t="inlineStr">
        <is>
          <t>DALARNAS LÄN</t>
        </is>
      </c>
      <c r="G400" t="inlineStr">
        <is>
          <t>VANSBRO</t>
        </is>
      </c>
      <c r="H400" t="inlineStr">
        <is>
          <t>Bergvik skog öst AB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17807-2022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44673</v>
      </c>
      <c r="E401" s="1" t="n">
        <v>46294</v>
      </c>
      <c r="F401" t="inlineStr">
        <is>
          <t>DALARNAS LÄN</t>
        </is>
      </c>
      <c r="G401" t="inlineStr">
        <is>
          <t>VANSBRO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56129-2023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45240</v>
      </c>
      <c r="E402" s="1" t="n">
        <v>46294</v>
      </c>
      <c r="F402" t="inlineStr">
        <is>
          <t>DALARNAS LÄN</t>
        </is>
      </c>
      <c r="G402" t="inlineStr">
        <is>
          <t>VANSBRO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46212</v>
      </c>
      <c r="E403" s="1" t="n">
        <v>46294</v>
      </c>
      <c r="F403" t="inlineStr">
        <is>
          <t>DALARNAS LÄN</t>
        </is>
      </c>
      <c r="G403" t="inlineStr">
        <is>
          <t>VANSBRO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33520-2024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46294</v>
      </c>
      <c r="F404" t="inlineStr">
        <is>
          <t>DALARNAS LÄN</t>
        </is>
      </c>
      <c r="G404" t="inlineStr">
        <is>
          <t>VANSBRO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34374-2026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46254</v>
      </c>
      <c r="E405" s="1" t="n">
        <v>46294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46212</v>
      </c>
      <c r="E406" s="1" t="n">
        <v>46294</v>
      </c>
      <c r="F406" t="inlineStr">
        <is>
          <t>DALARNAS LÄN</t>
        </is>
      </c>
      <c r="G406" t="inlineStr">
        <is>
          <t>VANSBRO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34583-2026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46294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51606-2023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45222</v>
      </c>
      <c r="E408" s="1" t="n">
        <v>46294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46199</v>
      </c>
      <c r="E409" s="1" t="n">
        <v>46294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48005-2022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44855</v>
      </c>
      <c r="E410" s="1" t="n">
        <v>46294</v>
      </c>
      <c r="F410" t="inlineStr">
        <is>
          <t>DALARNAS LÄN</t>
        </is>
      </c>
      <c r="G410" t="inlineStr">
        <is>
          <t>VANSBRO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56773-2023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45244</v>
      </c>
      <c r="E411" s="1" t="n">
        <v>46294</v>
      </c>
      <c r="F411" t="inlineStr">
        <is>
          <t>DALARNAS LÄN</t>
        </is>
      </c>
      <c r="G411" t="inlineStr">
        <is>
          <t>VANSBRO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60031-2022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44909</v>
      </c>
      <c r="E412" s="1" t="n">
        <v>46294</v>
      </c>
      <c r="F412" t="inlineStr">
        <is>
          <t>DALARNAS LÄN</t>
        </is>
      </c>
      <c r="G412" t="inlineStr">
        <is>
          <t>VANSBRO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35042-2026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46259</v>
      </c>
      <c r="E413" s="1" t="n">
        <v>46294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35050-2026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46259</v>
      </c>
      <c r="E414" s="1" t="n">
        <v>46294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5420-2024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45331</v>
      </c>
      <c r="E415" s="1" t="n">
        <v>46294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45254</v>
      </c>
      <c r="E416" s="1" t="n">
        <v>46294</v>
      </c>
      <c r="F416" t="inlineStr">
        <is>
          <t>DALARNAS LÄN</t>
        </is>
      </c>
      <c r="G416" t="inlineStr">
        <is>
          <t>VANSBRO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45371</v>
      </c>
      <c r="E417" s="1" t="n">
        <v>46294</v>
      </c>
      <c r="F417" t="inlineStr">
        <is>
          <t>DALARNAS LÄN</t>
        </is>
      </c>
      <c r="G417" t="inlineStr">
        <is>
          <t>VANSBRO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44930</v>
      </c>
      <c r="E418" s="1" t="n">
        <v>46294</v>
      </c>
      <c r="F418" t="inlineStr">
        <is>
          <t>DALARNAS LÄN</t>
        </is>
      </c>
      <c r="G418" t="inlineStr">
        <is>
          <t>VANSBRO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35330-2026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46294</v>
      </c>
      <c r="F419" t="inlineStr">
        <is>
          <t>DALARNAS LÄN</t>
        </is>
      </c>
      <c r="G419" t="inlineStr">
        <is>
          <t>VANSBRO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56986-2023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45244</v>
      </c>
      <c r="E420" s="1" t="n">
        <v>46294</v>
      </c>
      <c r="F420" t="inlineStr">
        <is>
          <t>DALARNAS LÄN</t>
        </is>
      </c>
      <c r="G420" t="inlineStr">
        <is>
          <t>VANSBRO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35579-2026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46262</v>
      </c>
      <c r="E421" s="1" t="n">
        <v>46294</v>
      </c>
      <c r="F421" t="inlineStr">
        <is>
          <t>DALARNAS LÄN</t>
        </is>
      </c>
      <c r="G421" t="inlineStr">
        <is>
          <t>VANSBRO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57903-2024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45631</v>
      </c>
      <c r="E422" s="1" t="n">
        <v>46294</v>
      </c>
      <c r="F422" t="inlineStr">
        <is>
          <t>DALARNAS LÄN</t>
        </is>
      </c>
      <c r="G422" t="inlineStr">
        <is>
          <t>VANSBRO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35752-2026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46265</v>
      </c>
      <c r="E423" s="1" t="n">
        <v>46294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13327-2025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46294</v>
      </c>
      <c r="F424" t="inlineStr">
        <is>
          <t>DALARNAS LÄN</t>
        </is>
      </c>
      <c r="G424" t="inlineStr">
        <is>
          <t>VANSBRO</t>
        </is>
      </c>
      <c r="H424" t="inlineStr">
        <is>
          <t>Kommuner</t>
        </is>
      </c>
      <c r="I424" t="n">
        <v>0.3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44960</v>
      </c>
      <c r="E425" s="1" t="n">
        <v>46294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35973-2026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46266</v>
      </c>
      <c r="E426" s="1" t="n">
        <v>46294</v>
      </c>
      <c r="F426" t="inlineStr">
        <is>
          <t>DALARNAS LÄN</t>
        </is>
      </c>
      <c r="G426" t="inlineStr">
        <is>
          <t>VANSBRO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46034</v>
      </c>
      <c r="E427" s="1" t="n">
        <v>46294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46294</v>
      </c>
      <c r="F428" t="inlineStr">
        <is>
          <t>DALARNAS LÄN</t>
        </is>
      </c>
      <c r="G428" t="inlineStr">
        <is>
          <t>VANSBRO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44931</v>
      </c>
      <c r="E429" s="1" t="n">
        <v>46294</v>
      </c>
      <c r="F429" t="inlineStr">
        <is>
          <t>DALARNAS LÄN</t>
        </is>
      </c>
      <c r="G429" t="inlineStr">
        <is>
          <t>VANSBRO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46268</v>
      </c>
      <c r="E430" s="1" t="n">
        <v>46294</v>
      </c>
      <c r="F430" t="inlineStr">
        <is>
          <t>DALARNAS LÄN</t>
        </is>
      </c>
      <c r="G430" t="inlineStr">
        <is>
          <t>VANSBRO</t>
        </is>
      </c>
      <c r="H430" t="inlineStr">
        <is>
          <t>Kyrkan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36377-2026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46268</v>
      </c>
      <c r="E431" s="1" t="n">
        <v>46294</v>
      </c>
      <c r="F431" t="inlineStr">
        <is>
          <t>DALARNAS LÄN</t>
        </is>
      </c>
      <c r="G431" t="inlineStr">
        <is>
          <t>VANSBRO</t>
        </is>
      </c>
      <c r="H431" t="inlineStr">
        <is>
          <t>Kyrkan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36379-2026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46294</v>
      </c>
      <c r="F432" t="inlineStr">
        <is>
          <t>DALARNAS LÄN</t>
        </is>
      </c>
      <c r="G432" t="inlineStr">
        <is>
          <t>VANSBRO</t>
        </is>
      </c>
      <c r="H432" t="inlineStr">
        <is>
          <t>Kyrkan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36710-2026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46272</v>
      </c>
      <c r="E433" s="1" t="n">
        <v>46294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36713-2026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46272</v>
      </c>
      <c r="E434" s="1" t="n">
        <v>46294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47790-2024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45588</v>
      </c>
      <c r="E435" s="1" t="n">
        <v>46294</v>
      </c>
      <c r="F435" t="inlineStr">
        <is>
          <t>DALARNAS LÄN</t>
        </is>
      </c>
      <c r="G435" t="inlineStr">
        <is>
          <t>VANSBRO</t>
        </is>
      </c>
      <c r="H435" t="inlineStr">
        <is>
          <t>Övriga statliga verk och myndigheter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45763</v>
      </c>
      <c r="E436" s="1" t="n">
        <v>46294</v>
      </c>
      <c r="F436" t="inlineStr">
        <is>
          <t>DALARNAS LÄN</t>
        </is>
      </c>
      <c r="G436" t="inlineStr">
        <is>
          <t>VANSBRO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45169</v>
      </c>
      <c r="E437" s="1" t="n">
        <v>46294</v>
      </c>
      <c r="F437" t="inlineStr">
        <is>
          <t>DALARNAS LÄN</t>
        </is>
      </c>
      <c r="G437" t="inlineStr">
        <is>
          <t>VANSBRO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45491</v>
      </c>
      <c r="E438" s="1" t="n">
        <v>46294</v>
      </c>
      <c r="F438" t="inlineStr">
        <is>
          <t>DALARNAS LÄN</t>
        </is>
      </c>
      <c r="G438" t="inlineStr">
        <is>
          <t>VANSBRO</t>
        </is>
      </c>
      <c r="I438" t="n">
        <v>2.1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36706-2026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46272</v>
      </c>
      <c r="E439" s="1" t="n">
        <v>46294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46294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37433-2026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46275</v>
      </c>
      <c r="E441" s="1" t="n">
        <v>46294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öst AB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37443-2026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46275</v>
      </c>
      <c r="E442" s="1" t="n">
        <v>46294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37467-2026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46275</v>
      </c>
      <c r="E443" s="1" t="n">
        <v>46294</v>
      </c>
      <c r="F443" t="inlineStr">
        <is>
          <t>DALARNAS LÄN</t>
        </is>
      </c>
      <c r="G443" t="inlineStr">
        <is>
          <t>VANSBRO</t>
        </is>
      </c>
      <c r="H443" t="inlineStr">
        <is>
          <t>Kommuner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18306-2025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45762</v>
      </c>
      <c r="E444" s="1" t="n">
        <v>46294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10886-2025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45722</v>
      </c>
      <c r="E445" s="1" t="n">
        <v>46294</v>
      </c>
      <c r="F445" t="inlineStr">
        <is>
          <t>DALARNAS LÄN</t>
        </is>
      </c>
      <c r="G445" t="inlineStr">
        <is>
          <t>VANSBRO</t>
        </is>
      </c>
      <c r="I445" t="n">
        <v>15.5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45700</v>
      </c>
      <c r="E446" s="1" t="n">
        <v>46294</v>
      </c>
      <c r="F446" t="inlineStr">
        <is>
          <t>DALARNAS LÄN</t>
        </is>
      </c>
      <c r="G446" t="inlineStr">
        <is>
          <t>VANSBRO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37499-2026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46275</v>
      </c>
      <c r="E447" s="1" t="n">
        <v>46294</v>
      </c>
      <c r="F447" t="inlineStr">
        <is>
          <t>DALARNAS LÄN</t>
        </is>
      </c>
      <c r="G447" t="inlineStr">
        <is>
          <t>VANSBRO</t>
        </is>
      </c>
      <c r="H447" t="inlineStr">
        <is>
          <t>Kyrkan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46274</v>
      </c>
      <c r="E448" s="1" t="n">
        <v>46294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31867-2026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46231</v>
      </c>
      <c r="E449" s="1" t="n">
        <v>46294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20.2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37596-2026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46276</v>
      </c>
      <c r="E450" s="1" t="n">
        <v>46294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61515-2022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44916</v>
      </c>
      <c r="E451" s="1" t="n">
        <v>46294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37593-2026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46276</v>
      </c>
      <c r="E452" s="1" t="n">
        <v>46294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38253-2026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46281</v>
      </c>
      <c r="E453" s="1" t="n">
        <v>46294</v>
      </c>
      <c r="F453" t="inlineStr">
        <is>
          <t>DALARNAS LÄN</t>
        </is>
      </c>
      <c r="G453" t="inlineStr">
        <is>
          <t>VANSBRO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50125-2023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45215</v>
      </c>
      <c r="E454" s="1" t="n">
        <v>46294</v>
      </c>
      <c r="F454" t="inlineStr">
        <is>
          <t>DALARNAS LÄN</t>
        </is>
      </c>
      <c r="G454" t="inlineStr">
        <is>
          <t>VANSBRO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37964-2026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46280</v>
      </c>
      <c r="E455" s="1" t="n">
        <v>46294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50141-2023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45215</v>
      </c>
      <c r="E456" s="1" t="n">
        <v>46294</v>
      </c>
      <c r="F456" t="inlineStr">
        <is>
          <t>DALARNAS LÄN</t>
        </is>
      </c>
      <c r="G456" t="inlineStr">
        <is>
          <t>VANSBRO</t>
        </is>
      </c>
      <c r="I456" t="n">
        <v>3.1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37960-2026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46280</v>
      </c>
      <c r="E457" s="1" t="n">
        <v>46294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öst AB</t>
        </is>
      </c>
      <c r="I457" t="n">
        <v>4.7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37966-2026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46280</v>
      </c>
      <c r="E458" s="1" t="n">
        <v>46294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37987-2026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46280</v>
      </c>
      <c r="E459" s="1" t="n">
        <v>46294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öst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32393-2026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46238</v>
      </c>
      <c r="E460" s="1" t="n">
        <v>46294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29.6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38270-2026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46281</v>
      </c>
      <c r="E461" s="1" t="n">
        <v>46294</v>
      </c>
      <c r="F461" t="inlineStr">
        <is>
          <t>DALARNAS LÄN</t>
        </is>
      </c>
      <c r="G461" t="inlineStr">
        <is>
          <t>VANSBRO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38248-2026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46281</v>
      </c>
      <c r="E462" s="1" t="n">
        <v>46294</v>
      </c>
      <c r="F462" t="inlineStr">
        <is>
          <t>DALARNAS LÄN</t>
        </is>
      </c>
      <c r="G462" t="inlineStr">
        <is>
          <t>VANSBRO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38231-2026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46281</v>
      </c>
      <c r="E463" s="1" t="n">
        <v>46294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öst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45783</v>
      </c>
      <c r="E464" s="1" t="n">
        <v>46294</v>
      </c>
      <c r="F464" t="inlineStr">
        <is>
          <t>DALARNAS LÄN</t>
        </is>
      </c>
      <c r="G464" t="inlineStr">
        <is>
          <t>VANSBRO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2558-2025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45674</v>
      </c>
      <c r="E465" s="1" t="n">
        <v>46294</v>
      </c>
      <c r="F465" t="inlineStr">
        <is>
          <t>DALARNAS LÄN</t>
        </is>
      </c>
      <c r="G465" t="inlineStr">
        <is>
          <t>VANSBRO</t>
        </is>
      </c>
      <c r="I465" t="n">
        <v>4.9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21656-2025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45783</v>
      </c>
      <c r="E466" s="1" t="n">
        <v>46294</v>
      </c>
      <c r="F466" t="inlineStr">
        <is>
          <t>DALARNAS LÄN</t>
        </is>
      </c>
      <c r="G466" t="inlineStr">
        <is>
          <t>VANSBRO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29288-2024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45483</v>
      </c>
      <c r="E467" s="1" t="n">
        <v>46294</v>
      </c>
      <c r="F467" t="inlineStr">
        <is>
          <t>DALARNAS LÄN</t>
        </is>
      </c>
      <c r="G467" t="inlineStr">
        <is>
          <t>VANSBRO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30544-2024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45492</v>
      </c>
      <c r="E468" s="1" t="n">
        <v>46294</v>
      </c>
      <c r="F468" t="inlineStr">
        <is>
          <t>DALARNAS LÄN</t>
        </is>
      </c>
      <c r="G468" t="inlineStr">
        <is>
          <t>VANSBRO</t>
        </is>
      </c>
      <c r="I468" t="n">
        <v>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38644-2026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46294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öst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23085-2022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44719</v>
      </c>
      <c r="E470" s="1" t="n">
        <v>46294</v>
      </c>
      <c r="F470" t="inlineStr">
        <is>
          <t>DALARNAS LÄN</t>
        </is>
      </c>
      <c r="G470" t="inlineStr">
        <is>
          <t>VANSBRO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38627-2026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46294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öst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46286</v>
      </c>
      <c r="E472" s="1" t="n">
        <v>46294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väst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39352-2026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46288</v>
      </c>
      <c r="E473" s="1" t="n">
        <v>46294</v>
      </c>
      <c r="F473" t="inlineStr">
        <is>
          <t>DALARNAS LÄN</t>
        </is>
      </c>
      <c r="G473" t="inlineStr">
        <is>
          <t>VANSBRO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46289</v>
      </c>
      <c r="E474" s="1" t="n">
        <v>46294</v>
      </c>
      <c r="F474" t="inlineStr">
        <is>
          <t>DALARNAS LÄN</t>
        </is>
      </c>
      <c r="G474" t="inlineStr">
        <is>
          <t>VANSBRO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39871-2026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46290</v>
      </c>
      <c r="E475" s="1" t="n">
        <v>46294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öst AB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40012-2026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46293</v>
      </c>
      <c r="E476" s="1" t="n">
        <v>46294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40143-2026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46293</v>
      </c>
      <c r="E477" s="1" t="n">
        <v>46294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väst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1286-2024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45401</v>
      </c>
      <c r="E478" s="1" t="n">
        <v>46294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220.8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4782-2022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44802</v>
      </c>
      <c r="E479" s="1" t="n">
        <v>46294</v>
      </c>
      <c r="F479" t="inlineStr">
        <is>
          <t>DALARNAS LÄN</t>
        </is>
      </c>
      <c r="G479" t="inlineStr">
        <is>
          <t>VANSBRO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3514-2023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45208</v>
      </c>
      <c r="E480" s="1" t="n">
        <v>46294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37.8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409-2025</t>
        </is>
      </c>
      <c r="B481" t="inlineStr">
        <is>
          <t>samrådsanmälan</t>
        </is>
      </c>
      <c r="C481" t="inlineStr">
        <is>
          <t>Skogsgödsling</t>
        </is>
      </c>
      <c r="D481" s="1" t="n">
        <v>45699</v>
      </c>
      <c r="E481" s="1" t="n">
        <v>46294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öst AB</t>
        </is>
      </c>
      <c r="I481" t="n">
        <v>277.1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91-2026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46035</v>
      </c>
      <c r="E482" s="1" t="n">
        <v>46294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väst AB</t>
        </is>
      </c>
      <c r="I482" t="n">
        <v>153.5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747-2026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46089</v>
      </c>
      <c r="E483" s="1" t="n">
        <v>46294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82.40000000000001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2026-09-29T02:02:21Z</dcterms:created>
  <dcterms:modified xmlns:dcterms="http://purl.org/dc/terms/" xmlns:xsi="http://www.w3.org/2001/XMLSchema-instance" xsi:type="dcterms:W3CDTF">2026-09-29T02:02:22Z</dcterms:modified>
</cp:coreProperties>
</file>