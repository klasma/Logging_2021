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46256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46256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46256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46256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46256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46256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46256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46256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46256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46256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46256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46256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46256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46256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46256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46256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46256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46256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46256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46256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46256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46256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46256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46256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46256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46256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46256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46256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46256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46256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46256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46256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46256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46256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46256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46256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46256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46256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46256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46256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46256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46256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46256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52675-2025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45956</v>
      </c>
      <c r="E50" s="1" t="n">
        <v>46256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4.5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Motaggsvamp</t>
        </is>
      </c>
      <c r="W50">
        <f>HYPERLINK("https://klasma.github.io/Logging_2021/artfynd/A 52675-2025 artfynd.xlsx", "A 52675-2025")</f>
        <v/>
      </c>
      <c r="X50">
        <f>HYPERLINK("https://klasma.github.io/Logging_2021/kartor/A 52675-2025 karta.png", "A 52675-2025")</f>
        <v/>
      </c>
      <c r="Y50">
        <f>HYPERLINK("https://klasma.github.io/Logging_2021/kartor_geotiff/A 52675-2025 georefererad karta.tif", "A 52675-2025")</f>
        <v/>
      </c>
      <c r="AA50">
        <f>HYPERLINK("https://klasma.github.io/Logging_2021/klagomål/A 52675-2025 FSC-klagomål.docx", "A 52675-2025")</f>
        <v/>
      </c>
      <c r="AB50">
        <f>HYPERLINK("https://klasma.github.io/Logging_2021/klagomålsmail/A 52675-2025 FSC-klagomål mail.docx", "A 52675-2025")</f>
        <v/>
      </c>
      <c r="AC50">
        <f>HYPERLINK("https://klasma.github.io/Logging_2021/tillsyn/A 52675-2025 tillsynsbegäran.docx", "A 52675-2025")</f>
        <v/>
      </c>
      <c r="AD50">
        <f>HYPERLINK("https://klasma.github.io/Logging_2021/tillsynsmail/A 52675-2025 tillsynsbegäran mail.docx", "A 52675-2025")</f>
        <v/>
      </c>
    </row>
    <row r="51" ht="15" customHeight="1">
      <c r="A51" t="inlineStr">
        <is>
          <t>A 51579-2021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46256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HYPERLINK("https://klasma.github.io/Logging_2021/artfynd/A 51579-2021 artfynd.xlsx", "A 51579-2021")</f>
        <v/>
      </c>
      <c r="X51">
        <f>HYPERLINK("https://klasma.github.io/Logging_2021/kartor/A 51579-2021 karta.png", "A 51579-2021")</f>
        <v/>
      </c>
      <c r="Y51">
        <f>HYPERLINK("https://klasma.github.io/Logging_2021/kartor_geotiff/A 51579-2021 georefererad karta.tif", "A 51579-2021")</f>
        <v/>
      </c>
      <c r="AA51">
        <f>HYPERLINK("https://klasma.github.io/Logging_2021/klagomål/A 51579-2021 FSC-klagomål.docx", "A 51579-2021")</f>
        <v/>
      </c>
      <c r="AB51">
        <f>HYPERLINK("https://klasma.github.io/Logging_2021/klagomålsmail/A 51579-2021 FSC-klagomål mail.docx", "A 51579-2021")</f>
        <v/>
      </c>
      <c r="AC51">
        <f>HYPERLINK("https://klasma.github.io/Logging_2021/tillsyn/A 51579-2021 tillsynsbegäran.docx", "A 51579-2021")</f>
        <v/>
      </c>
      <c r="AD51">
        <f>HYPERLINK("https://klasma.github.io/Logging_2021/tillsynsmail/A 51579-2021 tillsynsbegäran mail.docx", "A 51579-2021")</f>
        <v/>
      </c>
    </row>
    <row r="52" ht="15" customHeight="1">
      <c r="A52" t="inlineStr">
        <is>
          <t>A 20076-2026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46256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Kransrams</t>
        </is>
      </c>
      <c r="W52">
        <f>HYPERLINK("https://klasma.github.io/Logging_2021/artfynd/A 20076-2026 artfynd.xlsx", "A 20076-2026")</f>
        <v/>
      </c>
      <c r="X52">
        <f>HYPERLINK("https://klasma.github.io/Logging_2021/kartor/A 20076-2026 karta.png", "A 20076-2026")</f>
        <v/>
      </c>
      <c r="Y52">
        <f>HYPERLINK("https://klasma.github.io/Logging_2021/kartor_geotiff/A 20076-2026 georefererad karta.tif", "A 20076-2026")</f>
        <v/>
      </c>
      <c r="AA52">
        <f>HYPERLINK("https://klasma.github.io/Logging_2021/klagomål/A 20076-2026 FSC-klagomål.docx", "A 20076-2026")</f>
        <v/>
      </c>
      <c r="AB52">
        <f>HYPERLINK("https://klasma.github.io/Logging_2021/klagomålsmail/A 20076-2026 FSC-klagomål mail.docx", "A 20076-2026")</f>
        <v/>
      </c>
      <c r="AC52">
        <f>HYPERLINK("https://klasma.github.io/Logging_2021/tillsyn/A 20076-2026 tillsynsbegäran.docx", "A 20076-2026")</f>
        <v/>
      </c>
      <c r="AD52">
        <f>HYPERLINK("https://klasma.github.io/Logging_2021/tillsynsmail/A 20076-2026 tillsynsbegäran mail.docx", "A 20076-2026")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46256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46256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46256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46256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46256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46256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46256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46256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46256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46256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46256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46256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46256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46256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46256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46256</v>
      </c>
      <c r="F68" t="inlineStr">
        <is>
          <t>DALARNAS LÄN</t>
        </is>
      </c>
      <c r="G68" t="inlineStr">
        <is>
          <t>VANSBRO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46256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46256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46256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46256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46256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46256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46256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46256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46256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46256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46256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46256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46256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46256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46256</v>
      </c>
      <c r="F83" t="inlineStr">
        <is>
          <t>DALARNAS LÄN</t>
        </is>
      </c>
      <c r="G83" t="inlineStr">
        <is>
          <t>VANSBRO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56098-2021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44477</v>
      </c>
      <c r="E84" s="1" t="n">
        <v>46256</v>
      </c>
      <c r="F84" t="inlineStr">
        <is>
          <t>DALARNAS LÄN</t>
        </is>
      </c>
      <c r="G84" t="inlineStr">
        <is>
          <t>VANSBRO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46256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45691</v>
      </c>
      <c r="E86" s="1" t="n">
        <v>46256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45807</v>
      </c>
      <c r="E87" s="1" t="n">
        <v>46256</v>
      </c>
      <c r="F87" t="inlineStr">
        <is>
          <t>DALARNAS LÄN</t>
        </is>
      </c>
      <c r="G87" t="inlineStr">
        <is>
          <t>VANSBRO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53839-2022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44880</v>
      </c>
      <c r="E88" s="1" t="n">
        <v>46256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45807</v>
      </c>
      <c r="E89" s="1" t="n">
        <v>46256</v>
      </c>
      <c r="F89" t="inlineStr">
        <is>
          <t>DALARNAS LÄN</t>
        </is>
      </c>
      <c r="G89" t="inlineStr">
        <is>
          <t>VANSBRO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46256</v>
      </c>
      <c r="F90" t="inlineStr">
        <is>
          <t>DALARNAS LÄN</t>
        </is>
      </c>
      <c r="G90" t="inlineStr">
        <is>
          <t>VANSBRO</t>
        </is>
      </c>
      <c r="H90" t="inlineStr">
        <is>
          <t>Kyrkan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42824-2023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46256</v>
      </c>
      <c r="F91" t="inlineStr">
        <is>
          <t>DALARNAS LÄN</t>
        </is>
      </c>
      <c r="G91" t="inlineStr">
        <is>
          <t>VANSBRO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46256</v>
      </c>
      <c r="F92" t="inlineStr">
        <is>
          <t>DALARNAS LÄN</t>
        </is>
      </c>
      <c r="G92" t="inlineStr">
        <is>
          <t>VANSBRO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46256</v>
      </c>
      <c r="F93" t="inlineStr">
        <is>
          <t>DALARNAS LÄN</t>
        </is>
      </c>
      <c r="G93" t="inlineStr">
        <is>
          <t>VANSBRO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46256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38670-2025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45884</v>
      </c>
      <c r="E95" s="1" t="n">
        <v>46256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45689</v>
      </c>
      <c r="E96" s="1" t="n">
        <v>46256</v>
      </c>
      <c r="F96" t="inlineStr">
        <is>
          <t>DALARNAS LÄN</t>
        </is>
      </c>
      <c r="G96" t="inlineStr">
        <is>
          <t>VANSBRO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46256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44754</v>
      </c>
      <c r="E98" s="1" t="n">
        <v>46256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44754</v>
      </c>
      <c r="E99" s="1" t="n">
        <v>46256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öst AB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46256</v>
      </c>
      <c r="F100" t="inlineStr">
        <is>
          <t>DALARNAS LÄN</t>
        </is>
      </c>
      <c r="G100" t="inlineStr">
        <is>
          <t>VANSBRO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46256</v>
      </c>
      <c r="F101" t="inlineStr">
        <is>
          <t>DALARNAS LÄN</t>
        </is>
      </c>
      <c r="G101" t="inlineStr">
        <is>
          <t>VANSBRO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28469-2025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46256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öst AB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46256</v>
      </c>
      <c r="F103" t="inlineStr">
        <is>
          <t>DALARNAS LÄN</t>
        </is>
      </c>
      <c r="G103" t="inlineStr">
        <is>
          <t>VANSBRO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46256</v>
      </c>
      <c r="F104" t="inlineStr">
        <is>
          <t>DALARNAS LÄN</t>
        </is>
      </c>
      <c r="G104" t="inlineStr">
        <is>
          <t>VANSBRO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46256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46256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45516</v>
      </c>
      <c r="E107" s="1" t="n">
        <v>46256</v>
      </c>
      <c r="F107" t="inlineStr">
        <is>
          <t>DALARNAS LÄN</t>
        </is>
      </c>
      <c r="G107" t="inlineStr">
        <is>
          <t>VANSBRO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46256</v>
      </c>
      <c r="F108" t="inlineStr">
        <is>
          <t>DALARNAS LÄN</t>
        </is>
      </c>
      <c r="G108" t="inlineStr">
        <is>
          <t>VANSBRO</t>
        </is>
      </c>
      <c r="H108" t="inlineStr">
        <is>
          <t>Kommuner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55078-2022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44886</v>
      </c>
      <c r="E109" s="1" t="n">
        <v>46256</v>
      </c>
      <c r="F109" t="inlineStr">
        <is>
          <t>DALARNAS LÄN</t>
        </is>
      </c>
      <c r="G109" t="inlineStr">
        <is>
          <t>VANSBRO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46256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46256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35288-2024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45530</v>
      </c>
      <c r="E112" s="1" t="n">
        <v>46256</v>
      </c>
      <c r="F112" t="inlineStr">
        <is>
          <t>DALARNAS LÄN</t>
        </is>
      </c>
      <c r="G112" t="inlineStr">
        <is>
          <t>VANSBRO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45214</v>
      </c>
      <c r="E113" s="1" t="n">
        <v>46256</v>
      </c>
      <c r="F113" t="inlineStr">
        <is>
          <t>DALARNAS LÄN</t>
        </is>
      </c>
      <c r="G113" t="inlineStr">
        <is>
          <t>VANSBRO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4680-2023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44957</v>
      </c>
      <c r="E114" s="1" t="n">
        <v>46256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45498</v>
      </c>
      <c r="E115" s="1" t="n">
        <v>46256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44442</v>
      </c>
      <c r="E116" s="1" t="n">
        <v>46256</v>
      </c>
      <c r="F116" t="inlineStr">
        <is>
          <t>DALARNAS LÄN</t>
        </is>
      </c>
      <c r="G116" t="inlineStr">
        <is>
          <t>VANSBRO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46256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46256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46256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46256</v>
      </c>
      <c r="F120" t="inlineStr">
        <is>
          <t>DALARNAS LÄN</t>
        </is>
      </c>
      <c r="G120" t="inlineStr">
        <is>
          <t>VANSBRO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46256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45.8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45520</v>
      </c>
      <c r="E122" s="1" t="n">
        <v>46256</v>
      </c>
      <c r="F122" t="inlineStr">
        <is>
          <t>DALARNAS LÄN</t>
        </is>
      </c>
      <c r="G122" t="inlineStr">
        <is>
          <t>VANSBRO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35943-2024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46256</v>
      </c>
      <c r="F123" t="inlineStr">
        <is>
          <t>DALARNAS LÄN</t>
        </is>
      </c>
      <c r="G123" t="inlineStr">
        <is>
          <t>VANSBRO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45078</v>
      </c>
      <c r="E124" s="1" t="n">
        <v>46256</v>
      </c>
      <c r="F124" t="inlineStr">
        <is>
          <t>DALARNAS LÄN</t>
        </is>
      </c>
      <c r="G124" t="inlineStr">
        <is>
          <t>VANSBRO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46256</v>
      </c>
      <c r="F125" t="inlineStr">
        <is>
          <t>DALARNAS LÄN</t>
        </is>
      </c>
      <c r="G125" t="inlineStr">
        <is>
          <t>VANSBRO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11408-2025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45726</v>
      </c>
      <c r="E126" s="1" t="n">
        <v>46256</v>
      </c>
      <c r="F126" t="inlineStr">
        <is>
          <t>DALARNAS LÄN</t>
        </is>
      </c>
      <c r="G126" t="inlineStr">
        <is>
          <t>VANSBRO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45194</v>
      </c>
      <c r="E127" s="1" t="n">
        <v>46256</v>
      </c>
      <c r="F127" t="inlineStr">
        <is>
          <t>DALARNAS LÄN</t>
        </is>
      </c>
      <c r="G127" t="inlineStr">
        <is>
          <t>VANSBRO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45665</v>
      </c>
      <c r="E128" s="1" t="n">
        <v>46256</v>
      </c>
      <c r="F128" t="inlineStr">
        <is>
          <t>DALARNAS LÄN</t>
        </is>
      </c>
      <c r="G128" t="inlineStr">
        <is>
          <t>VANSBRO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29281-2025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46256</v>
      </c>
      <c r="F129" t="inlineStr">
        <is>
          <t>DALARNAS LÄN</t>
        </is>
      </c>
      <c r="G129" t="inlineStr">
        <is>
          <t>VANSBRO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46256</v>
      </c>
      <c r="F130" t="inlineStr">
        <is>
          <t>DALARNAS LÄN</t>
        </is>
      </c>
      <c r="G130" t="inlineStr">
        <is>
          <t>VANSBRO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46256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45453</v>
      </c>
      <c r="E132" s="1" t="n">
        <v>46256</v>
      </c>
      <c r="F132" t="inlineStr">
        <is>
          <t>DALARNAS LÄN</t>
        </is>
      </c>
      <c r="G132" t="inlineStr">
        <is>
          <t>VANSBRO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45832</v>
      </c>
      <c r="E133" s="1" t="n">
        <v>46256</v>
      </c>
      <c r="F133" t="inlineStr">
        <is>
          <t>DALARNAS LÄN</t>
        </is>
      </c>
      <c r="G133" t="inlineStr">
        <is>
          <t>VANSBRO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46256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34277-2022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44791</v>
      </c>
      <c r="E135" s="1" t="n">
        <v>46256</v>
      </c>
      <c r="F135" t="inlineStr">
        <is>
          <t>DALARNAS LÄN</t>
        </is>
      </c>
      <c r="G135" t="inlineStr">
        <is>
          <t>VANSBRO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46256</v>
      </c>
      <c r="F136" t="inlineStr">
        <is>
          <t>DALARNAS LÄN</t>
        </is>
      </c>
      <c r="G136" t="inlineStr">
        <is>
          <t>VANSBRO</t>
        </is>
      </c>
      <c r="I136" t="n">
        <v>27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46256</v>
      </c>
      <c r="F137" t="inlineStr">
        <is>
          <t>DALARNAS LÄN</t>
        </is>
      </c>
      <c r="G137" t="inlineStr">
        <is>
          <t>VANSBRO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46256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46256</v>
      </c>
      <c r="F139" t="inlineStr">
        <is>
          <t>DALARNAS LÄN</t>
        </is>
      </c>
      <c r="G139" t="inlineStr">
        <is>
          <t>VANSBRO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46256</v>
      </c>
      <c r="F140" t="inlineStr">
        <is>
          <t>DALARNAS LÄN</t>
        </is>
      </c>
      <c r="G140" t="inlineStr">
        <is>
          <t>VANSBRO</t>
        </is>
      </c>
      <c r="H140" t="inlineStr">
        <is>
          <t>Övriga statliga verk och myndigheter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46256</v>
      </c>
      <c r="F141" t="inlineStr">
        <is>
          <t>DALARNAS LÄN</t>
        </is>
      </c>
      <c r="G141" t="inlineStr">
        <is>
          <t>VANSBRO</t>
        </is>
      </c>
      <c r="H141" t="inlineStr">
        <is>
          <t>Övriga statliga verk och myndigheter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44970</v>
      </c>
      <c r="E142" s="1" t="n">
        <v>46256</v>
      </c>
      <c r="F142" t="inlineStr">
        <is>
          <t>DALARNAS LÄN</t>
        </is>
      </c>
      <c r="G142" t="inlineStr">
        <is>
          <t>VANSBRO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34882-2022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44796</v>
      </c>
      <c r="E143" s="1" t="n">
        <v>46256</v>
      </c>
      <c r="F143" t="inlineStr">
        <is>
          <t>DALARNAS LÄN</t>
        </is>
      </c>
      <c r="G143" t="inlineStr">
        <is>
          <t>VANSBRO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45772</v>
      </c>
      <c r="E144" s="1" t="n">
        <v>46256</v>
      </c>
      <c r="F144" t="inlineStr">
        <is>
          <t>DALARNAS LÄN</t>
        </is>
      </c>
      <c r="G144" t="inlineStr">
        <is>
          <t>VANSBRO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46256</v>
      </c>
      <c r="F145" t="inlineStr">
        <is>
          <t>DALARNAS LÄN</t>
        </is>
      </c>
      <c r="G145" t="inlineStr">
        <is>
          <t>VANSBRO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46256</v>
      </c>
      <c r="F146" t="inlineStr">
        <is>
          <t>DALARNAS LÄN</t>
        </is>
      </c>
      <c r="G146" t="inlineStr">
        <is>
          <t>VANSBRO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8694-2023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44972</v>
      </c>
      <c r="E147" s="1" t="n">
        <v>46256</v>
      </c>
      <c r="F147" t="inlineStr">
        <is>
          <t>DALARNAS LÄN</t>
        </is>
      </c>
      <c r="G147" t="inlineStr">
        <is>
          <t>VANSBRO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46256</v>
      </c>
      <c r="F148" t="inlineStr">
        <is>
          <t>DALARNAS LÄN</t>
        </is>
      </c>
      <c r="G148" t="inlineStr">
        <is>
          <t>VANSBRO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46256</v>
      </c>
      <c r="F149" t="inlineStr">
        <is>
          <t>DALARNAS LÄN</t>
        </is>
      </c>
      <c r="G149" t="inlineStr">
        <is>
          <t>VANSBRO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46256</v>
      </c>
      <c r="F150" t="inlineStr">
        <is>
          <t>DALARNAS LÄN</t>
        </is>
      </c>
      <c r="G150" t="inlineStr">
        <is>
          <t>VANSBRO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45772</v>
      </c>
      <c r="E151" s="1" t="n">
        <v>46256</v>
      </c>
      <c r="F151" t="inlineStr">
        <is>
          <t>DALARNAS LÄN</t>
        </is>
      </c>
      <c r="G151" t="inlineStr">
        <is>
          <t>VANSBRO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45520</v>
      </c>
      <c r="E152" s="1" t="n">
        <v>46256</v>
      </c>
      <c r="F152" t="inlineStr">
        <is>
          <t>DALARNAS LÄN</t>
        </is>
      </c>
      <c r="G152" t="inlineStr">
        <is>
          <t>VANSBRO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45601</v>
      </c>
      <c r="E153" s="1" t="n">
        <v>46256</v>
      </c>
      <c r="F153" t="inlineStr">
        <is>
          <t>DALARNAS LÄN</t>
        </is>
      </c>
      <c r="G153" t="inlineStr">
        <is>
          <t>VANSBRO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48840-2025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45937</v>
      </c>
      <c r="E154" s="1" t="n">
        <v>46256</v>
      </c>
      <c r="F154" t="inlineStr">
        <is>
          <t>DALARNAS LÄN</t>
        </is>
      </c>
      <c r="G154" t="inlineStr">
        <is>
          <t>VANSBRO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46256</v>
      </c>
      <c r="F155" t="inlineStr">
        <is>
          <t>DALARNAS LÄN</t>
        </is>
      </c>
      <c r="G155" t="inlineStr">
        <is>
          <t>VANSBRO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46256</v>
      </c>
      <c r="F156" t="inlineStr">
        <is>
          <t>DALARNAS LÄN</t>
        </is>
      </c>
      <c r="G156" t="inlineStr">
        <is>
          <t>VANSBRO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46256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46256</v>
      </c>
      <c r="F158" t="inlineStr">
        <is>
          <t>DALARNAS LÄN</t>
        </is>
      </c>
      <c r="G158" t="inlineStr">
        <is>
          <t>VANSBRO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46256</v>
      </c>
      <c r="F159" t="inlineStr">
        <is>
          <t>DALARNAS LÄN</t>
        </is>
      </c>
      <c r="G159" t="inlineStr">
        <is>
          <t>VANSBRO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46256</v>
      </c>
      <c r="F160" t="inlineStr">
        <is>
          <t>DALARNAS LÄN</t>
        </is>
      </c>
      <c r="G160" t="inlineStr">
        <is>
          <t>VANSBRO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44648</v>
      </c>
      <c r="E161" s="1" t="n">
        <v>46256</v>
      </c>
      <c r="F161" t="inlineStr">
        <is>
          <t>DALARNAS LÄN</t>
        </is>
      </c>
      <c r="G161" t="inlineStr">
        <is>
          <t>VANSBRO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44980</v>
      </c>
      <c r="E162" s="1" t="n">
        <v>46256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46256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8447-2022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44612</v>
      </c>
      <c r="E164" s="1" t="n">
        <v>46256</v>
      </c>
      <c r="F164" t="inlineStr">
        <is>
          <t>DALARNAS LÄN</t>
        </is>
      </c>
      <c r="G164" t="inlineStr">
        <is>
          <t>VANSBRO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46256</v>
      </c>
      <c r="F165" t="inlineStr">
        <is>
          <t>DALARNAS LÄN</t>
        </is>
      </c>
      <c r="G165" t="inlineStr">
        <is>
          <t>VANSBRO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45691</v>
      </c>
      <c r="E166" s="1" t="n">
        <v>46256</v>
      </c>
      <c r="F166" t="inlineStr">
        <is>
          <t>DALARNAS LÄN</t>
        </is>
      </c>
      <c r="G166" t="inlineStr">
        <is>
          <t>VANSBRO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46256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46256</v>
      </c>
      <c r="F168" t="inlineStr">
        <is>
          <t>DALARNAS LÄN</t>
        </is>
      </c>
      <c r="G168" t="inlineStr">
        <is>
          <t>VANSBRO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46256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46256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51855-2025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46256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45322</v>
      </c>
      <c r="E172" s="1" t="n">
        <v>46256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45956</v>
      </c>
      <c r="E173" s="1" t="n">
        <v>46256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45596</v>
      </c>
      <c r="E174" s="1" t="n">
        <v>46256</v>
      </c>
      <c r="F174" t="inlineStr">
        <is>
          <t>DALARNAS LÄN</t>
        </is>
      </c>
      <c r="G174" t="inlineStr">
        <is>
          <t>VANSBRO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46256</v>
      </c>
      <c r="F175" t="inlineStr">
        <is>
          <t>DALARNAS LÄN</t>
        </is>
      </c>
      <c r="G175" t="inlineStr">
        <is>
          <t>VANSBRO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45956</v>
      </c>
      <c r="E176" s="1" t="n">
        <v>46256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46256</v>
      </c>
      <c r="F177" t="inlineStr">
        <is>
          <t>DALARNAS LÄN</t>
        </is>
      </c>
      <c r="G177" t="inlineStr">
        <is>
          <t>VANSBRO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52442-2025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46256</v>
      </c>
      <c r="F178" t="inlineStr">
        <is>
          <t>DALARNAS LÄN</t>
        </is>
      </c>
      <c r="G178" t="inlineStr">
        <is>
          <t>VANSBRO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2086-2024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45309</v>
      </c>
      <c r="E179" s="1" t="n">
        <v>46256</v>
      </c>
      <c r="F179" t="inlineStr">
        <is>
          <t>DALARNAS LÄN</t>
        </is>
      </c>
      <c r="G179" t="inlineStr">
        <is>
          <t>VANSBRO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46256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46256</v>
      </c>
      <c r="F181" t="inlineStr">
        <is>
          <t>DALARNAS LÄN</t>
        </is>
      </c>
      <c r="G181" t="inlineStr">
        <is>
          <t>VANSBRO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46256</v>
      </c>
      <c r="F182" t="inlineStr">
        <is>
          <t>DALARNAS LÄN</t>
        </is>
      </c>
      <c r="G182" t="inlineStr">
        <is>
          <t>VANSBRO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46256</v>
      </c>
      <c r="F183" t="inlineStr">
        <is>
          <t>DALARNAS LÄN</t>
        </is>
      </c>
      <c r="G183" t="inlineStr">
        <is>
          <t>VANSBRO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46256</v>
      </c>
      <c r="F184" t="inlineStr">
        <is>
          <t>DALARNAS LÄN</t>
        </is>
      </c>
      <c r="G184" t="inlineStr">
        <is>
          <t>VANSBRO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45471</v>
      </c>
      <c r="E185" s="1" t="n">
        <v>46256</v>
      </c>
      <c r="F185" t="inlineStr">
        <is>
          <t>DALARNAS LÄN</t>
        </is>
      </c>
      <c r="G185" t="inlineStr">
        <is>
          <t>VANSBRO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46256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46256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63816-2021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44509</v>
      </c>
      <c r="E188" s="1" t="n">
        <v>46256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17.6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46256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46256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45689</v>
      </c>
      <c r="E191" s="1" t="n">
        <v>46256</v>
      </c>
      <c r="F191" t="inlineStr">
        <is>
          <t>DALARNAS LÄN</t>
        </is>
      </c>
      <c r="G191" t="inlineStr">
        <is>
          <t>VANSBRO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46256</v>
      </c>
      <c r="F192" t="inlineStr">
        <is>
          <t>DALARNAS LÄN</t>
        </is>
      </c>
      <c r="G192" t="inlineStr">
        <is>
          <t>VANSBRO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45712</v>
      </c>
      <c r="E193" s="1" t="n">
        <v>46256</v>
      </c>
      <c r="F193" t="inlineStr">
        <is>
          <t>DALARNAS LÄN</t>
        </is>
      </c>
      <c r="G193" t="inlineStr">
        <is>
          <t>VANSBRO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46256</v>
      </c>
      <c r="F194" t="inlineStr">
        <is>
          <t>DALARNAS LÄN</t>
        </is>
      </c>
      <c r="G194" t="inlineStr">
        <is>
          <t>VANSBRO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35299-2024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45530</v>
      </c>
      <c r="E195" s="1" t="n">
        <v>46256</v>
      </c>
      <c r="F195" t="inlineStr">
        <is>
          <t>DALARNAS LÄN</t>
        </is>
      </c>
      <c r="G195" t="inlineStr">
        <is>
          <t>VANSBRO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46256</v>
      </c>
      <c r="F196" t="inlineStr">
        <is>
          <t>DALARNAS LÄN</t>
        </is>
      </c>
      <c r="G196" t="inlineStr">
        <is>
          <t>VANSBRO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46256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46256</v>
      </c>
      <c r="F198" t="inlineStr">
        <is>
          <t>DALARNAS LÄN</t>
        </is>
      </c>
      <c r="G198" t="inlineStr">
        <is>
          <t>VANSBRO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44925</v>
      </c>
      <c r="E199" s="1" t="n">
        <v>46256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46256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46256</v>
      </c>
      <c r="F201" t="inlineStr">
        <is>
          <t>DALARNAS LÄN</t>
        </is>
      </c>
      <c r="G201" t="inlineStr">
        <is>
          <t>VANSBRO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46256</v>
      </c>
      <c r="F202" t="inlineStr">
        <is>
          <t>DALARNAS LÄN</t>
        </is>
      </c>
      <c r="G202" t="inlineStr">
        <is>
          <t>VANSBRO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49565-2022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44862</v>
      </c>
      <c r="E203" s="1" t="n">
        <v>46256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46256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46256</v>
      </c>
      <c r="F205" t="inlineStr">
        <is>
          <t>DALARNAS LÄN</t>
        </is>
      </c>
      <c r="G205" t="inlineStr">
        <is>
          <t>VANSBRO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46256</v>
      </c>
      <c r="F206" t="inlineStr">
        <is>
          <t>DALARNAS LÄN</t>
        </is>
      </c>
      <c r="G206" t="inlineStr">
        <is>
          <t>VANSBRO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46256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13062-2023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45002</v>
      </c>
      <c r="E208" s="1" t="n">
        <v>46256</v>
      </c>
      <c r="F208" t="inlineStr">
        <is>
          <t>DALARNAS LÄN</t>
        </is>
      </c>
      <c r="G208" t="inlineStr">
        <is>
          <t>VANSBRO</t>
        </is>
      </c>
      <c r="H208" t="inlineStr">
        <is>
          <t>Övriga statliga verk och myndigheter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46256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45576</v>
      </c>
      <c r="E210" s="1" t="n">
        <v>46256</v>
      </c>
      <c r="F210" t="inlineStr">
        <is>
          <t>DALARNAS LÄN</t>
        </is>
      </c>
      <c r="G210" t="inlineStr">
        <is>
          <t>VANSBRO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45614</v>
      </c>
      <c r="E211" s="1" t="n">
        <v>46256</v>
      </c>
      <c r="F211" t="inlineStr">
        <is>
          <t>DALARNAS LÄN</t>
        </is>
      </c>
      <c r="G211" t="inlineStr">
        <is>
          <t>VANSBRO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46256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46256</v>
      </c>
      <c r="F213" t="inlineStr">
        <is>
          <t>DALARNAS LÄN</t>
        </is>
      </c>
      <c r="G213" t="inlineStr">
        <is>
          <t>VANSBRO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46256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45854</v>
      </c>
      <c r="E215" s="1" t="n">
        <v>46256</v>
      </c>
      <c r="F215" t="inlineStr">
        <is>
          <t>DALARNAS LÄN</t>
        </is>
      </c>
      <c r="G215" t="inlineStr">
        <is>
          <t>VANSBRO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53828-2021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46256</v>
      </c>
      <c r="F216" t="inlineStr">
        <is>
          <t>DALARNAS LÄN</t>
        </is>
      </c>
      <c r="G216" t="inlineStr">
        <is>
          <t>VANSBRO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46256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22.1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45756</v>
      </c>
      <c r="E218" s="1" t="n">
        <v>46256</v>
      </c>
      <c r="F218" t="inlineStr">
        <is>
          <t>DALARNAS LÄN</t>
        </is>
      </c>
      <c r="G218" t="inlineStr">
        <is>
          <t>VANSBRO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46256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24827-2022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44728</v>
      </c>
      <c r="E220" s="1" t="n">
        <v>46256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46256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öst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46256</v>
      </c>
      <c r="F222" t="inlineStr">
        <is>
          <t>DALARNAS LÄN</t>
        </is>
      </c>
      <c r="G222" t="inlineStr">
        <is>
          <t>VANSBRO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45315</v>
      </c>
      <c r="E223" s="1" t="n">
        <v>46256</v>
      </c>
      <c r="F223" t="inlineStr">
        <is>
          <t>DALARNAS LÄN</t>
        </is>
      </c>
      <c r="G223" t="inlineStr">
        <is>
          <t>VANSBRO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48111-2024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45589</v>
      </c>
      <c r="E224" s="1" t="n">
        <v>46256</v>
      </c>
      <c r="F224" t="inlineStr">
        <is>
          <t>DALARNAS LÄN</t>
        </is>
      </c>
      <c r="G224" t="inlineStr">
        <is>
          <t>VANSBRO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46256</v>
      </c>
      <c r="F225" t="inlineStr">
        <is>
          <t>DALARNAS LÄN</t>
        </is>
      </c>
      <c r="G225" t="inlineStr">
        <is>
          <t>VANSBRO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46256</v>
      </c>
      <c r="F226" t="inlineStr">
        <is>
          <t>DALARNAS LÄN</t>
        </is>
      </c>
      <c r="G226" t="inlineStr">
        <is>
          <t>VANSBRO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46256</v>
      </c>
      <c r="F227" t="inlineStr">
        <is>
          <t>DALARNAS LÄN</t>
        </is>
      </c>
      <c r="G227" t="inlineStr">
        <is>
          <t>VANSBRO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45860</v>
      </c>
      <c r="E228" s="1" t="n">
        <v>46256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46256</v>
      </c>
      <c r="F229" t="inlineStr">
        <is>
          <t>DALARNAS LÄN</t>
        </is>
      </c>
      <c r="G229" t="inlineStr">
        <is>
          <t>VANSBRO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46256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45764</v>
      </c>
      <c r="E231" s="1" t="n">
        <v>46256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46256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46256</v>
      </c>
      <c r="F233" t="inlineStr">
        <is>
          <t>DALARNAS LÄN</t>
        </is>
      </c>
      <c r="G233" t="inlineStr">
        <is>
          <t>VANSBRO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46256</v>
      </c>
      <c r="F234" t="inlineStr">
        <is>
          <t>DALARNAS LÄN</t>
        </is>
      </c>
      <c r="G234" t="inlineStr">
        <is>
          <t>VANSBRO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45754</v>
      </c>
      <c r="E235" s="1" t="n">
        <v>46256</v>
      </c>
      <c r="F235" t="inlineStr">
        <is>
          <t>DALARNAS LÄN</t>
        </is>
      </c>
      <c r="G235" t="inlineStr">
        <is>
          <t>VANSBRO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46256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44820</v>
      </c>
      <c r="E237" s="1" t="n">
        <v>46256</v>
      </c>
      <c r="F237" t="inlineStr">
        <is>
          <t>DALARNAS LÄN</t>
        </is>
      </c>
      <c r="G237" t="inlineStr">
        <is>
          <t>VANSBRO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45531</v>
      </c>
      <c r="E238" s="1" t="n">
        <v>46256</v>
      </c>
      <c r="F238" t="inlineStr">
        <is>
          <t>DALARNAS LÄN</t>
        </is>
      </c>
      <c r="G238" t="inlineStr">
        <is>
          <t>VANSBRO</t>
        </is>
      </c>
      <c r="H238" t="inlineStr">
        <is>
          <t>Övriga statliga verk och myndigheter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46256</v>
      </c>
      <c r="F239" t="inlineStr">
        <is>
          <t>DALARNAS LÄN</t>
        </is>
      </c>
      <c r="G239" t="inlineStr">
        <is>
          <t>VANSBRO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45868</v>
      </c>
      <c r="E240" s="1" t="n">
        <v>46256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öst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46256</v>
      </c>
      <c r="F241" t="inlineStr">
        <is>
          <t>DALARNAS LÄN</t>
        </is>
      </c>
      <c r="G241" t="inlineStr">
        <is>
          <t>VANSBRO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46256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öst AB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46256</v>
      </c>
      <c r="F243" t="inlineStr">
        <is>
          <t>DALARNAS LÄN</t>
        </is>
      </c>
      <c r="G243" t="inlineStr">
        <is>
          <t>VANSBRO</t>
        </is>
      </c>
      <c r="H243" t="inlineStr">
        <is>
          <t>Övriga statliga verk och myndigheter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46033</v>
      </c>
      <c r="E244" s="1" t="n">
        <v>46256</v>
      </c>
      <c r="F244" t="inlineStr">
        <is>
          <t>DALARNAS LÄN</t>
        </is>
      </c>
      <c r="G244" t="inlineStr">
        <is>
          <t>VANSBRO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46256</v>
      </c>
      <c r="F245" t="inlineStr">
        <is>
          <t>DALARNAS LÄN</t>
        </is>
      </c>
      <c r="G245" t="inlineStr">
        <is>
          <t>VANSBRO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46256</v>
      </c>
      <c r="F246" t="inlineStr">
        <is>
          <t>DALARNAS LÄN</t>
        </is>
      </c>
      <c r="G246" t="inlineStr">
        <is>
          <t>VANSBRO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46256</v>
      </c>
      <c r="F247" t="inlineStr">
        <is>
          <t>DALARNAS LÄN</t>
        </is>
      </c>
      <c r="G247" t="inlineStr">
        <is>
          <t>VANSBRO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46256</v>
      </c>
      <c r="F248" t="inlineStr">
        <is>
          <t>DALARNAS LÄN</t>
        </is>
      </c>
      <c r="G248" t="inlineStr">
        <is>
          <t>VANSBRO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46256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45147</v>
      </c>
      <c r="E250" s="1" t="n">
        <v>46256</v>
      </c>
      <c r="F250" t="inlineStr">
        <is>
          <t>DALARNAS LÄN</t>
        </is>
      </c>
      <c r="G250" t="inlineStr">
        <is>
          <t>VANSBRO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46256</v>
      </c>
      <c r="F251" t="inlineStr">
        <is>
          <t>DALARNAS LÄN</t>
        </is>
      </c>
      <c r="G251" t="inlineStr">
        <is>
          <t>VANSBRO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46256</v>
      </c>
      <c r="F252" t="inlineStr">
        <is>
          <t>DALARNAS LÄN</t>
        </is>
      </c>
      <c r="G252" t="inlineStr">
        <is>
          <t>VANSBRO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44811</v>
      </c>
      <c r="E253" s="1" t="n">
        <v>46256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46256</v>
      </c>
      <c r="F254" t="inlineStr">
        <is>
          <t>DALARNAS LÄN</t>
        </is>
      </c>
      <c r="G254" t="inlineStr">
        <is>
          <t>VANSBRO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46256</v>
      </c>
      <c r="F255" t="inlineStr">
        <is>
          <t>DALARNAS LÄN</t>
        </is>
      </c>
      <c r="G255" t="inlineStr">
        <is>
          <t>VANSBRO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46256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46164</v>
      </c>
      <c r="E257" s="1" t="n">
        <v>46256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46256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46256</v>
      </c>
      <c r="F259" t="inlineStr">
        <is>
          <t>DALARNAS LÄN</t>
        </is>
      </c>
      <c r="G259" t="inlineStr">
        <is>
          <t>VANSBRO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46256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39336-2023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46256</v>
      </c>
      <c r="F261" t="inlineStr">
        <is>
          <t>DALARNAS LÄN</t>
        </is>
      </c>
      <c r="G261" t="inlineStr">
        <is>
          <t>VANSBRO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46256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46256</v>
      </c>
      <c r="F263" t="inlineStr">
        <is>
          <t>DALARNAS LÄN</t>
        </is>
      </c>
      <c r="G263" t="inlineStr">
        <is>
          <t>VANSBRO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45644</v>
      </c>
      <c r="E264" s="1" t="n">
        <v>46256</v>
      </c>
      <c r="F264" t="inlineStr">
        <is>
          <t>DALARNAS LÄN</t>
        </is>
      </c>
      <c r="G264" t="inlineStr">
        <is>
          <t>VANSBRO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46256</v>
      </c>
      <c r="F265" t="inlineStr">
        <is>
          <t>DALARNAS LÄN</t>
        </is>
      </c>
      <c r="G265" t="inlineStr">
        <is>
          <t>VANSBRO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46256</v>
      </c>
      <c r="F266" t="inlineStr">
        <is>
          <t>DALARNAS LÄN</t>
        </is>
      </c>
      <c r="G266" t="inlineStr">
        <is>
          <t>VANSBRO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45876</v>
      </c>
      <c r="E267" s="1" t="n">
        <v>46256</v>
      </c>
      <c r="F267" t="inlineStr">
        <is>
          <t>DALARNAS LÄN</t>
        </is>
      </c>
      <c r="G267" t="inlineStr">
        <is>
          <t>VANSBRO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45174</v>
      </c>
      <c r="E268" s="1" t="n">
        <v>46256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46256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46256</v>
      </c>
      <c r="F270" t="inlineStr">
        <is>
          <t>DALARNAS LÄN</t>
        </is>
      </c>
      <c r="G270" t="inlineStr">
        <is>
          <t>VANSBRO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46256</v>
      </c>
      <c r="F271" t="inlineStr">
        <is>
          <t>DALARNAS LÄN</t>
        </is>
      </c>
      <c r="G271" t="inlineStr">
        <is>
          <t>VANSBRO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46256</v>
      </c>
      <c r="F272" t="inlineStr">
        <is>
          <t>DALARNAS LÄN</t>
        </is>
      </c>
      <c r="G272" t="inlineStr">
        <is>
          <t>VANSBRO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46256</v>
      </c>
      <c r="F273" t="inlineStr">
        <is>
          <t>DALARNAS LÄN</t>
        </is>
      </c>
      <c r="G273" t="inlineStr">
        <is>
          <t>VANSBRO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51396-2022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44869</v>
      </c>
      <c r="E274" s="1" t="n">
        <v>46256</v>
      </c>
      <c r="F274" t="inlineStr">
        <is>
          <t>DALARNAS LÄN</t>
        </is>
      </c>
      <c r="G274" t="inlineStr">
        <is>
          <t>VANSBRO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46256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46256</v>
      </c>
      <c r="F276" t="inlineStr">
        <is>
          <t>DALARNAS LÄN</t>
        </is>
      </c>
      <c r="G276" t="inlineStr">
        <is>
          <t>VANSBRO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46256</v>
      </c>
      <c r="F277" t="inlineStr">
        <is>
          <t>DALARNAS LÄN</t>
        </is>
      </c>
      <c r="G277" t="inlineStr">
        <is>
          <t>VANSBRO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46256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46256</v>
      </c>
      <c r="F279" t="inlineStr">
        <is>
          <t>DALARNAS LÄN</t>
        </is>
      </c>
      <c r="G279" t="inlineStr">
        <is>
          <t>VANSBRO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44805</v>
      </c>
      <c r="E280" s="1" t="n">
        <v>46256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46041</v>
      </c>
      <c r="E281" s="1" t="n">
        <v>46256</v>
      </c>
      <c r="F281" t="inlineStr">
        <is>
          <t>DALARNAS LÄN</t>
        </is>
      </c>
      <c r="G281" t="inlineStr">
        <is>
          <t>VANSBRO</t>
        </is>
      </c>
      <c r="I281" t="n">
        <v>15.1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46169</v>
      </c>
      <c r="E282" s="1" t="n">
        <v>46256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45299</v>
      </c>
      <c r="E283" s="1" t="n">
        <v>46256</v>
      </c>
      <c r="F283" t="inlineStr">
        <is>
          <t>DALARNAS LÄN</t>
        </is>
      </c>
      <c r="G283" t="inlineStr">
        <is>
          <t>VANSBRO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45689</v>
      </c>
      <c r="E284" s="1" t="n">
        <v>46256</v>
      </c>
      <c r="F284" t="inlineStr">
        <is>
          <t>DALARNAS LÄN</t>
        </is>
      </c>
      <c r="G284" t="inlineStr">
        <is>
          <t>VANSBRO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45689</v>
      </c>
      <c r="E285" s="1" t="n">
        <v>46256</v>
      </c>
      <c r="F285" t="inlineStr">
        <is>
          <t>DALARNAS LÄN</t>
        </is>
      </c>
      <c r="G285" t="inlineStr">
        <is>
          <t>VANSBRO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45631</v>
      </c>
      <c r="E286" s="1" t="n">
        <v>46256</v>
      </c>
      <c r="F286" t="inlineStr">
        <is>
          <t>DALARNAS LÄN</t>
        </is>
      </c>
      <c r="G286" t="inlineStr">
        <is>
          <t>VANSBRO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1140-2025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45666</v>
      </c>
      <c r="E287" s="1" t="n">
        <v>46256</v>
      </c>
      <c r="F287" t="inlineStr">
        <is>
          <t>DALARNAS LÄN</t>
        </is>
      </c>
      <c r="G287" t="inlineStr">
        <is>
          <t>VANSBRO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46256</v>
      </c>
      <c r="F288" t="inlineStr">
        <is>
          <t>DALARNAS LÄN</t>
        </is>
      </c>
      <c r="G288" t="inlineStr">
        <is>
          <t>VANSBRO</t>
        </is>
      </c>
      <c r="I288" t="n">
        <v>19.1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46256</v>
      </c>
      <c r="F289" t="inlineStr">
        <is>
          <t>DALARNAS LÄN</t>
        </is>
      </c>
      <c r="G289" t="inlineStr">
        <is>
          <t>VANSBRO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24202-2026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46168</v>
      </c>
      <c r="E290" s="1" t="n">
        <v>46256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45240</v>
      </c>
      <c r="E291" s="1" t="n">
        <v>46256</v>
      </c>
      <c r="F291" t="inlineStr">
        <is>
          <t>DALARNAS LÄN</t>
        </is>
      </c>
      <c r="G291" t="inlineStr">
        <is>
          <t>VANSBRO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45639</v>
      </c>
      <c r="E292" s="1" t="n">
        <v>46256</v>
      </c>
      <c r="F292" t="inlineStr">
        <is>
          <t>DALARNAS LÄN</t>
        </is>
      </c>
      <c r="G292" t="inlineStr">
        <is>
          <t>VANSBRO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45673</v>
      </c>
      <c r="E293" s="1" t="n">
        <v>46256</v>
      </c>
      <c r="F293" t="inlineStr">
        <is>
          <t>DALARNAS LÄN</t>
        </is>
      </c>
      <c r="G293" t="inlineStr">
        <is>
          <t>VANSBRO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46256</v>
      </c>
      <c r="F294" t="inlineStr">
        <is>
          <t>DALARNAS LÄN</t>
        </is>
      </c>
      <c r="G294" t="inlineStr">
        <is>
          <t>VANSBRO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44734</v>
      </c>
      <c r="E295" s="1" t="n">
        <v>46256</v>
      </c>
      <c r="F295" t="inlineStr">
        <is>
          <t>DALARNAS LÄN</t>
        </is>
      </c>
      <c r="G295" t="inlineStr">
        <is>
          <t>VANSBRO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46256</v>
      </c>
      <c r="F296" t="inlineStr">
        <is>
          <t>DALARNAS LÄN</t>
        </is>
      </c>
      <c r="G296" t="inlineStr">
        <is>
          <t>VANSBRO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46256</v>
      </c>
      <c r="F297" t="inlineStr">
        <is>
          <t>DALARNAS LÄN</t>
        </is>
      </c>
      <c r="G297" t="inlineStr">
        <is>
          <t>VANSBRO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46256</v>
      </c>
      <c r="F298" t="inlineStr">
        <is>
          <t>DALARNAS LÄN</t>
        </is>
      </c>
      <c r="G298" t="inlineStr">
        <is>
          <t>VANSBRO</t>
        </is>
      </c>
      <c r="H298" t="inlineStr">
        <is>
          <t>Övriga statliga verk och myndigheter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44461</v>
      </c>
      <c r="E299" s="1" t="n">
        <v>46256</v>
      </c>
      <c r="F299" t="inlineStr">
        <is>
          <t>DALARNAS LÄN</t>
        </is>
      </c>
      <c r="G299" t="inlineStr">
        <is>
          <t>VANSBRO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46256</v>
      </c>
      <c r="F300" t="inlineStr">
        <is>
          <t>DALARNAS LÄN</t>
        </is>
      </c>
      <c r="G300" t="inlineStr">
        <is>
          <t>VANSBRO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46256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46256</v>
      </c>
      <c r="F302" t="inlineStr">
        <is>
          <t>DALARNAS LÄN</t>
        </is>
      </c>
      <c r="G302" t="inlineStr">
        <is>
          <t>VANSBRO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11349-2026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46082</v>
      </c>
      <c r="E303" s="1" t="n">
        <v>46256</v>
      </c>
      <c r="F303" t="inlineStr">
        <is>
          <t>DALARNAS LÄN</t>
        </is>
      </c>
      <c r="G303" t="inlineStr">
        <is>
          <t>VANSBRO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46256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46082</v>
      </c>
      <c r="E305" s="1" t="n">
        <v>46256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46256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20931-2022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44701</v>
      </c>
      <c r="E307" s="1" t="n">
        <v>46256</v>
      </c>
      <c r="F307" t="inlineStr">
        <is>
          <t>DALARNAS LÄN</t>
        </is>
      </c>
      <c r="G307" t="inlineStr">
        <is>
          <t>VANSBRO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45296</v>
      </c>
      <c r="E308" s="1" t="n">
        <v>46256</v>
      </c>
      <c r="F308" t="inlineStr">
        <is>
          <t>DALARNAS LÄN</t>
        </is>
      </c>
      <c r="G308" t="inlineStr">
        <is>
          <t>VANSBRO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46256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46256</v>
      </c>
      <c r="F310" t="inlineStr">
        <is>
          <t>DALARNAS LÄN</t>
        </is>
      </c>
      <c r="G310" t="inlineStr">
        <is>
          <t>VANSBRO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46256</v>
      </c>
      <c r="F311" t="inlineStr">
        <is>
          <t>DALARNAS LÄN</t>
        </is>
      </c>
      <c r="G311" t="inlineStr">
        <is>
          <t>VANSBRO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46231</v>
      </c>
      <c r="E312" s="1" t="n">
        <v>46256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20.2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45008</v>
      </c>
      <c r="E313" s="1" t="n">
        <v>46256</v>
      </c>
      <c r="F313" t="inlineStr">
        <is>
          <t>DALARNAS LÄN</t>
        </is>
      </c>
      <c r="G313" t="inlineStr">
        <is>
          <t>VANSBRO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22756-2024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45448</v>
      </c>
      <c r="E314" s="1" t="n">
        <v>46256</v>
      </c>
      <c r="F314" t="inlineStr">
        <is>
          <t>DALARNAS LÄN</t>
        </is>
      </c>
      <c r="G314" t="inlineStr">
        <is>
          <t>VANSBRO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46256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46256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46256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46256</v>
      </c>
      <c r="F318" t="inlineStr">
        <is>
          <t>DALARNAS LÄN</t>
        </is>
      </c>
      <c r="G318" t="inlineStr">
        <is>
          <t>VANSBRO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46256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46256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46256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46256</v>
      </c>
      <c r="F322" t="inlineStr">
        <is>
          <t>DALARNAS LÄN</t>
        </is>
      </c>
      <c r="G322" t="inlineStr">
        <is>
          <t>VANSBRO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46256</v>
      </c>
      <c r="F323" t="inlineStr">
        <is>
          <t>DALARNAS LÄN</t>
        </is>
      </c>
      <c r="G323" t="inlineStr">
        <is>
          <t>VANSBRO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46256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46256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46256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44930</v>
      </c>
      <c r="E327" s="1" t="n">
        <v>46256</v>
      </c>
      <c r="F327" t="inlineStr">
        <is>
          <t>DALARNAS LÄN</t>
        </is>
      </c>
      <c r="G327" t="inlineStr">
        <is>
          <t>VANSBRO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46256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46256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46256</v>
      </c>
      <c r="F330" t="inlineStr">
        <is>
          <t>DALARNAS LÄN</t>
        </is>
      </c>
      <c r="G330" t="inlineStr">
        <is>
          <t>VANSBRO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46191</v>
      </c>
      <c r="E331" s="1" t="n">
        <v>46256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46256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45471</v>
      </c>
      <c r="E333" s="1" t="n">
        <v>46256</v>
      </c>
      <c r="F333" t="inlineStr">
        <is>
          <t>DALARNAS LÄN</t>
        </is>
      </c>
      <c r="G333" t="inlineStr">
        <is>
          <t>VANSBRO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46256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46256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46256</v>
      </c>
      <c r="F336" t="inlineStr">
        <is>
          <t>DALARNAS LÄN</t>
        </is>
      </c>
      <c r="G336" t="inlineStr">
        <is>
          <t>VANSBRO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32393-2026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46238</v>
      </c>
      <c r="E337" s="1" t="n">
        <v>46256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29.6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46256</v>
      </c>
      <c r="F338" t="inlineStr">
        <is>
          <t>DALARNAS LÄN</t>
        </is>
      </c>
      <c r="G338" t="inlineStr">
        <is>
          <t>VANSBRO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46112</v>
      </c>
      <c r="E339" s="1" t="n">
        <v>46256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46195</v>
      </c>
      <c r="E340" s="1" t="n">
        <v>46256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46256</v>
      </c>
      <c r="F341" t="inlineStr">
        <is>
          <t>DALARNAS LÄN</t>
        </is>
      </c>
      <c r="G341" t="inlineStr">
        <is>
          <t>VANSBRO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46256</v>
      </c>
      <c r="F342" t="inlineStr">
        <is>
          <t>DALARNAS LÄN</t>
        </is>
      </c>
      <c r="G342" t="inlineStr">
        <is>
          <t>VANSBRO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11485-2024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45372</v>
      </c>
      <c r="E343" s="1" t="n">
        <v>46256</v>
      </c>
      <c r="F343" t="inlineStr">
        <is>
          <t>DALARNAS LÄN</t>
        </is>
      </c>
      <c r="G343" t="inlineStr">
        <is>
          <t>VANSBRO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46119</v>
      </c>
      <c r="E344" s="1" t="n">
        <v>46256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46256</v>
      </c>
      <c r="F345" t="inlineStr">
        <is>
          <t>DALARNAS LÄN</t>
        </is>
      </c>
      <c r="G345" t="inlineStr">
        <is>
          <t>VANSBRO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46256</v>
      </c>
      <c r="F346" t="inlineStr">
        <is>
          <t>DALARNAS LÄN</t>
        </is>
      </c>
      <c r="G346" t="inlineStr">
        <is>
          <t>VANSBRO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17613-2026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46256</v>
      </c>
      <c r="F347" t="inlineStr">
        <is>
          <t>DALARNAS LÄN</t>
        </is>
      </c>
      <c r="G347" t="inlineStr">
        <is>
          <t>VANSBRO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46120</v>
      </c>
      <c r="E348" s="1" t="n">
        <v>46256</v>
      </c>
      <c r="F348" t="inlineStr">
        <is>
          <t>DALARNAS LÄN</t>
        </is>
      </c>
      <c r="G348" t="inlineStr">
        <is>
          <t>VANSBRO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46256</v>
      </c>
      <c r="F349" t="inlineStr">
        <is>
          <t>DALARNAS LÄN</t>
        </is>
      </c>
      <c r="G349" t="inlineStr">
        <is>
          <t>VANSBRO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17609-2026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46121</v>
      </c>
      <c r="E350" s="1" t="n">
        <v>46256</v>
      </c>
      <c r="F350" t="inlineStr">
        <is>
          <t>DALARNAS LÄN</t>
        </is>
      </c>
      <c r="G350" t="inlineStr">
        <is>
          <t>VANSBRO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46256</v>
      </c>
      <c r="F351" t="inlineStr">
        <is>
          <t>DALARNAS LÄN</t>
        </is>
      </c>
      <c r="G351" t="inlineStr">
        <is>
          <t>VANSBRO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46256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46197</v>
      </c>
      <c r="E353" s="1" t="n">
        <v>46256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17998-2026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46124</v>
      </c>
      <c r="E354" s="1" t="n">
        <v>46256</v>
      </c>
      <c r="F354" t="inlineStr">
        <is>
          <t>DALARNAS LÄN</t>
        </is>
      </c>
      <c r="G354" t="inlineStr">
        <is>
          <t>VANSBRO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44867</v>
      </c>
      <c r="E355" s="1" t="n">
        <v>46256</v>
      </c>
      <c r="F355" t="inlineStr">
        <is>
          <t>DALARNAS LÄN</t>
        </is>
      </c>
      <c r="G355" t="inlineStr">
        <is>
          <t>VANSBRO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46256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46256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46256</v>
      </c>
      <c r="F358" t="inlineStr">
        <is>
          <t>DALARNAS LÄN</t>
        </is>
      </c>
      <c r="G358" t="inlineStr">
        <is>
          <t>VANSBRO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44837</v>
      </c>
      <c r="E359" s="1" t="n">
        <v>46256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46256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46256</v>
      </c>
      <c r="F361" t="inlineStr">
        <is>
          <t>DALARNAS LÄN</t>
        </is>
      </c>
      <c r="G361" t="inlineStr">
        <is>
          <t>VANSBRO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46256</v>
      </c>
      <c r="F362" t="inlineStr">
        <is>
          <t>DALARNAS LÄN</t>
        </is>
      </c>
      <c r="G362" t="inlineStr">
        <is>
          <t>VANSBRO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46256</v>
      </c>
      <c r="F363" t="inlineStr">
        <is>
          <t>DALARNAS LÄN</t>
        </is>
      </c>
      <c r="G363" t="inlineStr">
        <is>
          <t>VANSBRO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46256</v>
      </c>
      <c r="F364" t="inlineStr">
        <is>
          <t>DALARNAS LÄN</t>
        </is>
      </c>
      <c r="G364" t="inlineStr">
        <is>
          <t>VANSBRO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46256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18823-2026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46128</v>
      </c>
      <c r="E366" s="1" t="n">
        <v>46256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13.1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46256</v>
      </c>
      <c r="F367" t="inlineStr">
        <is>
          <t>DALARNAS LÄN</t>
        </is>
      </c>
      <c r="G367" t="inlineStr">
        <is>
          <t>VANSBRO</t>
        </is>
      </c>
      <c r="I367" t="n">
        <v>9.9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18577-2026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46127</v>
      </c>
      <c r="E368" s="1" t="n">
        <v>46256</v>
      </c>
      <c r="F368" t="inlineStr">
        <is>
          <t>DALARNAS LÄN</t>
        </is>
      </c>
      <c r="G368" t="inlineStr">
        <is>
          <t>VANSBRO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44673</v>
      </c>
      <c r="E369" s="1" t="n">
        <v>46256</v>
      </c>
      <c r="F369" t="inlineStr">
        <is>
          <t>DALARNAS LÄN</t>
        </is>
      </c>
      <c r="G369" t="inlineStr">
        <is>
          <t>VANSBRO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45240</v>
      </c>
      <c r="E370" s="1" t="n">
        <v>46256</v>
      </c>
      <c r="F370" t="inlineStr">
        <is>
          <t>DALARNAS LÄN</t>
        </is>
      </c>
      <c r="G370" t="inlineStr">
        <is>
          <t>VANSBRO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46256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46256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29174-2026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46202</v>
      </c>
      <c r="E373" s="1" t="n">
        <v>46256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46256</v>
      </c>
      <c r="F374" t="inlineStr">
        <is>
          <t>DALARNAS LÄN</t>
        </is>
      </c>
      <c r="G374" t="inlineStr">
        <is>
          <t>VANSBRO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29671-2026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46204</v>
      </c>
      <c r="E375" s="1" t="n">
        <v>46256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51606-2023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46256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45817</v>
      </c>
      <c r="E377" s="1" t="n">
        <v>46256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46256</v>
      </c>
      <c r="F378" t="inlineStr">
        <is>
          <t>DALARNAS LÄN</t>
        </is>
      </c>
      <c r="G378" t="inlineStr">
        <is>
          <t>VANSBRO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46256</v>
      </c>
      <c r="F379" t="inlineStr">
        <is>
          <t>DALARNAS LÄN</t>
        </is>
      </c>
      <c r="G379" t="inlineStr">
        <is>
          <t>VANSBRO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60031-2022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44909</v>
      </c>
      <c r="E380" s="1" t="n">
        <v>46256</v>
      </c>
      <c r="F380" t="inlineStr">
        <is>
          <t>DALARNAS LÄN</t>
        </is>
      </c>
      <c r="G380" t="inlineStr">
        <is>
          <t>VANSBRO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46139</v>
      </c>
      <c r="E381" s="1" t="n">
        <v>46256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49819-2025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45940</v>
      </c>
      <c r="E382" s="1" t="n">
        <v>46256</v>
      </c>
      <c r="F382" t="inlineStr">
        <is>
          <t>DALARNAS LÄN</t>
        </is>
      </c>
      <c r="G382" t="inlineStr">
        <is>
          <t>VANSBRO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46256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46203</v>
      </c>
      <c r="E384" s="1" t="n">
        <v>46256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46256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29630-2026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46256</v>
      </c>
      <c r="F386" t="inlineStr">
        <is>
          <t>DALARNAS LÄN</t>
        </is>
      </c>
      <c r="G386" t="inlineStr">
        <is>
          <t>VANSBRO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45440</v>
      </c>
      <c r="E387" s="1" t="n">
        <v>46256</v>
      </c>
      <c r="F387" t="inlineStr">
        <is>
          <t>DALARNAS LÄN</t>
        </is>
      </c>
      <c r="G387" t="inlineStr">
        <is>
          <t>VANSBRO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46256</v>
      </c>
      <c r="F388" t="inlineStr">
        <is>
          <t>DALARNAS LÄN</t>
        </is>
      </c>
      <c r="G388" t="inlineStr">
        <is>
          <t>VANSBRO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45811</v>
      </c>
      <c r="E389" s="1" t="n">
        <v>46256</v>
      </c>
      <c r="F389" t="inlineStr">
        <is>
          <t>DALARNAS LÄN</t>
        </is>
      </c>
      <c r="G389" t="inlineStr">
        <is>
          <t>VANSBRO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46256</v>
      </c>
      <c r="F390" t="inlineStr">
        <is>
          <t>DALARNAS LÄN</t>
        </is>
      </c>
      <c r="G390" t="inlineStr">
        <is>
          <t>VANSBRO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45254</v>
      </c>
      <c r="E391" s="1" t="n">
        <v>46256</v>
      </c>
      <c r="F391" t="inlineStr">
        <is>
          <t>DALARNAS LÄN</t>
        </is>
      </c>
      <c r="G391" t="inlineStr">
        <is>
          <t>VANSBRO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46256</v>
      </c>
      <c r="F392" t="inlineStr">
        <is>
          <t>DALARNAS LÄN</t>
        </is>
      </c>
      <c r="G392" t="inlineStr">
        <is>
          <t>VANSBRO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46256</v>
      </c>
      <c r="F393" t="inlineStr">
        <is>
          <t>DALARNAS LÄN</t>
        </is>
      </c>
      <c r="G393" t="inlineStr">
        <is>
          <t>VANSBRO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20669-2025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45776</v>
      </c>
      <c r="E394" s="1" t="n">
        <v>46256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45244</v>
      </c>
      <c r="E395" s="1" t="n">
        <v>46256</v>
      </c>
      <c r="F395" t="inlineStr">
        <is>
          <t>DALARNAS LÄN</t>
        </is>
      </c>
      <c r="G395" t="inlineStr">
        <is>
          <t>VANSBRO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45806</v>
      </c>
      <c r="E396" s="1" t="n">
        <v>46256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46252</v>
      </c>
      <c r="E397" s="1" t="n">
        <v>46256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57903-2024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46256</v>
      </c>
      <c r="F398" t="inlineStr">
        <is>
          <t>DALARNAS LÄN</t>
        </is>
      </c>
      <c r="G398" t="inlineStr">
        <is>
          <t>VANSBRO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33953-2026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46252</v>
      </c>
      <c r="E399" s="1" t="n">
        <v>46256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46252</v>
      </c>
      <c r="E400" s="1" t="n">
        <v>46256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46256</v>
      </c>
      <c r="F401" t="inlineStr">
        <is>
          <t>DALARNAS LÄN</t>
        </is>
      </c>
      <c r="G401" t="inlineStr">
        <is>
          <t>VANSBRO</t>
        </is>
      </c>
      <c r="I401" t="n">
        <v>13.9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46256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46256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46256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46256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46256</v>
      </c>
      <c r="F406" t="inlineStr">
        <is>
          <t>DALARNAS LÄN</t>
        </is>
      </c>
      <c r="G406" t="inlineStr">
        <is>
          <t>VANSBRO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46210</v>
      </c>
      <c r="E407" s="1" t="n">
        <v>46256</v>
      </c>
      <c r="F407" t="inlineStr">
        <is>
          <t>DALARNAS LÄN</t>
        </is>
      </c>
      <c r="G407" t="inlineStr">
        <is>
          <t>VANSBRO</t>
        </is>
      </c>
      <c r="H407" t="inlineStr">
        <is>
          <t>Övriga statliga verk och myndigheter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46256</v>
      </c>
      <c r="F408" t="inlineStr">
        <is>
          <t>DALARNAS LÄN</t>
        </is>
      </c>
      <c r="G408" t="inlineStr">
        <is>
          <t>VANSBRO</t>
        </is>
      </c>
      <c r="H408" t="inlineStr">
        <is>
          <t>Kommuner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46256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46256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18.9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46256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46256</v>
      </c>
      <c r="F412" t="inlineStr">
        <is>
          <t>DALARNAS LÄN</t>
        </is>
      </c>
      <c r="G412" t="inlineStr">
        <is>
          <t>VANSBRO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46212</v>
      </c>
      <c r="E413" s="1" t="n">
        <v>46256</v>
      </c>
      <c r="F413" t="inlineStr">
        <is>
          <t>DALARNAS LÄN</t>
        </is>
      </c>
      <c r="G413" t="inlineStr">
        <is>
          <t>VANSBRO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45247</v>
      </c>
      <c r="E414" s="1" t="n">
        <v>46256</v>
      </c>
      <c r="F414" t="inlineStr">
        <is>
          <t>DALARNAS LÄN</t>
        </is>
      </c>
      <c r="G414" t="inlineStr">
        <is>
          <t>VANSBRO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44931</v>
      </c>
      <c r="E415" s="1" t="n">
        <v>46256</v>
      </c>
      <c r="F415" t="inlineStr">
        <is>
          <t>DALARNAS LÄN</t>
        </is>
      </c>
      <c r="G415" t="inlineStr">
        <is>
          <t>VANSBRO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34374-2026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46256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30796-2026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46212</v>
      </c>
      <c r="E417" s="1" t="n">
        <v>46256</v>
      </c>
      <c r="F417" t="inlineStr">
        <is>
          <t>DALARNAS LÄN</t>
        </is>
      </c>
      <c r="G417" t="inlineStr">
        <is>
          <t>VANSBRO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46256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45363</v>
      </c>
      <c r="E419" s="1" t="n">
        <v>46256</v>
      </c>
      <c r="F419" t="inlineStr">
        <is>
          <t>DALARNAS LÄN</t>
        </is>
      </c>
      <c r="G419" t="inlineStr">
        <is>
          <t>VANSBRO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45588</v>
      </c>
      <c r="E420" s="1" t="n">
        <v>46256</v>
      </c>
      <c r="F420" t="inlineStr">
        <is>
          <t>DALARNAS LÄN</t>
        </is>
      </c>
      <c r="G420" t="inlineStr">
        <is>
          <t>VANSBRO</t>
        </is>
      </c>
      <c r="H420" t="inlineStr">
        <is>
          <t>Övriga statliga verk och myndigheter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18658-2025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46256</v>
      </c>
      <c r="F421" t="inlineStr">
        <is>
          <t>DALARNAS LÄN</t>
        </is>
      </c>
      <c r="G421" t="inlineStr">
        <is>
          <t>VANSBRO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46256</v>
      </c>
      <c r="F422" t="inlineStr">
        <is>
          <t>DALARNAS LÄN</t>
        </is>
      </c>
      <c r="G422" t="inlineStr">
        <is>
          <t>VANSBRO</t>
        </is>
      </c>
      <c r="I422" t="n">
        <v>15.8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45169</v>
      </c>
      <c r="E423" s="1" t="n">
        <v>46256</v>
      </c>
      <c r="F423" t="inlineStr">
        <is>
          <t>DALARNAS LÄN</t>
        </is>
      </c>
      <c r="G423" t="inlineStr">
        <is>
          <t>VANSBRO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46256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45491</v>
      </c>
      <c r="E425" s="1" t="n">
        <v>46256</v>
      </c>
      <c r="F425" t="inlineStr">
        <is>
          <t>DALARNAS LÄN</t>
        </is>
      </c>
      <c r="G425" t="inlineStr">
        <is>
          <t>VANSBRO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46021</v>
      </c>
      <c r="E426" s="1" t="n">
        <v>46256</v>
      </c>
      <c r="F426" t="inlineStr">
        <is>
          <t>DALARNAS LÄN</t>
        </is>
      </c>
      <c r="G426" t="inlineStr">
        <is>
          <t>VANSBRO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46256</v>
      </c>
      <c r="F427" t="inlineStr">
        <is>
          <t>DALARNAS LÄN</t>
        </is>
      </c>
      <c r="G427" t="inlineStr">
        <is>
          <t>VANSBRO</t>
        </is>
      </c>
      <c r="H427" t="inlineStr">
        <is>
          <t>Övriga statliga verk och myndigheter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46256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46256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46256</v>
      </c>
      <c r="F430" t="inlineStr">
        <is>
          <t>DALARNAS LÄN</t>
        </is>
      </c>
      <c r="G430" t="inlineStr">
        <is>
          <t>VANSBRO</t>
        </is>
      </c>
      <c r="I430" t="n">
        <v>15.5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45700</v>
      </c>
      <c r="E431" s="1" t="n">
        <v>46256</v>
      </c>
      <c r="F431" t="inlineStr">
        <is>
          <t>DALARNAS LÄN</t>
        </is>
      </c>
      <c r="G431" t="inlineStr">
        <is>
          <t>VANSBRO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21744-2026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46149</v>
      </c>
      <c r="E432" s="1" t="n">
        <v>46256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18304-2025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46256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61515-2022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44916</v>
      </c>
      <c r="E434" s="1" t="n">
        <v>46256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7864-2024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46256</v>
      </c>
      <c r="F435" t="inlineStr">
        <is>
          <t>DALARNAS LÄN</t>
        </is>
      </c>
      <c r="G435" t="inlineStr">
        <is>
          <t>VANSBRO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46256</v>
      </c>
      <c r="F436" t="inlineStr">
        <is>
          <t>DALARNAS LÄN</t>
        </is>
      </c>
      <c r="G436" t="inlineStr">
        <is>
          <t>VANSBRO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46256</v>
      </c>
      <c r="F437" t="inlineStr">
        <is>
          <t>DALARNAS LÄN</t>
        </is>
      </c>
      <c r="G437" t="inlineStr">
        <is>
          <t>VANSBRO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46256</v>
      </c>
      <c r="F438" t="inlineStr">
        <is>
          <t>DALARNAS LÄN</t>
        </is>
      </c>
      <c r="G438" t="inlineStr">
        <is>
          <t>VANSBRO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22379-2026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46154</v>
      </c>
      <c r="E439" s="1" t="n">
        <v>46256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39484-2025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45890</v>
      </c>
      <c r="E440" s="1" t="n">
        <v>46256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46256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21616-2025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46256</v>
      </c>
      <c r="F442" t="inlineStr">
        <is>
          <t>DALARNAS LÄN</t>
        </is>
      </c>
      <c r="G442" t="inlineStr">
        <is>
          <t>VANSBRO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45674</v>
      </c>
      <c r="E443" s="1" t="n">
        <v>46256</v>
      </c>
      <c r="F443" t="inlineStr">
        <is>
          <t>DALARNAS LÄN</t>
        </is>
      </c>
      <c r="G443" t="inlineStr">
        <is>
          <t>VANSBRO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45783</v>
      </c>
      <c r="E444" s="1" t="n">
        <v>46256</v>
      </c>
      <c r="F444" t="inlineStr">
        <is>
          <t>DALARNAS LÄN</t>
        </is>
      </c>
      <c r="G444" t="inlineStr">
        <is>
          <t>VANSBRO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23018-2026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46256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45483</v>
      </c>
      <c r="E446" s="1" t="n">
        <v>46256</v>
      </c>
      <c r="F446" t="inlineStr">
        <is>
          <t>DALARNAS LÄN</t>
        </is>
      </c>
      <c r="G446" t="inlineStr">
        <is>
          <t>VANSBRO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45492</v>
      </c>
      <c r="E447" s="1" t="n">
        <v>46256</v>
      </c>
      <c r="F447" t="inlineStr">
        <is>
          <t>DALARNAS LÄN</t>
        </is>
      </c>
      <c r="G447" t="inlineStr">
        <is>
          <t>VANSBRO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44719</v>
      </c>
      <c r="E448" s="1" t="n">
        <v>46256</v>
      </c>
      <c r="F448" t="inlineStr">
        <is>
          <t>DALARNAS LÄN</t>
        </is>
      </c>
      <c r="G448" t="inlineStr">
        <is>
          <t>VANSBRO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5386-2024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45331</v>
      </c>
      <c r="E449" s="1" t="n">
        <v>46256</v>
      </c>
      <c r="F449" t="inlineStr">
        <is>
          <t>DALARNAS LÄN</t>
        </is>
      </c>
      <c r="G449" t="inlineStr">
        <is>
          <t>VANSBRO</t>
        </is>
      </c>
      <c r="I449" t="n">
        <v>11.4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45793</v>
      </c>
      <c r="E450" s="1" t="n">
        <v>46256</v>
      </c>
      <c r="F450" t="inlineStr">
        <is>
          <t>DALARNAS LÄN</t>
        </is>
      </c>
      <c r="G450" t="inlineStr">
        <is>
          <t>VANSBRO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45688</v>
      </c>
      <c r="E451" s="1" t="n">
        <v>46256</v>
      </c>
      <c r="F451" t="inlineStr">
        <is>
          <t>DALARNAS LÄN</t>
        </is>
      </c>
      <c r="G451" t="inlineStr">
        <is>
          <t>VANSBRO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29411-2024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45483</v>
      </c>
      <c r="E452" s="1" t="n">
        <v>46256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45531</v>
      </c>
      <c r="E453" s="1" t="n">
        <v>46256</v>
      </c>
      <c r="F453" t="inlineStr">
        <is>
          <t>DALARNAS LÄN</t>
        </is>
      </c>
      <c r="G453" t="inlineStr">
        <is>
          <t>VANSBRO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24522-2025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46256</v>
      </c>
      <c r="F454" t="inlineStr">
        <is>
          <t>DALARNAS LÄN</t>
        </is>
      </c>
      <c r="G454" t="inlineStr">
        <is>
          <t>VANSBRO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1286-2024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45401</v>
      </c>
      <c r="E455" s="1" t="n">
        <v>46256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220.8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4782-2022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44802</v>
      </c>
      <c r="E456" s="1" t="n">
        <v>46256</v>
      </c>
      <c r="F456" t="inlineStr">
        <is>
          <t>DALARNAS LÄN</t>
        </is>
      </c>
      <c r="G456" t="inlineStr">
        <is>
          <t>VANSBRO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3514-2023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45208</v>
      </c>
      <c r="E457" s="1" t="n">
        <v>46256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37.8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409-2025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45699</v>
      </c>
      <c r="E458" s="1" t="n">
        <v>46256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277.1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91-2026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46035</v>
      </c>
      <c r="E459" s="1" t="n">
        <v>46256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153.5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747-2026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46089</v>
      </c>
      <c r="E460" s="1" t="n">
        <v>46256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öst AB</t>
        </is>
      </c>
      <c r="I460" t="n">
        <v>82.40000000000001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2026-08-22T01:46:02Z</dcterms:created>
  <dcterms:modified xmlns:dcterms="http://purl.org/dc/terms/" xmlns:xsi="http://www.w3.org/2001/XMLSchema-instance" xsi:type="dcterms:W3CDTF">2026-08-22T01:46:02Z</dcterms:modified>
</cp:coreProperties>
</file>