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46241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46241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46241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46241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46241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46241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46241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46241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46241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46241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46241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46241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46241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46241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46241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46241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46241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46241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46241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46241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46241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46241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46241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11477-2026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46241</v>
      </c>
      <c r="F25" t="inlineStr">
        <is>
          <t>DALARNAS LÄN</t>
        </is>
      </c>
      <c r="G25" t="inlineStr">
        <is>
          <t>VANSBRO</t>
        </is>
      </c>
      <c r="I25" t="n">
        <v>14.5</v>
      </c>
      <c r="J25" t="n">
        <v>0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5</v>
      </c>
      <c r="U25" t="n">
        <v>0</v>
      </c>
      <c r="V25" s="2" t="inlineStr">
        <is>
          <t>Garnlav
Dvärgbägarlav
Nordtagging
Vedskivlav</t>
        </is>
      </c>
      <c r="W25">
        <f>HYPERLINK("https://klasma.github.io/Logging_2021/artfynd/A 11477-2026 artfynd.xlsx", "A 11477-2026")</f>
        <v/>
      </c>
      <c r="X25">
        <f>HYPERLINK("https://klasma.github.io/Logging_2021/kartor/A 11477-2026 karta.png", "A 11477-2026")</f>
        <v/>
      </c>
      <c r="Y25">
        <f>HYPERLINK("https://klasma.github.io/Logging_2021/kartor_geotiff/A 11477-2026 georefererad karta.tif", "A 11477-2026")</f>
        <v/>
      </c>
      <c r="AA25">
        <f>HYPERLINK("https://klasma.github.io/Logging_2021/klagomål/A 11477-2026 FSC-klagomål.docx", "A 11477-2026")</f>
        <v/>
      </c>
      <c r="AB25">
        <f>HYPERLINK("https://klasma.github.io/Logging_2021/klagomålsmail/A 11477-2026 FSC-klagomål mail.docx", "A 11477-2026")</f>
        <v/>
      </c>
      <c r="AC25">
        <f>HYPERLINK("https://klasma.github.io/Logging_2021/tillsyn/A 11477-2026 tillsynsbegäran.docx", "A 11477-2026")</f>
        <v/>
      </c>
      <c r="AD25">
        <f>HYPERLINK("https://klasma.github.io/Logging_2021/tillsynsmail/A 11477-2026 tillsynsbegäran mail.docx", "A 11477-2026")</f>
        <v/>
      </c>
    </row>
    <row r="26" ht="15" customHeight="1">
      <c r="A26" t="inlineStr">
        <is>
          <t>A 3854-2024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46241</v>
      </c>
      <c r="F26" t="inlineStr">
        <is>
          <t>DALARNAS LÄN</t>
        </is>
      </c>
      <c r="G26" t="inlineStr">
        <is>
          <t>VANSBRO</t>
        </is>
      </c>
      <c r="H26" t="inlineStr">
        <is>
          <t>Kyrkan</t>
        </is>
      </c>
      <c r="I26" t="n">
        <v>4.6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3</v>
      </c>
      <c r="V26" s="2" t="inlineStr">
        <is>
          <t>Garnlav
Tretåig hackspett
Björksplintborre
Utter</t>
        </is>
      </c>
      <c r="W26">
        <f>HYPERLINK("https://klasma.github.io/Logging_2021/artfynd/A 3854-2024 artfynd.xlsx", "A 3854-2024")</f>
        <v/>
      </c>
      <c r="X26">
        <f>HYPERLINK("https://klasma.github.io/Logging_2021/kartor/A 3854-2024 karta.png", "A 3854-2024")</f>
        <v/>
      </c>
      <c r="Y26">
        <f>HYPERLINK("https://klasma.github.io/Logging_2021/kartor_geotiff/A 3854-2024 georefererad karta.tif", "A 3854-2024")</f>
        <v/>
      </c>
      <c r="AA26">
        <f>HYPERLINK("https://klasma.github.io/Logging_2021/klagomål/A 3854-2024 FSC-klagomål.docx", "A 3854-2024")</f>
        <v/>
      </c>
      <c r="AB26">
        <f>HYPERLINK("https://klasma.github.io/Logging_2021/klagomålsmail/A 3854-2024 FSC-klagomål mail.docx", "A 3854-2024")</f>
        <v/>
      </c>
      <c r="AC26">
        <f>HYPERLINK("https://klasma.github.io/Logging_2021/tillsyn/A 3854-2024 tillsynsbegäran.docx", "A 3854-2024")</f>
        <v/>
      </c>
      <c r="AD26">
        <f>HYPERLINK("https://klasma.github.io/Logging_2021/tillsynsmail/A 3854-2024 tillsynsbegäran mail.docx", "A 3854-2024")</f>
        <v/>
      </c>
      <c r="AE26">
        <f>HYPERLINK("https://klasma.github.io/Logging_2021/fåglar/A 3854-2024 prioriterade fågelarter.docx", "A 3854-2024")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46241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46241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46241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46241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46241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46241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19656-2026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46134</v>
      </c>
      <c r="E33" s="1" t="n">
        <v>46241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väst AB</t>
        </is>
      </c>
      <c r="I33" t="n">
        <v>18.2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Ängsblåvinge
Berggräsfjäril</t>
        </is>
      </c>
      <c r="W33">
        <f>HYPERLINK("https://klasma.github.io/Logging_2021/artfynd/A 19656-2026 artfynd.xlsx", "A 19656-2026")</f>
        <v/>
      </c>
      <c r="X33">
        <f>HYPERLINK("https://klasma.github.io/Logging_2021/kartor/A 19656-2026 karta.png", "A 19656-2026")</f>
        <v/>
      </c>
      <c r="Y33">
        <f>HYPERLINK("https://klasma.github.io/Logging_2021/kartor_geotiff/A 19656-2026 georefererad karta.tif", "A 19656-2026")</f>
        <v/>
      </c>
      <c r="AA33">
        <f>HYPERLINK("https://klasma.github.io/Logging_2021/klagomål/A 19656-2026 FSC-klagomål.docx", "A 19656-2026")</f>
        <v/>
      </c>
      <c r="AB33">
        <f>HYPERLINK("https://klasma.github.io/Logging_2021/klagomålsmail/A 19656-2026 FSC-klagomål mail.docx", "A 19656-2026")</f>
        <v/>
      </c>
      <c r="AC33">
        <f>HYPERLINK("https://klasma.github.io/Logging_2021/tillsyn/A 19656-2026 tillsynsbegäran.docx", "A 19656-2026")</f>
        <v/>
      </c>
      <c r="AD33">
        <f>HYPERLINK("https://klasma.github.io/Logging_2021/tillsynsmail/A 19656-2026 tillsynsbegäran mail.docx", "A 19656-2026")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46241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46241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46241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46241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45205-2021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46241</v>
      </c>
      <c r="F38" t="inlineStr">
        <is>
          <t>DALARNAS LÄN</t>
        </is>
      </c>
      <c r="G38" t="inlineStr">
        <is>
          <t>VANSBRO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HYPERLINK("https://klasma.github.io/Logging_2021/artfynd/A 45205-2021 artfynd.xlsx", "A 45205-2021")</f>
        <v/>
      </c>
      <c r="X38">
        <f>HYPERLINK("https://klasma.github.io/Logging_2021/kartor/A 45205-2021 karta.png", "A 45205-2021")</f>
        <v/>
      </c>
      <c r="Y38">
        <f>HYPERLINK("https://klasma.github.io/Logging_2021/kartor_geotiff/A 45205-2021 georefererad karta.tif", "A 45205-2021")</f>
        <v/>
      </c>
      <c r="AA38">
        <f>HYPERLINK("https://klasma.github.io/Logging_2021/klagomål/A 45205-2021 FSC-klagomål.docx", "A 45205-2021")</f>
        <v/>
      </c>
      <c r="AB38">
        <f>HYPERLINK("https://klasma.github.io/Logging_2021/klagomålsmail/A 45205-2021 FSC-klagomål mail.docx", "A 45205-2021")</f>
        <v/>
      </c>
      <c r="AC38">
        <f>HYPERLINK("https://klasma.github.io/Logging_2021/tillsyn/A 45205-2021 tillsynsbegäran.docx", "A 45205-2021")</f>
        <v/>
      </c>
      <c r="AD38">
        <f>HYPERLINK("https://klasma.github.io/Logging_2021/tillsynsmail/A 45205-2021 tillsynsbegäran mail.docx", "A 45205-2021")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46241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46241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20076-2026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46241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13.2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HYPERLINK("https://klasma.github.io/Logging_2021/artfynd/A 20076-2026 artfynd.xlsx", "A 20076-2026")</f>
        <v/>
      </c>
      <c r="X41">
        <f>HYPERLINK("https://klasma.github.io/Logging_2021/kartor/A 20076-2026 karta.png", "A 20076-2026")</f>
        <v/>
      </c>
      <c r="Y41">
        <f>HYPERLINK("https://klasma.github.io/Logging_2021/kartor_geotiff/A 20076-2026 georefererad karta.tif", "A 20076-2026")</f>
        <v/>
      </c>
      <c r="AA41">
        <f>HYPERLINK("https://klasma.github.io/Logging_2021/klagomål/A 20076-2026 FSC-klagomål.docx", "A 20076-2026")</f>
        <v/>
      </c>
      <c r="AB41">
        <f>HYPERLINK("https://klasma.github.io/Logging_2021/klagomålsmail/A 20076-2026 FSC-klagomål mail.docx", "A 20076-2026")</f>
        <v/>
      </c>
      <c r="AC41">
        <f>HYPERLINK("https://klasma.github.io/Logging_2021/tillsyn/A 20076-2026 tillsynsbegäran.docx", "A 20076-2026")</f>
        <v/>
      </c>
      <c r="AD41">
        <f>HYPERLINK("https://klasma.github.io/Logging_2021/tillsynsmail/A 20076-2026 tillsynsbegäran mail.docx", "A 20076-2026")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46241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46241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46241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46241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46241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57810-2023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46241</v>
      </c>
      <c r="F47" t="inlineStr">
        <is>
          <t>DALARNAS LÄN</t>
        </is>
      </c>
      <c r="G47" t="inlineStr">
        <is>
          <t>VANSBRO</t>
        </is>
      </c>
      <c r="I47" t="n">
        <v>0.6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HYPERLINK("https://klasma.github.io/Logging_2021/artfynd/A 57810-2023 artfynd.xlsx", "A 57810-2023")</f>
        <v/>
      </c>
      <c r="X47">
        <f>HYPERLINK("https://klasma.github.io/Logging_2021/kartor/A 57810-2023 karta.png", "A 57810-2023")</f>
        <v/>
      </c>
      <c r="Y47">
        <f>HYPERLINK("https://klasma.github.io/Logging_2021/kartor_geotiff/A 57810-2023 georefererad karta.tif", "A 57810-2023")</f>
        <v/>
      </c>
      <c r="AA47">
        <f>HYPERLINK("https://klasma.github.io/Logging_2021/klagomål/A 57810-2023 FSC-klagomål.docx", "A 57810-2023")</f>
        <v/>
      </c>
      <c r="AB47">
        <f>HYPERLINK("https://klasma.github.io/Logging_2021/klagomålsmail/A 57810-2023 FSC-klagomål mail.docx", "A 57810-2023")</f>
        <v/>
      </c>
      <c r="AC47">
        <f>HYPERLINK("https://klasma.github.io/Logging_2021/tillsyn/A 57810-2023 tillsynsbegäran.docx", "A 57810-2023")</f>
        <v/>
      </c>
      <c r="AD47">
        <f>HYPERLINK("https://klasma.github.io/Logging_2021/tillsynsmail/A 57810-2023 tillsynsbegäran mail.docx", "A 57810-2023")</f>
        <v/>
      </c>
      <c r="AE47">
        <f>HYPERLINK("https://klasma.github.io/Logging_2021/fåglar/A 57810-2023 prioriterade fågelarter.docx", "A 57810-2023")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46241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46241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46241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27052-2025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46241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HYPERLINK("https://klasma.github.io/Logging_2021/artfynd/A 27052-2025 artfynd.xlsx", "A 27052-2025")</f>
        <v/>
      </c>
      <c r="X51">
        <f>HYPERLINK("https://klasma.github.io/Logging_2021/kartor/A 27052-2025 karta.png", "A 27052-2025")</f>
        <v/>
      </c>
      <c r="Y51">
        <f>HYPERLINK("https://klasma.github.io/Logging_2021/kartor_geotiff/A 27052-2025 georefererad karta.tif", "A 27052-2025")</f>
        <v/>
      </c>
      <c r="AA51">
        <f>HYPERLINK("https://klasma.github.io/Logging_2021/klagomål/A 27052-2025 FSC-klagomål.docx", "A 27052-2025")</f>
        <v/>
      </c>
      <c r="AB51">
        <f>HYPERLINK("https://klasma.github.io/Logging_2021/klagomålsmail/A 27052-2025 FSC-klagomål mail.docx", "A 27052-2025")</f>
        <v/>
      </c>
      <c r="AC51">
        <f>HYPERLINK("https://klasma.github.io/Logging_2021/tillsyn/A 27052-2025 tillsynsbegäran.docx", "A 27052-2025")</f>
        <v/>
      </c>
      <c r="AD51">
        <f>HYPERLINK("https://klasma.github.io/Logging_2021/tillsynsmail/A 27052-2025 tillsynsbegäran mail.docx", "A 27052-2025")</f>
        <v/>
      </c>
      <c r="AE51">
        <f>HYPERLINK("https://klasma.github.io/Logging_2021/fåglar/A 27052-2025 prioriterade fågelarter.docx", "A 27052-2025")</f>
        <v/>
      </c>
    </row>
    <row r="52" ht="15" customHeight="1">
      <c r="A52" t="inlineStr">
        <is>
          <t>A 32917-2025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46241</v>
      </c>
      <c r="F52" t="inlineStr">
        <is>
          <t>DALARNAS LÄN</t>
        </is>
      </c>
      <c r="G52" t="inlineStr">
        <is>
          <t>VANSBRO</t>
        </is>
      </c>
      <c r="I52" t="n">
        <v>6.6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2</v>
      </c>
      <c r="V52" s="2" t="inlineStr">
        <is>
          <t>Garnlav</t>
        </is>
      </c>
      <c r="W52">
        <f>HYPERLINK("https://klasma.github.io/Logging_2021/artfynd/A 32917-2025 artfynd.xlsx", "A 32917-2025")</f>
        <v/>
      </c>
      <c r="X52">
        <f>HYPERLINK("https://klasma.github.io/Logging_2021/kartor/A 32917-2025 karta.png", "A 32917-2025")</f>
        <v/>
      </c>
      <c r="Y52">
        <f>HYPERLINK("https://klasma.github.io/Logging_2021/kartor_geotiff/A 32917-2025 georefererad karta.tif", "A 32917-2025")</f>
        <v/>
      </c>
      <c r="AA52">
        <f>HYPERLINK("https://klasma.github.io/Logging_2021/klagomål/A 32917-2025 FSC-klagomål.docx", "A 32917-2025")</f>
        <v/>
      </c>
      <c r="AB52">
        <f>HYPERLINK("https://klasma.github.io/Logging_2021/klagomålsmail/A 32917-2025 FSC-klagomål mail.docx", "A 32917-2025")</f>
        <v/>
      </c>
      <c r="AC52">
        <f>HYPERLINK("https://klasma.github.io/Logging_2021/tillsyn/A 32917-2025 tillsynsbegäran.docx", "A 32917-2025")</f>
        <v/>
      </c>
      <c r="AD52">
        <f>HYPERLINK("https://klasma.github.io/Logging_2021/tillsynsmail/A 32917-2025 tillsynsbegäran mail.docx", "A 32917-2025")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46241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46241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46241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46241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46241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46241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46241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46241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46241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46241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46241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46241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46241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46241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46241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46241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46241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46241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46241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46241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46241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46241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46241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46241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46241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46241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46241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46241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46241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46241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46241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46241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46241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46241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46241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46241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46241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46241</v>
      </c>
      <c r="F90" t="inlineStr">
        <is>
          <t>DALARNAS LÄN</t>
        </is>
      </c>
      <c r="G90" t="inlineStr">
        <is>
          <t>VANSBRO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46241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46241</v>
      </c>
      <c r="F92" t="inlineStr">
        <is>
          <t>DALARNAS LÄN</t>
        </is>
      </c>
      <c r="G92" t="inlineStr">
        <is>
          <t>VANSBRO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46241</v>
      </c>
      <c r="F93" t="inlineStr">
        <is>
          <t>DALARNAS LÄN</t>
        </is>
      </c>
      <c r="G93" t="inlineStr">
        <is>
          <t>VANSBRO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46241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46241</v>
      </c>
      <c r="F95" t="inlineStr">
        <is>
          <t>DALARNAS LÄN</t>
        </is>
      </c>
      <c r="G95" t="inlineStr">
        <is>
          <t>VANSBRO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45588</v>
      </c>
      <c r="E96" s="1" t="n">
        <v>46241</v>
      </c>
      <c r="F96" t="inlineStr">
        <is>
          <t>DALARNAS LÄN</t>
        </is>
      </c>
      <c r="G96" t="inlineStr">
        <is>
          <t>VANSBRO</t>
        </is>
      </c>
      <c r="H96" t="inlineStr">
        <is>
          <t>Övriga statliga verk och myndigheter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44880</v>
      </c>
      <c r="E97" s="1" t="n">
        <v>46241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49565-2022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44862</v>
      </c>
      <c r="E98" s="1" t="n">
        <v>46241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46241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46241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46241</v>
      </c>
      <c r="F101" t="inlineStr">
        <is>
          <t>DALARNAS LÄN</t>
        </is>
      </c>
      <c r="G101" t="inlineStr">
        <is>
          <t>VANSBRO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45516</v>
      </c>
      <c r="E102" s="1" t="n">
        <v>46241</v>
      </c>
      <c r="F102" t="inlineStr">
        <is>
          <t>DALARNAS LÄN</t>
        </is>
      </c>
      <c r="G102" t="inlineStr">
        <is>
          <t>VANSBRO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45457</v>
      </c>
      <c r="E103" s="1" t="n">
        <v>46241</v>
      </c>
      <c r="F103" t="inlineStr">
        <is>
          <t>DALARNAS LÄN</t>
        </is>
      </c>
      <c r="G103" t="inlineStr">
        <is>
          <t>VANSBRO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46241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45644</v>
      </c>
      <c r="E105" s="1" t="n">
        <v>46241</v>
      </c>
      <c r="F105" t="inlineStr">
        <is>
          <t>DALARNAS LÄN</t>
        </is>
      </c>
      <c r="G105" t="inlineStr">
        <is>
          <t>VANSBRO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46241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46241</v>
      </c>
      <c r="F107" t="inlineStr">
        <is>
          <t>DALARNAS LÄN</t>
        </is>
      </c>
      <c r="G107" t="inlineStr">
        <is>
          <t>VANSBRO</t>
        </is>
      </c>
      <c r="H107" t="inlineStr">
        <is>
          <t>Övriga statliga verk och myndigheter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46241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46241</v>
      </c>
      <c r="F109" t="inlineStr">
        <is>
          <t>DALARNAS LÄN</t>
        </is>
      </c>
      <c r="G109" t="inlineStr">
        <is>
          <t>VANSBRO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45491</v>
      </c>
      <c r="E110" s="1" t="n">
        <v>46241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46241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45183</v>
      </c>
      <c r="E112" s="1" t="n">
        <v>46241</v>
      </c>
      <c r="F112" t="inlineStr">
        <is>
          <t>DALARNAS LÄN</t>
        </is>
      </c>
      <c r="G112" t="inlineStr">
        <is>
          <t>VANSBRO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46241</v>
      </c>
      <c r="F113" t="inlineStr">
        <is>
          <t>DALARNAS LÄN</t>
        </is>
      </c>
      <c r="G113" t="inlineStr">
        <is>
          <t>VANSBRO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46241</v>
      </c>
      <c r="F114" t="inlineStr">
        <is>
          <t>DALARNAS LÄN</t>
        </is>
      </c>
      <c r="G114" t="inlineStr">
        <is>
          <t>VANSBRO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51400-2024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45604</v>
      </c>
      <c r="E115" s="1" t="n">
        <v>46241</v>
      </c>
      <c r="F115" t="inlineStr">
        <is>
          <t>DALARNAS LÄN</t>
        </is>
      </c>
      <c r="G115" t="inlineStr">
        <is>
          <t>VANSBRO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35782-2025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45860</v>
      </c>
      <c r="E116" s="1" t="n">
        <v>46241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17366-2025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45756</v>
      </c>
      <c r="E117" s="1" t="n">
        <v>46241</v>
      </c>
      <c r="F117" t="inlineStr">
        <is>
          <t>DALARNAS LÄN</t>
        </is>
      </c>
      <c r="G117" t="inlineStr">
        <is>
          <t>VANSBRO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46241</v>
      </c>
      <c r="F118" t="inlineStr">
        <is>
          <t>DALARNAS LÄN</t>
        </is>
      </c>
      <c r="G118" t="inlineStr">
        <is>
          <t>VANSBRO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16830-2025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46241</v>
      </c>
      <c r="F119" t="inlineStr">
        <is>
          <t>DALARNAS LÄN</t>
        </is>
      </c>
      <c r="G119" t="inlineStr">
        <is>
          <t>VANSBRO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45498</v>
      </c>
      <c r="E120" s="1" t="n">
        <v>46241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44966</v>
      </c>
      <c r="E121" s="1" t="n">
        <v>46241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45868</v>
      </c>
      <c r="E122" s="1" t="n">
        <v>46241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öst AB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45085</v>
      </c>
      <c r="E123" s="1" t="n">
        <v>46241</v>
      </c>
      <c r="F123" t="inlineStr">
        <is>
          <t>DALARNAS LÄN</t>
        </is>
      </c>
      <c r="G123" t="inlineStr">
        <is>
          <t>VANSBRO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45082</v>
      </c>
      <c r="E124" s="1" t="n">
        <v>46241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38670-2025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45884</v>
      </c>
      <c r="E125" s="1" t="n">
        <v>46241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20931-2022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44701</v>
      </c>
      <c r="E126" s="1" t="n">
        <v>46241</v>
      </c>
      <c r="F126" t="inlineStr">
        <is>
          <t>DALARNAS LÄN</t>
        </is>
      </c>
      <c r="G126" t="inlineStr">
        <is>
          <t>VANSBRO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45184</v>
      </c>
      <c r="E127" s="1" t="n">
        <v>46241</v>
      </c>
      <c r="F127" t="inlineStr">
        <is>
          <t>DALARNAS LÄN</t>
        </is>
      </c>
      <c r="G127" t="inlineStr">
        <is>
          <t>VANSBRO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46112</v>
      </c>
      <c r="E128" s="1" t="n">
        <v>46241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46114</v>
      </c>
      <c r="E129" s="1" t="n">
        <v>46241</v>
      </c>
      <c r="F129" t="inlineStr">
        <is>
          <t>DALARNAS LÄN</t>
        </is>
      </c>
      <c r="G129" t="inlineStr">
        <is>
          <t>VANSBRO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45876</v>
      </c>
      <c r="E130" s="1" t="n">
        <v>46241</v>
      </c>
      <c r="F130" t="inlineStr">
        <is>
          <t>DALARNAS LÄN</t>
        </is>
      </c>
      <c r="G130" t="inlineStr">
        <is>
          <t>VANSBRO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45876</v>
      </c>
      <c r="E131" s="1" t="n">
        <v>46241</v>
      </c>
      <c r="F131" t="inlineStr">
        <is>
          <t>DALARNAS LÄN</t>
        </is>
      </c>
      <c r="G131" t="inlineStr">
        <is>
          <t>VANSBRO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46241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46241</v>
      </c>
      <c r="F133" t="inlineStr">
        <is>
          <t>DALARNAS LÄN</t>
        </is>
      </c>
      <c r="G133" t="inlineStr">
        <is>
          <t>VANSBRO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46241</v>
      </c>
      <c r="F134" t="inlineStr">
        <is>
          <t>DALARNAS LÄN</t>
        </is>
      </c>
      <c r="G134" t="inlineStr">
        <is>
          <t>VANSBRO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16948-2026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46241</v>
      </c>
      <c r="F135" t="inlineStr">
        <is>
          <t>DALARNAS LÄN</t>
        </is>
      </c>
      <c r="G135" t="inlineStr">
        <is>
          <t>VANSBRO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45772</v>
      </c>
      <c r="E136" s="1" t="n">
        <v>46241</v>
      </c>
      <c r="F136" t="inlineStr">
        <is>
          <t>DALARNAS LÄN</t>
        </is>
      </c>
      <c r="G136" t="inlineStr">
        <is>
          <t>VANSBRO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46241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46241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46241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45689</v>
      </c>
      <c r="E140" s="1" t="n">
        <v>46241</v>
      </c>
      <c r="F140" t="inlineStr">
        <is>
          <t>DALARNAS LÄN</t>
        </is>
      </c>
      <c r="G140" t="inlineStr">
        <is>
          <t>VANSBRO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46241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17553-2026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46120</v>
      </c>
      <c r="E142" s="1" t="n">
        <v>46241</v>
      </c>
      <c r="F142" t="inlineStr">
        <is>
          <t>DALARNAS LÄN</t>
        </is>
      </c>
      <c r="G142" t="inlineStr">
        <is>
          <t>VANSBRO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46241</v>
      </c>
      <c r="F143" t="inlineStr">
        <is>
          <t>DALARNAS LÄN</t>
        </is>
      </c>
      <c r="G143" t="inlineStr">
        <is>
          <t>VANSBRO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45299</v>
      </c>
      <c r="E144" s="1" t="n">
        <v>46241</v>
      </c>
      <c r="F144" t="inlineStr">
        <is>
          <t>DALARNAS LÄN</t>
        </is>
      </c>
      <c r="G144" t="inlineStr">
        <is>
          <t>VANSBRO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46241</v>
      </c>
      <c r="F145" t="inlineStr">
        <is>
          <t>DALARNAS LÄN</t>
        </is>
      </c>
      <c r="G145" t="inlineStr">
        <is>
          <t>VANSBRO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46120</v>
      </c>
      <c r="E146" s="1" t="n">
        <v>46241</v>
      </c>
      <c r="F146" t="inlineStr">
        <is>
          <t>DALARNAS LÄN</t>
        </is>
      </c>
      <c r="G146" t="inlineStr">
        <is>
          <t>VANSBRO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46120</v>
      </c>
      <c r="E147" s="1" t="n">
        <v>46241</v>
      </c>
      <c r="F147" t="inlineStr">
        <is>
          <t>DALARNAS LÄN</t>
        </is>
      </c>
      <c r="G147" t="inlineStr">
        <is>
          <t>VANSBRO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46121</v>
      </c>
      <c r="E148" s="1" t="n">
        <v>46241</v>
      </c>
      <c r="F148" t="inlineStr">
        <is>
          <t>DALARNAS LÄN</t>
        </is>
      </c>
      <c r="G148" t="inlineStr">
        <is>
          <t>VANSBRO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46241</v>
      </c>
      <c r="F149" t="inlineStr">
        <is>
          <t>DALARNAS LÄN</t>
        </is>
      </c>
      <c r="G149" t="inlineStr">
        <is>
          <t>VANSBRO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46125</v>
      </c>
      <c r="E150" s="1" t="n">
        <v>46241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46241</v>
      </c>
      <c r="F151" t="inlineStr">
        <is>
          <t>DALARNAS LÄN</t>
        </is>
      </c>
      <c r="G151" t="inlineStr">
        <is>
          <t>VANSBRO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46241</v>
      </c>
      <c r="F152" t="inlineStr">
        <is>
          <t>DALARNAS LÄN</t>
        </is>
      </c>
      <c r="G152" t="inlineStr">
        <is>
          <t>VANSBRO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40884-2025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45897</v>
      </c>
      <c r="E153" s="1" t="n">
        <v>46241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46124</v>
      </c>
      <c r="E154" s="1" t="n">
        <v>46241</v>
      </c>
      <c r="F154" t="inlineStr">
        <is>
          <t>DALARNAS LÄN</t>
        </is>
      </c>
      <c r="G154" t="inlineStr">
        <is>
          <t>VANSBRO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46125</v>
      </c>
      <c r="E155" s="1" t="n">
        <v>46241</v>
      </c>
      <c r="F155" t="inlineStr">
        <is>
          <t>DALARNAS LÄN</t>
        </is>
      </c>
      <c r="G155" t="inlineStr">
        <is>
          <t>VANSBRO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46241</v>
      </c>
      <c r="F156" t="inlineStr">
        <is>
          <t>DALARNAS LÄN</t>
        </is>
      </c>
      <c r="G156" t="inlineStr">
        <is>
          <t>VANSBRO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59142-2024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45637</v>
      </c>
      <c r="E157" s="1" t="n">
        <v>46241</v>
      </c>
      <c r="F157" t="inlineStr">
        <is>
          <t>DALARNAS LÄN</t>
        </is>
      </c>
      <c r="G157" t="inlineStr">
        <is>
          <t>VANSBRO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18586-2026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46127</v>
      </c>
      <c r="E158" s="1" t="n">
        <v>46241</v>
      </c>
      <c r="F158" t="inlineStr">
        <is>
          <t>DALARNAS LÄN</t>
        </is>
      </c>
      <c r="G158" t="inlineStr">
        <is>
          <t>VANSBRO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45166</v>
      </c>
      <c r="E159" s="1" t="n">
        <v>46241</v>
      </c>
      <c r="F159" t="inlineStr">
        <is>
          <t>DALARNAS LÄN</t>
        </is>
      </c>
      <c r="G159" t="inlineStr">
        <is>
          <t>VANSBRO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46241</v>
      </c>
      <c r="F160" t="inlineStr">
        <is>
          <t>DALARNAS LÄN</t>
        </is>
      </c>
      <c r="G160" t="inlineStr">
        <is>
          <t>VANSBRO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46241</v>
      </c>
      <c r="F161" t="inlineStr">
        <is>
          <t>DALARNAS LÄN</t>
        </is>
      </c>
      <c r="G161" t="inlineStr">
        <is>
          <t>VANSBRO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46241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46241</v>
      </c>
      <c r="F163" t="inlineStr">
        <is>
          <t>DALARNAS LÄN</t>
        </is>
      </c>
      <c r="G163" t="inlineStr">
        <is>
          <t>VANSBRO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46241</v>
      </c>
      <c r="F164" t="inlineStr">
        <is>
          <t>DALARNAS LÄN</t>
        </is>
      </c>
      <c r="G164" t="inlineStr">
        <is>
          <t>VANSBRO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51396-2022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44869</v>
      </c>
      <c r="E165" s="1" t="n">
        <v>46241</v>
      </c>
      <c r="F165" t="inlineStr">
        <is>
          <t>DALARNAS LÄN</t>
        </is>
      </c>
      <c r="G165" t="inlineStr">
        <is>
          <t>VANSBRO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18823-2026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46241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46241</v>
      </c>
      <c r="F167" t="inlineStr">
        <is>
          <t>DALARNAS LÄN</t>
        </is>
      </c>
      <c r="G167" t="inlineStr">
        <is>
          <t>VANSBRO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46241</v>
      </c>
      <c r="F168" t="inlineStr">
        <is>
          <t>DALARNAS LÄN</t>
        </is>
      </c>
      <c r="G168" t="inlineStr">
        <is>
          <t>VANSBRO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45672</v>
      </c>
      <c r="E169" s="1" t="n">
        <v>46241</v>
      </c>
      <c r="F169" t="inlineStr">
        <is>
          <t>DALARNAS LÄN</t>
        </is>
      </c>
      <c r="G169" t="inlineStr">
        <is>
          <t>VANSBRO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46128</v>
      </c>
      <c r="E170" s="1" t="n">
        <v>46241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46128</v>
      </c>
      <c r="E171" s="1" t="n">
        <v>46241</v>
      </c>
      <c r="F171" t="inlineStr">
        <is>
          <t>DALARNAS LÄN</t>
        </is>
      </c>
      <c r="G171" t="inlineStr">
        <is>
          <t>VANSBRO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46241</v>
      </c>
      <c r="F172" t="inlineStr">
        <is>
          <t>DALARNAS LÄN</t>
        </is>
      </c>
      <c r="G172" t="inlineStr">
        <is>
          <t>VANSBRO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46241</v>
      </c>
      <c r="F173" t="inlineStr">
        <is>
          <t>DALARNAS LÄN</t>
        </is>
      </c>
      <c r="G173" t="inlineStr">
        <is>
          <t>VANSBRO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51414-2021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46241</v>
      </c>
      <c r="F174" t="inlineStr">
        <is>
          <t>DALARNAS LÄN</t>
        </is>
      </c>
      <c r="G174" t="inlineStr">
        <is>
          <t>VANSBRO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45225</v>
      </c>
      <c r="E175" s="1" t="n">
        <v>46241</v>
      </c>
      <c r="F175" t="inlineStr">
        <is>
          <t>DALARNAS LÄN</t>
        </is>
      </c>
      <c r="G175" t="inlineStr">
        <is>
          <t>VANSBRO</t>
        </is>
      </c>
      <c r="H175" t="inlineStr">
        <is>
          <t>Övriga statliga verk och myndigheter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46241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46135</v>
      </c>
      <c r="E177" s="1" t="n">
        <v>46241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öst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46241</v>
      </c>
      <c r="F178" t="inlineStr">
        <is>
          <t>DALARNAS LÄN</t>
        </is>
      </c>
      <c r="G178" t="inlineStr">
        <is>
          <t>VANSBRO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45691</v>
      </c>
      <c r="E179" s="1" t="n">
        <v>46241</v>
      </c>
      <c r="F179" t="inlineStr">
        <is>
          <t>DALARNAS LÄN</t>
        </is>
      </c>
      <c r="G179" t="inlineStr">
        <is>
          <t>VANSBRO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4680-2023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44957</v>
      </c>
      <c r="E180" s="1" t="n">
        <v>46241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46241</v>
      </c>
      <c r="F181" t="inlineStr">
        <is>
          <t>DALARNAS LÄN</t>
        </is>
      </c>
      <c r="G181" t="inlineStr">
        <is>
          <t>VANSBRO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46241</v>
      </c>
      <c r="F182" t="inlineStr">
        <is>
          <t>DALARNAS LÄN</t>
        </is>
      </c>
      <c r="G182" t="inlineStr">
        <is>
          <t>VANSBRO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46241</v>
      </c>
      <c r="F183" t="inlineStr">
        <is>
          <t>DALARNAS LÄN</t>
        </is>
      </c>
      <c r="G183" t="inlineStr">
        <is>
          <t>VANSBRO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45776</v>
      </c>
      <c r="E184" s="1" t="n">
        <v>46241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45806</v>
      </c>
      <c r="E185" s="1" t="n">
        <v>46241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46241</v>
      </c>
      <c r="F186" t="inlineStr">
        <is>
          <t>DALARNAS LÄN</t>
        </is>
      </c>
      <c r="G186" t="inlineStr">
        <is>
          <t>VANSBRO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45763</v>
      </c>
      <c r="E187" s="1" t="n">
        <v>46241</v>
      </c>
      <c r="F187" t="inlineStr">
        <is>
          <t>DALARNAS LÄN</t>
        </is>
      </c>
      <c r="G187" t="inlineStr">
        <is>
          <t>VANSBRO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46241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46139</v>
      </c>
      <c r="E189" s="1" t="n">
        <v>46241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öst AB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48102-2025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45933</v>
      </c>
      <c r="E190" s="1" t="n">
        <v>46241</v>
      </c>
      <c r="F190" t="inlineStr">
        <is>
          <t>DALARNAS LÄN</t>
        </is>
      </c>
      <c r="G190" t="inlineStr">
        <is>
          <t>VANSBRO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48840-2025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45937</v>
      </c>
      <c r="E191" s="1" t="n">
        <v>46241</v>
      </c>
      <c r="F191" t="inlineStr">
        <is>
          <t>DALARNAS LÄN</t>
        </is>
      </c>
      <c r="G191" t="inlineStr">
        <is>
          <t>VANSBRO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45762</v>
      </c>
      <c r="E192" s="1" t="n">
        <v>46241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46241</v>
      </c>
      <c r="F193" t="inlineStr">
        <is>
          <t>DALARNAS LÄN</t>
        </is>
      </c>
      <c r="G193" t="inlineStr">
        <is>
          <t>VANSBRO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45939</v>
      </c>
      <c r="E194" s="1" t="n">
        <v>46241</v>
      </c>
      <c r="F194" t="inlineStr">
        <is>
          <t>DALARNAS LÄN</t>
        </is>
      </c>
      <c r="G194" t="inlineStr">
        <is>
          <t>VANSBRO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45939</v>
      </c>
      <c r="E195" s="1" t="n">
        <v>46241</v>
      </c>
      <c r="F195" t="inlineStr">
        <is>
          <t>DALARNAS LÄN</t>
        </is>
      </c>
      <c r="G195" t="inlineStr">
        <is>
          <t>VANSBRO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46241</v>
      </c>
      <c r="F196" t="inlineStr">
        <is>
          <t>DALARNAS LÄN</t>
        </is>
      </c>
      <c r="G196" t="inlineStr">
        <is>
          <t>VANSBRO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45939</v>
      </c>
      <c r="E197" s="1" t="n">
        <v>46241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öst AB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45735</v>
      </c>
      <c r="E198" s="1" t="n">
        <v>46241</v>
      </c>
      <c r="F198" t="inlineStr">
        <is>
          <t>DALARNAS LÄN</t>
        </is>
      </c>
      <c r="G198" t="inlineStr">
        <is>
          <t>VANSBRO</t>
        </is>
      </c>
      <c r="H198" t="inlineStr">
        <is>
          <t>Kommuner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45945</v>
      </c>
      <c r="E199" s="1" t="n">
        <v>46241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45689</v>
      </c>
      <c r="E200" s="1" t="n">
        <v>46241</v>
      </c>
      <c r="F200" t="inlineStr">
        <is>
          <t>DALARNAS LÄN</t>
        </is>
      </c>
      <c r="G200" t="inlineStr">
        <is>
          <t>VANSBRO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45689</v>
      </c>
      <c r="E201" s="1" t="n">
        <v>46241</v>
      </c>
      <c r="F201" t="inlineStr">
        <is>
          <t>DALARNAS LÄN</t>
        </is>
      </c>
      <c r="G201" t="inlineStr">
        <is>
          <t>VANSBRO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46241</v>
      </c>
      <c r="F202" t="inlineStr">
        <is>
          <t>DALARNAS LÄN</t>
        </is>
      </c>
      <c r="G202" t="inlineStr">
        <is>
          <t>VANSBRO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46241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46241</v>
      </c>
      <c r="F204" t="inlineStr">
        <is>
          <t>DALARNAS LÄN</t>
        </is>
      </c>
      <c r="G204" t="inlineStr">
        <is>
          <t>VANSBRO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51855-2025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45952</v>
      </c>
      <c r="E205" s="1" t="n">
        <v>46241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46241</v>
      </c>
      <c r="F206" t="inlineStr">
        <is>
          <t>DALARNAS LÄN</t>
        </is>
      </c>
      <c r="G206" t="inlineStr">
        <is>
          <t>VANSBRO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46241</v>
      </c>
      <c r="F207" t="inlineStr">
        <is>
          <t>DALARNAS LÄN</t>
        </is>
      </c>
      <c r="G207" t="inlineStr">
        <is>
          <t>VANSBRO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8694-2023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44972</v>
      </c>
      <c r="E208" s="1" t="n">
        <v>46241</v>
      </c>
      <c r="F208" t="inlineStr">
        <is>
          <t>DALARNAS LÄN</t>
        </is>
      </c>
      <c r="G208" t="inlineStr">
        <is>
          <t>VANSBRO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45956</v>
      </c>
      <c r="E209" s="1" t="n">
        <v>46241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46241</v>
      </c>
      <c r="F210" t="inlineStr">
        <is>
          <t>DALARNAS LÄN</t>
        </is>
      </c>
      <c r="G210" t="inlineStr">
        <is>
          <t>VANSBRO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52676-2025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45956</v>
      </c>
      <c r="E211" s="1" t="n">
        <v>46241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45714</v>
      </c>
      <c r="E212" s="1" t="n">
        <v>46241</v>
      </c>
      <c r="F212" t="inlineStr">
        <is>
          <t>DALARNAS LÄN</t>
        </is>
      </c>
      <c r="G212" t="inlineStr">
        <is>
          <t>VANSBRO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46241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44442</v>
      </c>
      <c r="E214" s="1" t="n">
        <v>46241</v>
      </c>
      <c r="F214" t="inlineStr">
        <is>
          <t>DALARNAS LÄN</t>
        </is>
      </c>
      <c r="G214" t="inlineStr">
        <is>
          <t>VANSBRO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46241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45961</v>
      </c>
      <c r="E216" s="1" t="n">
        <v>46241</v>
      </c>
      <c r="F216" t="inlineStr">
        <is>
          <t>DALARNAS LÄN</t>
        </is>
      </c>
      <c r="G216" t="inlineStr">
        <is>
          <t>VANSBRO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46241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46241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46241</v>
      </c>
      <c r="F219" t="inlineStr">
        <is>
          <t>DALARNAS LÄN</t>
        </is>
      </c>
      <c r="G219" t="inlineStr">
        <is>
          <t>VANSBRO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46241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46241</v>
      </c>
      <c r="F221" t="inlineStr">
        <is>
          <t>DALARNAS LÄN</t>
        </is>
      </c>
      <c r="G221" t="inlineStr">
        <is>
          <t>VANSBRO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46241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46241</v>
      </c>
      <c r="F223" t="inlineStr">
        <is>
          <t>DALARNAS LÄN</t>
        </is>
      </c>
      <c r="G223" t="inlineStr">
        <is>
          <t>VANSBRO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55767-2025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45972</v>
      </c>
      <c r="E224" s="1" t="n">
        <v>46241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46241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46241</v>
      </c>
      <c r="F226" t="inlineStr">
        <is>
          <t>DALARNAS LÄN</t>
        </is>
      </c>
      <c r="G226" t="inlineStr">
        <is>
          <t>VANSBRO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46021</v>
      </c>
      <c r="E227" s="1" t="n">
        <v>46241</v>
      </c>
      <c r="F227" t="inlineStr">
        <is>
          <t>DALARNAS LÄN</t>
        </is>
      </c>
      <c r="G227" t="inlineStr">
        <is>
          <t>VANSBRO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45979</v>
      </c>
      <c r="E228" s="1" t="n">
        <v>46241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44960</v>
      </c>
      <c r="E229" s="1" t="n">
        <v>46241</v>
      </c>
      <c r="F229" t="inlineStr">
        <is>
          <t>DALARNAS LÄN</t>
        </is>
      </c>
      <c r="G229" t="inlineStr">
        <is>
          <t>VANSBRO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10013-2024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45363</v>
      </c>
      <c r="E230" s="1" t="n">
        <v>46241</v>
      </c>
      <c r="F230" t="inlineStr">
        <is>
          <t>DALARNAS LÄN</t>
        </is>
      </c>
      <c r="G230" t="inlineStr">
        <is>
          <t>VANSBRO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45981</v>
      </c>
      <c r="E231" s="1" t="n">
        <v>46241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46241</v>
      </c>
      <c r="F232" t="inlineStr">
        <is>
          <t>DALARNAS LÄN</t>
        </is>
      </c>
      <c r="G232" t="inlineStr">
        <is>
          <t>VANSBRO</t>
        </is>
      </c>
      <c r="I232" t="n">
        <v>15.8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46241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öst AB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46241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46241</v>
      </c>
      <c r="F235" t="inlineStr">
        <is>
          <t>DALARNAS LÄN</t>
        </is>
      </c>
      <c r="G235" t="inlineStr">
        <is>
          <t>VANSBRO</t>
        </is>
      </c>
      <c r="H235" t="inlineStr">
        <is>
          <t>Övriga statliga verk och myndigheter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46241</v>
      </c>
      <c r="F236" t="inlineStr">
        <is>
          <t>DALARNAS LÄN</t>
        </is>
      </c>
      <c r="G236" t="inlineStr">
        <is>
          <t>VANSBRO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45987</v>
      </c>
      <c r="E237" s="1" t="n">
        <v>46241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60031-2022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44909</v>
      </c>
      <c r="E238" s="1" t="n">
        <v>46241</v>
      </c>
      <c r="F238" t="inlineStr">
        <is>
          <t>DALARNAS LÄN</t>
        </is>
      </c>
      <c r="G238" t="inlineStr">
        <is>
          <t>VANSBRO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45247</v>
      </c>
      <c r="E239" s="1" t="n">
        <v>46241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46241</v>
      </c>
      <c r="F240" t="inlineStr">
        <is>
          <t>DALARNAS LÄN</t>
        </is>
      </c>
      <c r="G240" t="inlineStr">
        <is>
          <t>VANSBRO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35299-2024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45530</v>
      </c>
      <c r="E241" s="1" t="n">
        <v>46241</v>
      </c>
      <c r="F241" t="inlineStr">
        <is>
          <t>DALARNAS LÄN</t>
        </is>
      </c>
      <c r="G241" t="inlineStr">
        <is>
          <t>VANSBRO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46241</v>
      </c>
      <c r="F242" t="inlineStr">
        <is>
          <t>DALARNAS LÄN</t>
        </is>
      </c>
      <c r="G242" t="inlineStr">
        <is>
          <t>VANSBRO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21744-2026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46241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45350</v>
      </c>
      <c r="E244" s="1" t="n">
        <v>46241</v>
      </c>
      <c r="F244" t="inlineStr">
        <is>
          <t>DALARNAS LÄN</t>
        </is>
      </c>
      <c r="G244" t="inlineStr">
        <is>
          <t>VANSBRO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22379-2026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46241</v>
      </c>
      <c r="F245" t="inlineStr">
        <is>
          <t>DALARNAS LÄN</t>
        </is>
      </c>
      <c r="G245" t="inlineStr">
        <is>
          <t>VANSBRO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46241</v>
      </c>
      <c r="F246" t="inlineStr">
        <is>
          <t>DALARNAS LÄN</t>
        </is>
      </c>
      <c r="G246" t="inlineStr">
        <is>
          <t>VANSBRO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13062-2023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45002</v>
      </c>
      <c r="E247" s="1" t="n">
        <v>46241</v>
      </c>
      <c r="F247" t="inlineStr">
        <is>
          <t>DALARNAS LÄN</t>
        </is>
      </c>
      <c r="G247" t="inlineStr">
        <is>
          <t>VANSBRO</t>
        </is>
      </c>
      <c r="H247" t="inlineStr">
        <is>
          <t>Övriga statliga verk och myndigheter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62622-2022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44925</v>
      </c>
      <c r="E248" s="1" t="n">
        <v>46241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45890</v>
      </c>
      <c r="E249" s="1" t="n">
        <v>46241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46241</v>
      </c>
      <c r="F250" t="inlineStr">
        <is>
          <t>DALARNAS LÄN</t>
        </is>
      </c>
      <c r="G250" t="inlineStr">
        <is>
          <t>VANSBRO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46002</v>
      </c>
      <c r="E251" s="1" t="n">
        <v>46241</v>
      </c>
      <c r="F251" t="inlineStr">
        <is>
          <t>DALARNAS LÄN</t>
        </is>
      </c>
      <c r="G251" t="inlineStr">
        <is>
          <t>VANSBRO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45471</v>
      </c>
      <c r="E252" s="1" t="n">
        <v>46241</v>
      </c>
      <c r="F252" t="inlineStr">
        <is>
          <t>DALARNAS LÄN</t>
        </is>
      </c>
      <c r="G252" t="inlineStr">
        <is>
          <t>VANSBRO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53828-2021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44469</v>
      </c>
      <c r="E253" s="1" t="n">
        <v>46241</v>
      </c>
      <c r="F253" t="inlineStr">
        <is>
          <t>DALARNAS LÄN</t>
        </is>
      </c>
      <c r="G253" t="inlineStr">
        <is>
          <t>VANSBRO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46241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46161</v>
      </c>
      <c r="E255" s="1" t="n">
        <v>46241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öst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46241</v>
      </c>
      <c r="F256" t="inlineStr">
        <is>
          <t>DALARNAS LÄN</t>
        </is>
      </c>
      <c r="G256" t="inlineStr">
        <is>
          <t>VANSBRO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23018-2026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46161</v>
      </c>
      <c r="E257" s="1" t="n">
        <v>46241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46033</v>
      </c>
      <c r="E258" s="1" t="n">
        <v>46241</v>
      </c>
      <c r="F258" t="inlineStr">
        <is>
          <t>DALARNAS LÄN</t>
        </is>
      </c>
      <c r="G258" t="inlineStr">
        <is>
          <t>VANSBRO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46241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46204</v>
      </c>
      <c r="E260" s="1" t="n">
        <v>46241</v>
      </c>
      <c r="F260" t="inlineStr">
        <is>
          <t>DALARNAS LÄN</t>
        </is>
      </c>
      <c r="G260" t="inlineStr">
        <is>
          <t>VANSBRO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46204</v>
      </c>
      <c r="E261" s="1" t="n">
        <v>46241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46204</v>
      </c>
      <c r="E262" s="1" t="n">
        <v>46241</v>
      </c>
      <c r="F262" t="inlineStr">
        <is>
          <t>DALARNAS LÄN</t>
        </is>
      </c>
      <c r="G262" t="inlineStr">
        <is>
          <t>VANSBRO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46241</v>
      </c>
      <c r="F263" t="inlineStr">
        <is>
          <t>DALARNAS LÄN</t>
        </is>
      </c>
      <c r="G263" t="inlineStr">
        <is>
          <t>VANSBRO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46037</v>
      </c>
      <c r="E264" s="1" t="n">
        <v>46241</v>
      </c>
      <c r="F264" t="inlineStr">
        <is>
          <t>DALARNAS LÄN</t>
        </is>
      </c>
      <c r="G264" t="inlineStr">
        <is>
          <t>VANSBRO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46241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öst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46241</v>
      </c>
      <c r="F266" t="inlineStr">
        <is>
          <t>DALARNAS LÄN</t>
        </is>
      </c>
      <c r="G266" t="inlineStr">
        <is>
          <t>VANSBRO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46241</v>
      </c>
      <c r="F267" t="inlineStr">
        <is>
          <t>DALARNAS LÄN</t>
        </is>
      </c>
      <c r="G267" t="inlineStr">
        <is>
          <t>VANSBRO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29439-2026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46203</v>
      </c>
      <c r="E268" s="1" t="n">
        <v>46241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46204</v>
      </c>
      <c r="E269" s="1" t="n">
        <v>46241</v>
      </c>
      <c r="F269" t="inlineStr">
        <is>
          <t>DALARNAS LÄN</t>
        </is>
      </c>
      <c r="G269" t="inlineStr">
        <is>
          <t>VANSBRO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5420-2024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45331</v>
      </c>
      <c r="E270" s="1" t="n">
        <v>46241</v>
      </c>
      <c r="F270" t="inlineStr">
        <is>
          <t>DALARNAS LÄN</t>
        </is>
      </c>
      <c r="G270" t="inlineStr">
        <is>
          <t>VANSBRO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45331</v>
      </c>
      <c r="E271" s="1" t="n">
        <v>46241</v>
      </c>
      <c r="F271" t="inlineStr">
        <is>
          <t>DALARNAS LÄN</t>
        </is>
      </c>
      <c r="G271" t="inlineStr">
        <is>
          <t>VANSBRO</t>
        </is>
      </c>
      <c r="I271" t="n">
        <v>11.4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46044</v>
      </c>
      <c r="E272" s="1" t="n">
        <v>46241</v>
      </c>
      <c r="F272" t="inlineStr">
        <is>
          <t>DALARNAS LÄN</t>
        </is>
      </c>
      <c r="G272" t="inlineStr">
        <is>
          <t>VANSBRO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45600</v>
      </c>
      <c r="E273" s="1" t="n">
        <v>46241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öst AB</t>
        </is>
      </c>
      <c r="I273" t="n">
        <v>45.8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46164</v>
      </c>
      <c r="E274" s="1" t="n">
        <v>46241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46241</v>
      </c>
      <c r="F275" t="inlineStr">
        <is>
          <t>DALARNAS LÄN</t>
        </is>
      </c>
      <c r="G275" t="inlineStr">
        <is>
          <t>VANSBRO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46049</v>
      </c>
      <c r="E276" s="1" t="n">
        <v>46241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46241</v>
      </c>
      <c r="F277" t="inlineStr">
        <is>
          <t>DALARNAS LÄN</t>
        </is>
      </c>
      <c r="G277" t="inlineStr">
        <is>
          <t>VANSBRO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46241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öst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46241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45078</v>
      </c>
      <c r="E280" s="1" t="n">
        <v>46241</v>
      </c>
      <c r="F280" t="inlineStr">
        <is>
          <t>DALARNAS LÄN</t>
        </is>
      </c>
      <c r="G280" t="inlineStr">
        <is>
          <t>VANSBRO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46210</v>
      </c>
      <c r="E281" s="1" t="n">
        <v>46241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öst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46052</v>
      </c>
      <c r="E282" s="1" t="n">
        <v>46241</v>
      </c>
      <c r="F282" t="inlineStr">
        <is>
          <t>DALARNAS LÄN</t>
        </is>
      </c>
      <c r="G282" t="inlineStr">
        <is>
          <t>VANSBRO</t>
        </is>
      </c>
      <c r="I282" t="n">
        <v>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46241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11485-2024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45372</v>
      </c>
      <c r="E284" s="1" t="n">
        <v>46241</v>
      </c>
      <c r="F284" t="inlineStr">
        <is>
          <t>DALARNAS LÄN</t>
        </is>
      </c>
      <c r="G284" t="inlineStr">
        <is>
          <t>VANSBRO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44805</v>
      </c>
      <c r="E285" s="1" t="n">
        <v>46241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46058</v>
      </c>
      <c r="E286" s="1" t="n">
        <v>46241</v>
      </c>
      <c r="F286" t="inlineStr">
        <is>
          <t>DALARNAS LÄN</t>
        </is>
      </c>
      <c r="G286" t="inlineStr">
        <is>
          <t>VANSBRO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45608-2023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45194</v>
      </c>
      <c r="E287" s="1" t="n">
        <v>46241</v>
      </c>
      <c r="F287" t="inlineStr">
        <is>
          <t>DALARNAS LÄN</t>
        </is>
      </c>
      <c r="G287" t="inlineStr">
        <is>
          <t>VANSBRO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46241</v>
      </c>
      <c r="F288" t="inlineStr">
        <is>
          <t>DALARNAS LÄN</t>
        </is>
      </c>
      <c r="G288" t="inlineStr">
        <is>
          <t>VANSBRO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46057</v>
      </c>
      <c r="E289" s="1" t="n">
        <v>46241</v>
      </c>
      <c r="F289" t="inlineStr">
        <is>
          <t>DALARNAS LÄN</t>
        </is>
      </c>
      <c r="G289" t="inlineStr">
        <is>
          <t>VANSBRO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46241</v>
      </c>
      <c r="F290" t="inlineStr">
        <is>
          <t>DALARNAS LÄN</t>
        </is>
      </c>
      <c r="G290" t="inlineStr">
        <is>
          <t>VANSBRO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46241</v>
      </c>
      <c r="F291" t="inlineStr">
        <is>
          <t>DALARNAS LÄN</t>
        </is>
      </c>
      <c r="G291" t="inlineStr">
        <is>
          <t>VANSBRO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44648</v>
      </c>
      <c r="E292" s="1" t="n">
        <v>46241</v>
      </c>
      <c r="F292" t="inlineStr">
        <is>
          <t>DALARNAS LÄN</t>
        </is>
      </c>
      <c r="G292" t="inlineStr">
        <is>
          <t>VANSBRO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45665</v>
      </c>
      <c r="E293" s="1" t="n">
        <v>46241</v>
      </c>
      <c r="F293" t="inlineStr">
        <is>
          <t>DALARNAS LÄN</t>
        </is>
      </c>
      <c r="G293" t="inlineStr">
        <is>
          <t>VANSBRO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45762</v>
      </c>
      <c r="E294" s="1" t="n">
        <v>46241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46041</v>
      </c>
      <c r="E295" s="1" t="n">
        <v>46241</v>
      </c>
      <c r="F295" t="inlineStr">
        <is>
          <t>DALARNAS LÄN</t>
        </is>
      </c>
      <c r="G295" t="inlineStr">
        <is>
          <t>VANSBRO</t>
        </is>
      </c>
      <c r="I295" t="n">
        <v>15.1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46210</v>
      </c>
      <c r="E296" s="1" t="n">
        <v>46241</v>
      </c>
      <c r="F296" t="inlineStr">
        <is>
          <t>DALARNAS LÄN</t>
        </is>
      </c>
      <c r="G296" t="inlineStr">
        <is>
          <t>VANSBRO</t>
        </is>
      </c>
      <c r="H296" t="inlineStr">
        <is>
          <t>Övriga statliga verk och myndigheter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46241</v>
      </c>
      <c r="F297" t="inlineStr">
        <is>
          <t>DALARNAS LÄN</t>
        </is>
      </c>
      <c r="G297" t="inlineStr">
        <is>
          <t>VANSBRO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46241</v>
      </c>
      <c r="F298" t="inlineStr">
        <is>
          <t>DALARNAS LÄN</t>
        </is>
      </c>
      <c r="G298" t="inlineStr">
        <is>
          <t>VANSBRO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45666</v>
      </c>
      <c r="E299" s="1" t="n">
        <v>46241</v>
      </c>
      <c r="F299" t="inlineStr">
        <is>
          <t>DALARNAS LÄN</t>
        </is>
      </c>
      <c r="G299" t="inlineStr">
        <is>
          <t>VANSBRO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45639</v>
      </c>
      <c r="E300" s="1" t="n">
        <v>46241</v>
      </c>
      <c r="F300" t="inlineStr">
        <is>
          <t>DALARNAS LÄN</t>
        </is>
      </c>
      <c r="G300" t="inlineStr">
        <is>
          <t>VANSBRO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46241</v>
      </c>
      <c r="F301" t="inlineStr">
        <is>
          <t>DALARNAS LÄN</t>
        </is>
      </c>
      <c r="G301" t="inlineStr">
        <is>
          <t>VANSBRO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56269-2023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45240</v>
      </c>
      <c r="E302" s="1" t="n">
        <v>46241</v>
      </c>
      <c r="F302" t="inlineStr">
        <is>
          <t>DALARNAS LÄN</t>
        </is>
      </c>
      <c r="G302" t="inlineStr">
        <is>
          <t>VANSBRO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46021</v>
      </c>
      <c r="E303" s="1" t="n">
        <v>46241</v>
      </c>
      <c r="F303" t="inlineStr">
        <is>
          <t>DALARNAS LÄN</t>
        </is>
      </c>
      <c r="G303" t="inlineStr">
        <is>
          <t>VANSBRO</t>
        </is>
      </c>
      <c r="I303" t="n">
        <v>19.1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46241</v>
      </c>
      <c r="F304" t="inlineStr">
        <is>
          <t>DALARNAS LÄN</t>
        </is>
      </c>
      <c r="G304" t="inlineStr">
        <is>
          <t>VANSBRO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45673</v>
      </c>
      <c r="E305" s="1" t="n">
        <v>46241</v>
      </c>
      <c r="F305" t="inlineStr">
        <is>
          <t>DALARNAS LÄN</t>
        </is>
      </c>
      <c r="G305" t="inlineStr">
        <is>
          <t>VANSBRO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46241</v>
      </c>
      <c r="F306" t="inlineStr">
        <is>
          <t>DALARNAS LÄN</t>
        </is>
      </c>
      <c r="G306" t="inlineStr">
        <is>
          <t>VANSBRO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46212</v>
      </c>
      <c r="E307" s="1" t="n">
        <v>46241</v>
      </c>
      <c r="F307" t="inlineStr">
        <is>
          <t>DALARNAS LÄN</t>
        </is>
      </c>
      <c r="G307" t="inlineStr">
        <is>
          <t>VANSBRO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46241</v>
      </c>
      <c r="F308" t="inlineStr">
        <is>
          <t>DALARNAS LÄN</t>
        </is>
      </c>
      <c r="G308" t="inlineStr">
        <is>
          <t>VANSBRO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30796-2026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46212</v>
      </c>
      <c r="E309" s="1" t="n">
        <v>46241</v>
      </c>
      <c r="F309" t="inlineStr">
        <is>
          <t>DALARNAS LÄN</t>
        </is>
      </c>
      <c r="G309" t="inlineStr">
        <is>
          <t>VANSBRO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46199</v>
      </c>
      <c r="E310" s="1" t="n">
        <v>46241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24827-2022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46241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44728</v>
      </c>
      <c r="E312" s="1" t="n">
        <v>46241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46241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46241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46082</v>
      </c>
      <c r="E315" s="1" t="n">
        <v>46241</v>
      </c>
      <c r="F315" t="inlineStr">
        <is>
          <t>DALARNAS LÄN</t>
        </is>
      </c>
      <c r="G315" t="inlineStr">
        <is>
          <t>VANSBRO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46082</v>
      </c>
      <c r="E316" s="1" t="n">
        <v>46241</v>
      </c>
      <c r="F316" t="inlineStr">
        <is>
          <t>DALARNAS LÄN</t>
        </is>
      </c>
      <c r="G316" t="inlineStr">
        <is>
          <t>VANSBRO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46241</v>
      </c>
      <c r="F317" t="inlineStr">
        <is>
          <t>DALARNAS LÄN</t>
        </is>
      </c>
      <c r="G317" t="inlineStr">
        <is>
          <t>VANSBRO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45665</v>
      </c>
      <c r="E318" s="1" t="n">
        <v>46241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46241</v>
      </c>
      <c r="F319" t="inlineStr">
        <is>
          <t>DALARNAS LÄN</t>
        </is>
      </c>
      <c r="G319" t="inlineStr">
        <is>
          <t>VANSBRO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46241</v>
      </c>
      <c r="F320" t="inlineStr">
        <is>
          <t>DALARNAS LÄN</t>
        </is>
      </c>
      <c r="G320" t="inlineStr">
        <is>
          <t>VANSBRO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46241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40290-2023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45169</v>
      </c>
      <c r="E322" s="1" t="n">
        <v>46241</v>
      </c>
      <c r="F322" t="inlineStr">
        <is>
          <t>DALARNAS LÄN</t>
        </is>
      </c>
      <c r="G322" t="inlineStr">
        <is>
          <t>VANSBRO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29174-2026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46202</v>
      </c>
      <c r="E323" s="1" t="n">
        <v>46241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43658-2023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45187</v>
      </c>
      <c r="E324" s="1" t="n">
        <v>46241</v>
      </c>
      <c r="F324" t="inlineStr">
        <is>
          <t>DALARNAS LÄN</t>
        </is>
      </c>
      <c r="G324" t="inlineStr">
        <is>
          <t>VANSBRO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44867</v>
      </c>
      <c r="E325" s="1" t="n">
        <v>46241</v>
      </c>
      <c r="F325" t="inlineStr">
        <is>
          <t>DALARNAS LÄN</t>
        </is>
      </c>
      <c r="G325" t="inlineStr">
        <is>
          <t>VANSBRO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46241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46241</v>
      </c>
      <c r="F327" t="inlineStr">
        <is>
          <t>DALARNAS LÄN</t>
        </is>
      </c>
      <c r="G327" t="inlineStr">
        <is>
          <t>VANSBRO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46241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46241</v>
      </c>
      <c r="F329" t="inlineStr">
        <is>
          <t>DALARNAS LÄN</t>
        </is>
      </c>
      <c r="G329" t="inlineStr">
        <is>
          <t>VANSBRO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46241</v>
      </c>
      <c r="F330" t="inlineStr">
        <is>
          <t>DALARNAS LÄN</t>
        </is>
      </c>
      <c r="G330" t="inlineStr">
        <is>
          <t>VANSBRO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46241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46241</v>
      </c>
      <c r="F332" t="inlineStr">
        <is>
          <t>DALARNAS LÄN</t>
        </is>
      </c>
      <c r="G332" t="inlineStr">
        <is>
          <t>VANSBRO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46241</v>
      </c>
      <c r="F333" t="inlineStr">
        <is>
          <t>DALARNAS LÄN</t>
        </is>
      </c>
      <c r="G333" t="inlineStr">
        <is>
          <t>VANSBRO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46241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46241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16827-2025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46241</v>
      </c>
      <c r="F336" t="inlineStr">
        <is>
          <t>DALARNAS LÄN</t>
        </is>
      </c>
      <c r="G336" t="inlineStr">
        <is>
          <t>VANSBRO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46241</v>
      </c>
      <c r="F337" t="inlineStr">
        <is>
          <t>DALARNAS LÄN</t>
        </is>
      </c>
      <c r="G337" t="inlineStr">
        <is>
          <t>VANSBRO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45322</v>
      </c>
      <c r="E338" s="1" t="n">
        <v>46241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45254</v>
      </c>
      <c r="E339" s="1" t="n">
        <v>46241</v>
      </c>
      <c r="F339" t="inlineStr">
        <is>
          <t>DALARNAS LÄN</t>
        </is>
      </c>
      <c r="G339" t="inlineStr">
        <is>
          <t>VANSBRO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46241</v>
      </c>
      <c r="F340" t="inlineStr">
        <is>
          <t>DALARNAS LÄN</t>
        </is>
      </c>
      <c r="G340" t="inlineStr">
        <is>
          <t>VANSBRO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46241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46241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46241</v>
      </c>
      <c r="F343" t="inlineStr">
        <is>
          <t>DALARNAS LÄN</t>
        </is>
      </c>
      <c r="G343" t="inlineStr">
        <is>
          <t>VANSBRO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46241</v>
      </c>
      <c r="F344" t="inlineStr">
        <is>
          <t>DALARNAS LÄN</t>
        </is>
      </c>
      <c r="G344" t="inlineStr">
        <is>
          <t>VANSBRO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46241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55078-2022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44886</v>
      </c>
      <c r="E346" s="1" t="n">
        <v>46241</v>
      </c>
      <c r="F346" t="inlineStr">
        <is>
          <t>DALARNAS LÄN</t>
        </is>
      </c>
      <c r="G346" t="inlineStr">
        <is>
          <t>VANSBRO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46183</v>
      </c>
      <c r="E347" s="1" t="n">
        <v>46241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46241</v>
      </c>
      <c r="F348" t="inlineStr">
        <is>
          <t>DALARNAS LÄN</t>
        </is>
      </c>
      <c r="G348" t="inlineStr">
        <is>
          <t>VANSBRO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46241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46241</v>
      </c>
      <c r="F350" t="inlineStr">
        <is>
          <t>DALARNAS LÄN</t>
        </is>
      </c>
      <c r="G350" t="inlineStr">
        <is>
          <t>VANSBRO</t>
        </is>
      </c>
      <c r="H350" t="inlineStr">
        <is>
          <t>Övriga statliga verk och myndigheter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45315</v>
      </c>
      <c r="E351" s="1" t="n">
        <v>46241</v>
      </c>
      <c r="F351" t="inlineStr">
        <is>
          <t>DALARNAS LÄN</t>
        </is>
      </c>
      <c r="G351" t="inlineStr">
        <is>
          <t>VANSBRO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46241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11408-2025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45726</v>
      </c>
      <c r="E353" s="1" t="n">
        <v>46241</v>
      </c>
      <c r="F353" t="inlineStr">
        <is>
          <t>DALARNAS LÄN</t>
        </is>
      </c>
      <c r="G353" t="inlineStr">
        <is>
          <t>VANSBRO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31867-2026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46231</v>
      </c>
      <c r="E354" s="1" t="n">
        <v>46241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20.2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46190</v>
      </c>
      <c r="E355" s="1" t="n">
        <v>46241</v>
      </c>
      <c r="F355" t="inlineStr">
        <is>
          <t>DALARNAS LÄN</t>
        </is>
      </c>
      <c r="G355" t="inlineStr">
        <is>
          <t>VANSBRO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46241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46241</v>
      </c>
      <c r="F357" t="inlineStr">
        <is>
          <t>DALARNAS LÄN</t>
        </is>
      </c>
      <c r="G357" t="inlineStr">
        <is>
          <t>VANSBRO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35537-2024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45531</v>
      </c>
      <c r="E358" s="1" t="n">
        <v>46241</v>
      </c>
      <c r="F358" t="inlineStr">
        <is>
          <t>DALARNAS LÄN</t>
        </is>
      </c>
      <c r="G358" t="inlineStr">
        <is>
          <t>VANSBRO</t>
        </is>
      </c>
      <c r="H358" t="inlineStr">
        <is>
          <t>Övriga statliga verk och myndigheter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46241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61515-2022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44916</v>
      </c>
      <c r="E360" s="1" t="n">
        <v>46241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46241</v>
      </c>
      <c r="F361" t="inlineStr">
        <is>
          <t>DALARNAS LÄN</t>
        </is>
      </c>
      <c r="G361" t="inlineStr">
        <is>
          <t>VANSBRO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27937-2026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46191</v>
      </c>
      <c r="E362" s="1" t="n">
        <v>46241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46241</v>
      </c>
      <c r="F363" t="inlineStr">
        <is>
          <t>DALARNAS LÄN</t>
        </is>
      </c>
      <c r="G363" t="inlineStr">
        <is>
          <t>VANSBRO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46241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46184</v>
      </c>
      <c r="E365" s="1" t="n">
        <v>46241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44960</v>
      </c>
      <c r="E366" s="1" t="n">
        <v>46241</v>
      </c>
      <c r="F366" t="inlineStr">
        <is>
          <t>DALARNAS LÄN</t>
        </is>
      </c>
      <c r="G366" t="inlineStr">
        <is>
          <t>VANSBRO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46241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46241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46241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41371-2022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44826</v>
      </c>
      <c r="E370" s="1" t="n">
        <v>46241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32393-2026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46238</v>
      </c>
      <c r="E371" s="1" t="n">
        <v>46241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29.6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46241</v>
      </c>
      <c r="F372" t="inlineStr">
        <is>
          <t>DALARNAS LÄN</t>
        </is>
      </c>
      <c r="G372" t="inlineStr">
        <is>
          <t>VANSBRO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44673</v>
      </c>
      <c r="E373" s="1" t="n">
        <v>46241</v>
      </c>
      <c r="F373" t="inlineStr">
        <is>
          <t>DALARNAS LÄN</t>
        </is>
      </c>
      <c r="G373" t="inlineStr">
        <is>
          <t>VANSBRO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54159-2022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44881</v>
      </c>
      <c r="E374" s="1" t="n">
        <v>46241</v>
      </c>
      <c r="F374" t="inlineStr">
        <is>
          <t>DALARNAS LÄN</t>
        </is>
      </c>
      <c r="G374" t="inlineStr">
        <is>
          <t>VANSBRO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46241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22756-2024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46241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44930</v>
      </c>
      <c r="E377" s="1" t="n">
        <v>46241</v>
      </c>
      <c r="F377" t="inlineStr">
        <is>
          <t>DALARNAS LÄN</t>
        </is>
      </c>
      <c r="G377" t="inlineStr">
        <is>
          <t>VANSBRO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46241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öst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46241</v>
      </c>
      <c r="F379" t="inlineStr">
        <is>
          <t>DALARNAS LÄN</t>
        </is>
      </c>
      <c r="G379" t="inlineStr">
        <is>
          <t>VANSBRO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45596</v>
      </c>
      <c r="E380" s="1" t="n">
        <v>46241</v>
      </c>
      <c r="F380" t="inlineStr">
        <is>
          <t>DALARNAS LÄN</t>
        </is>
      </c>
      <c r="G380" t="inlineStr">
        <is>
          <t>VANSBRO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45240</v>
      </c>
      <c r="E381" s="1" t="n">
        <v>46241</v>
      </c>
      <c r="F381" t="inlineStr">
        <is>
          <t>DALARNAS LÄN</t>
        </is>
      </c>
      <c r="G381" t="inlineStr">
        <is>
          <t>VANSBRO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46241</v>
      </c>
      <c r="F382" t="inlineStr">
        <is>
          <t>DALARNAS LÄN</t>
        </is>
      </c>
      <c r="G382" t="inlineStr">
        <is>
          <t>VANSBRO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46241</v>
      </c>
      <c r="F383" t="inlineStr">
        <is>
          <t>DALARNAS LÄN</t>
        </is>
      </c>
      <c r="G383" t="inlineStr">
        <is>
          <t>VANSBRO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44796</v>
      </c>
      <c r="E384" s="1" t="n">
        <v>46241</v>
      </c>
      <c r="F384" t="inlineStr">
        <is>
          <t>DALARNAS LÄN</t>
        </is>
      </c>
      <c r="G384" t="inlineStr">
        <is>
          <t>VANSBRO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45214</v>
      </c>
      <c r="E385" s="1" t="n">
        <v>46241</v>
      </c>
      <c r="F385" t="inlineStr">
        <is>
          <t>DALARNAS LÄN</t>
        </is>
      </c>
      <c r="G385" t="inlineStr">
        <is>
          <t>VANSBRO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45471</v>
      </c>
      <c r="E386" s="1" t="n">
        <v>46241</v>
      </c>
      <c r="F386" t="inlineStr">
        <is>
          <t>DALARNAS LÄN</t>
        </is>
      </c>
      <c r="G386" t="inlineStr">
        <is>
          <t>VANSBRO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45356-2024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45576</v>
      </c>
      <c r="E387" s="1" t="n">
        <v>46241</v>
      </c>
      <c r="F387" t="inlineStr">
        <is>
          <t>DALARNAS LÄN</t>
        </is>
      </c>
      <c r="G387" t="inlineStr">
        <is>
          <t>VANSBRO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45689</v>
      </c>
      <c r="E388" s="1" t="n">
        <v>46241</v>
      </c>
      <c r="F388" t="inlineStr">
        <is>
          <t>DALARNAS LÄN</t>
        </is>
      </c>
      <c r="G388" t="inlineStr">
        <is>
          <t>VANSBRO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46241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21418-2023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45063</v>
      </c>
      <c r="E390" s="1" t="n">
        <v>46241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55570-2023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45238</v>
      </c>
      <c r="E391" s="1" t="n">
        <v>46241</v>
      </c>
      <c r="F391" t="inlineStr">
        <is>
          <t>DALARNAS LÄN</t>
        </is>
      </c>
      <c r="G391" t="inlineStr">
        <is>
          <t>VANSBRO</t>
        </is>
      </c>
      <c r="H391" t="inlineStr">
        <is>
          <t>Övriga statliga verk och myndigheter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44931</v>
      </c>
      <c r="E392" s="1" t="n">
        <v>46241</v>
      </c>
      <c r="F392" t="inlineStr">
        <is>
          <t>DALARNAS LÄN</t>
        </is>
      </c>
      <c r="G392" t="inlineStr">
        <is>
          <t>VANSBRO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53498-2024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46241</v>
      </c>
      <c r="F393" t="inlineStr">
        <is>
          <t>DALARNAS LÄN</t>
        </is>
      </c>
      <c r="G393" t="inlineStr">
        <is>
          <t>VANSBRO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48111-2024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45589</v>
      </c>
      <c r="E394" s="1" t="n">
        <v>46241</v>
      </c>
      <c r="F394" t="inlineStr">
        <is>
          <t>DALARNAS LÄN</t>
        </is>
      </c>
      <c r="G394" t="inlineStr">
        <is>
          <t>VANSBRO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46241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45141</v>
      </c>
      <c r="E396" s="1" t="n">
        <v>46241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46241</v>
      </c>
      <c r="F397" t="inlineStr">
        <is>
          <t>DALARNAS LÄN</t>
        </is>
      </c>
      <c r="G397" t="inlineStr">
        <is>
          <t>VANSBRO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40383-2023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45169</v>
      </c>
      <c r="E398" s="1" t="n">
        <v>46241</v>
      </c>
      <c r="F398" t="inlineStr">
        <is>
          <t>DALARNAS LÄN</t>
        </is>
      </c>
      <c r="G398" t="inlineStr">
        <is>
          <t>VANSBRO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44791</v>
      </c>
      <c r="E399" s="1" t="n">
        <v>46241</v>
      </c>
      <c r="F399" t="inlineStr">
        <is>
          <t>DALARNAS LÄN</t>
        </is>
      </c>
      <c r="G399" t="inlineStr">
        <is>
          <t>VANSBRO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45296</v>
      </c>
      <c r="E400" s="1" t="n">
        <v>46241</v>
      </c>
      <c r="F400" t="inlineStr">
        <is>
          <t>DALARNAS LÄN</t>
        </is>
      </c>
      <c r="G400" t="inlineStr">
        <is>
          <t>VANSBRO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8447-2022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44612</v>
      </c>
      <c r="E401" s="1" t="n">
        <v>46241</v>
      </c>
      <c r="F401" t="inlineStr">
        <is>
          <t>DALARNAS LÄN</t>
        </is>
      </c>
      <c r="G401" t="inlineStr">
        <is>
          <t>VANSBRO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44798</v>
      </c>
      <c r="E402" s="1" t="n">
        <v>46241</v>
      </c>
      <c r="F402" t="inlineStr">
        <is>
          <t>DALARNAS LÄN</t>
        </is>
      </c>
      <c r="G402" t="inlineStr">
        <is>
          <t>VANSBRO</t>
        </is>
      </c>
      <c r="H402" t="inlineStr">
        <is>
          <t>Kommuner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46241</v>
      </c>
      <c r="F403" t="inlineStr">
        <is>
          <t>DALARNAS LÄN</t>
        </is>
      </c>
      <c r="G403" t="inlineStr">
        <is>
          <t>VANSBRO</t>
        </is>
      </c>
      <c r="I403" t="n">
        <v>15.5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33520-2024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46241</v>
      </c>
      <c r="F404" t="inlineStr">
        <is>
          <t>DALARNAS LÄN</t>
        </is>
      </c>
      <c r="G404" t="inlineStr">
        <is>
          <t>VANSBRO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62398-2021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44503</v>
      </c>
      <c r="E405" s="1" t="n">
        <v>46241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22.1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45453</v>
      </c>
      <c r="E406" s="1" t="n">
        <v>46241</v>
      </c>
      <c r="F406" t="inlineStr">
        <is>
          <t>DALARNAS LÄN</t>
        </is>
      </c>
      <c r="G406" t="inlineStr">
        <is>
          <t>VANSBRO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45666</v>
      </c>
      <c r="E407" s="1" t="n">
        <v>46241</v>
      </c>
      <c r="F407" t="inlineStr">
        <is>
          <t>DALARNAS LÄN</t>
        </is>
      </c>
      <c r="G407" t="inlineStr">
        <is>
          <t>VANSBRO</t>
        </is>
      </c>
      <c r="H407" t="inlineStr">
        <is>
          <t>Övriga statliga verk och myndigheter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46241</v>
      </c>
      <c r="F408" t="inlineStr">
        <is>
          <t>DALARNAS LÄN</t>
        </is>
      </c>
      <c r="G408" t="inlineStr">
        <is>
          <t>VANSBRO</t>
        </is>
      </c>
      <c r="I408" t="n">
        <v>9.9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8793-2025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45712</v>
      </c>
      <c r="E409" s="1" t="n">
        <v>46241</v>
      </c>
      <c r="F409" t="inlineStr">
        <is>
          <t>DALARNAS LÄN</t>
        </is>
      </c>
      <c r="G409" t="inlineStr">
        <is>
          <t>VANSBRO</t>
        </is>
      </c>
      <c r="I409" t="n">
        <v>13.8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45258</v>
      </c>
      <c r="E410" s="1" t="n">
        <v>46241</v>
      </c>
      <c r="F410" t="inlineStr">
        <is>
          <t>DALARNAS LÄN</t>
        </is>
      </c>
      <c r="G410" t="inlineStr">
        <is>
          <t>VANSBRO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45309</v>
      </c>
      <c r="E411" s="1" t="n">
        <v>46241</v>
      </c>
      <c r="F411" t="inlineStr">
        <is>
          <t>DALARNAS LÄN</t>
        </is>
      </c>
      <c r="G411" t="inlineStr">
        <is>
          <t>VANSBRO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45764</v>
      </c>
      <c r="E412" s="1" t="n">
        <v>46241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46241</v>
      </c>
      <c r="F413" t="inlineStr">
        <is>
          <t>DALARNAS LÄN</t>
        </is>
      </c>
      <c r="G413" t="inlineStr">
        <is>
          <t>VANSBRO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45182</v>
      </c>
      <c r="E414" s="1" t="n">
        <v>46241</v>
      </c>
      <c r="F414" t="inlineStr">
        <is>
          <t>DALARNAS LÄN</t>
        </is>
      </c>
      <c r="G414" t="inlineStr">
        <is>
          <t>VANSBRO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45244</v>
      </c>
      <c r="E415" s="1" t="n">
        <v>46241</v>
      </c>
      <c r="F415" t="inlineStr">
        <is>
          <t>DALARNAS LÄN</t>
        </is>
      </c>
      <c r="G415" t="inlineStr">
        <is>
          <t>VANSBRO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42207-2021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44426</v>
      </c>
      <c r="E416" s="1" t="n">
        <v>46241</v>
      </c>
      <c r="F416" t="inlineStr">
        <is>
          <t>DALARNAS LÄN</t>
        </is>
      </c>
      <c r="G416" t="inlineStr">
        <is>
          <t>VANSBRO</t>
        </is>
      </c>
      <c r="I416" t="n">
        <v>25.5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29288-2024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45483</v>
      </c>
      <c r="E417" s="1" t="n">
        <v>46241</v>
      </c>
      <c r="F417" t="inlineStr">
        <is>
          <t>DALARNAS LÄN</t>
        </is>
      </c>
      <c r="G417" t="inlineStr">
        <is>
          <t>VANSBRO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45783</v>
      </c>
      <c r="E418" s="1" t="n">
        <v>46241</v>
      </c>
      <c r="F418" t="inlineStr">
        <is>
          <t>DALARNAS LÄN</t>
        </is>
      </c>
      <c r="G418" t="inlineStr">
        <is>
          <t>VANSBRO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45674</v>
      </c>
      <c r="E419" s="1" t="n">
        <v>46241</v>
      </c>
      <c r="F419" t="inlineStr">
        <is>
          <t>DALARNAS LÄN</t>
        </is>
      </c>
      <c r="G419" t="inlineStr">
        <is>
          <t>VANSBRO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45783</v>
      </c>
      <c r="E420" s="1" t="n">
        <v>46241</v>
      </c>
      <c r="F420" t="inlineStr">
        <is>
          <t>DALARNAS LÄN</t>
        </is>
      </c>
      <c r="G420" t="inlineStr">
        <is>
          <t>VANSBRO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23085-2022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46241</v>
      </c>
      <c r="F421" t="inlineStr">
        <is>
          <t>DALARNAS LÄN</t>
        </is>
      </c>
      <c r="G421" t="inlineStr">
        <is>
          <t>VANSBRO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45492</v>
      </c>
      <c r="E422" s="1" t="n">
        <v>46241</v>
      </c>
      <c r="F422" t="inlineStr">
        <is>
          <t>DALARNAS LÄN</t>
        </is>
      </c>
      <c r="G422" t="inlineStr">
        <is>
          <t>VANSBRO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29411-2024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45483</v>
      </c>
      <c r="E423" s="1" t="n">
        <v>46241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45793</v>
      </c>
      <c r="E424" s="1" t="n">
        <v>46241</v>
      </c>
      <c r="F424" t="inlineStr">
        <is>
          <t>DALARNAS LÄN</t>
        </is>
      </c>
      <c r="G424" t="inlineStr">
        <is>
          <t>VANSBRO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45688</v>
      </c>
      <c r="E425" s="1" t="n">
        <v>46241</v>
      </c>
      <c r="F425" t="inlineStr">
        <is>
          <t>DALARNAS LÄN</t>
        </is>
      </c>
      <c r="G425" t="inlineStr">
        <is>
          <t>VANSBRO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35516-2024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46241</v>
      </c>
      <c r="F426" t="inlineStr">
        <is>
          <t>DALARNAS LÄN</t>
        </is>
      </c>
      <c r="G426" t="inlineStr">
        <is>
          <t>VANSBRO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45798</v>
      </c>
      <c r="E427" s="1" t="n">
        <v>46241</v>
      </c>
      <c r="F427" t="inlineStr">
        <is>
          <t>DALARNAS LÄN</t>
        </is>
      </c>
      <c r="G427" t="inlineStr">
        <is>
          <t>VANSBRO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45807</v>
      </c>
      <c r="E428" s="1" t="n">
        <v>46241</v>
      </c>
      <c r="F428" t="inlineStr">
        <is>
          <t>DALARNAS LÄN</t>
        </is>
      </c>
      <c r="G428" t="inlineStr">
        <is>
          <t>VANSBRO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45807</v>
      </c>
      <c r="E429" s="1" t="n">
        <v>46241</v>
      </c>
      <c r="F429" t="inlineStr">
        <is>
          <t>DALARNAS LÄN</t>
        </is>
      </c>
      <c r="G429" t="inlineStr">
        <is>
          <t>VANSBRO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46241</v>
      </c>
      <c r="F430" t="inlineStr">
        <is>
          <t>DALARNAS LÄN</t>
        </is>
      </c>
      <c r="G430" t="inlineStr">
        <is>
          <t>VANSBRO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45811</v>
      </c>
      <c r="E431" s="1" t="n">
        <v>46241</v>
      </c>
      <c r="F431" t="inlineStr">
        <is>
          <t>DALARNAS LÄN</t>
        </is>
      </c>
      <c r="G431" t="inlineStr">
        <is>
          <t>VANSBRO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45695</v>
      </c>
      <c r="E432" s="1" t="n">
        <v>46241</v>
      </c>
      <c r="F432" t="inlineStr">
        <is>
          <t>DALARNAS LÄN</t>
        </is>
      </c>
      <c r="G432" t="inlineStr">
        <is>
          <t>VANSBRO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28469-2025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45819</v>
      </c>
      <c r="E433" s="1" t="n">
        <v>46241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45824</v>
      </c>
      <c r="E434" s="1" t="n">
        <v>46241</v>
      </c>
      <c r="F434" t="inlineStr">
        <is>
          <t>DALARNAS LÄN</t>
        </is>
      </c>
      <c r="G434" t="inlineStr">
        <is>
          <t>VANSBRO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45832</v>
      </c>
      <c r="E435" s="1" t="n">
        <v>46241</v>
      </c>
      <c r="F435" t="inlineStr">
        <is>
          <t>DALARNAS LÄN</t>
        </is>
      </c>
      <c r="G435" t="inlineStr">
        <is>
          <t>VANSBRO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45833</v>
      </c>
      <c r="E436" s="1" t="n">
        <v>46241</v>
      </c>
      <c r="F436" t="inlineStr">
        <is>
          <t>DALARNAS LÄN</t>
        </is>
      </c>
      <c r="G436" t="inlineStr">
        <is>
          <t>VANSBRO</t>
        </is>
      </c>
      <c r="I436" t="n">
        <v>27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45833</v>
      </c>
      <c r="E437" s="1" t="n">
        <v>46241</v>
      </c>
      <c r="F437" t="inlineStr">
        <is>
          <t>DALARNAS LÄN</t>
        </is>
      </c>
      <c r="G437" t="inlineStr">
        <is>
          <t>VANSBRO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46241</v>
      </c>
      <c r="F438" t="inlineStr">
        <is>
          <t>DALARNAS LÄN</t>
        </is>
      </c>
      <c r="G438" t="inlineStr">
        <is>
          <t>VANSBRO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46241</v>
      </c>
      <c r="F439" t="inlineStr">
        <is>
          <t>DALARNAS LÄN</t>
        </is>
      </c>
      <c r="G439" t="inlineStr">
        <is>
          <t>VANSBRO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33036-2025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46241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33056-2025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46241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45846</v>
      </c>
      <c r="E442" s="1" t="n">
        <v>46241</v>
      </c>
      <c r="F442" t="inlineStr">
        <is>
          <t>DALARNAS LÄN</t>
        </is>
      </c>
      <c r="G442" t="inlineStr">
        <is>
          <t>VANSBRO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35284-2025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45854</v>
      </c>
      <c r="E443" s="1" t="n">
        <v>46241</v>
      </c>
      <c r="F443" t="inlineStr">
        <is>
          <t>DALARNAS LÄN</t>
        </is>
      </c>
      <c r="G443" t="inlineStr">
        <is>
          <t>VANSBRO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46241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46241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46241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46241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46241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46241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2026-08-07T01:54:56Z</dcterms:created>
  <dcterms:modified xmlns:dcterms="http://purl.org/dc/terms/" xmlns:xsi="http://www.w3.org/2001/XMLSchema-instance" xsi:type="dcterms:W3CDTF">2026-08-07T01:54:56Z</dcterms:modified>
</cp:coreProperties>
</file>