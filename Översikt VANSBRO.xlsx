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46228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46228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46228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46228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46228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46228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t="n">
        <v>0</v>
      </c>
      <c r="V14" s="2" t="inlineStr">
        <is>
          <t>Garnlav
Mjölig dropplav
Kattfotslav
Rosenticka
Rynkskinn
Violettgrå tagellav</t>
        </is>
      </c>
      <c r="W14">
        <f>HYPERLINK("https://klasma.github.io/Logging_2021/artfynd/A 46316-2021 artfynd.xlsx", "A 46316-2021")</f>
        <v/>
      </c>
      <c r="X14">
        <f>HYPERLINK("https://klasma.github.io/Logging_2021/kartor/A 46316-2021 karta.png", "A 46316-2021")</f>
        <v/>
      </c>
      <c r="Y14">
        <f>HYPERLINK("https://klasma.github.io/Logging_2021/kartor_geotiff/A 46316-2021 georefererad karta.tif", "A 46316-2021")</f>
        <v/>
      </c>
      <c r="AA14">
        <f>HYPERLINK("https://klasma.github.io/Logging_2021/klagomål/A 46316-2021 FSC-klagomål.docx", "A 46316-2021")</f>
        <v/>
      </c>
      <c r="AB14">
        <f>HYPERLINK("https://klasma.github.io/Logging_2021/klagomålsmail/A 46316-2021 FSC-klagomål mail.docx", "A 46316-2021")</f>
        <v/>
      </c>
      <c r="AC14">
        <f>HYPERLINK("https://klasma.github.io/Logging_2021/tillsyn/A 46316-2021 tillsynsbegäran.docx", "A 46316-2021")</f>
        <v/>
      </c>
      <c r="AD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46228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46228</v>
      </c>
      <c r="F16" t="inlineStr">
        <is>
          <t>DALARNAS LÄN</t>
        </is>
      </c>
      <c r="G16" t="inlineStr">
        <is>
          <t>VANSBRO</t>
        </is>
      </c>
      <c r="I16" t="n">
        <v>5.3</v>
      </c>
      <c r="J16" t="n">
        <v>3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5</v>
      </c>
      <c r="T16" t="n">
        <v>28</v>
      </c>
      <c r="U16" t="n">
        <v>28</v>
      </c>
      <c r="V16" s="2" t="inlineStr">
        <is>
          <t>Garnlav
Knärot
Tretåig hackspett
Ullticka
Tjäder</t>
        </is>
      </c>
      <c r="W16">
        <f>HYPERLINK("https://klasma.github.io/Logging_2021/artfynd/A 3363-2026 artfynd.xlsx", "A 3363-2026")</f>
        <v/>
      </c>
      <c r="X16">
        <f>HYPERLINK("https://klasma.github.io/Logging_2021/kartor/A 3363-2026 karta.png", "A 3363-2026")</f>
        <v/>
      </c>
      <c r="Y16">
        <f>HYPERLINK("https://klasma.github.io/Logging_2021/kartor_geotiff/A 3363-2026 georefererad karta.tif", "A 3363-2026")</f>
        <v/>
      </c>
      <c r="Z16">
        <f>HYPERLINK("https://klasma.github.io/Logging_2021/knärot/A 3363-2026 karta knärot.png", "A 3363-2026")</f>
        <v/>
      </c>
      <c r="AA16">
        <f>HYPERLINK("https://klasma.github.io/Logging_2021/klagomål/A 3363-2026 FSC-klagomål.docx", "A 3363-2026")</f>
        <v/>
      </c>
      <c r="AB16">
        <f>HYPERLINK("https://klasma.github.io/Logging_2021/klagomålsmail/A 3363-2026 FSC-klagomål mail.docx", "A 3363-2026")</f>
        <v/>
      </c>
      <c r="AC16">
        <f>HYPERLINK("https://klasma.github.io/Logging_2021/tillsyn/A 3363-2026 tillsynsbegäran.docx", "A 3363-2026")</f>
        <v/>
      </c>
      <c r="AD16">
        <f>HYPERLINK("https://klasma.github.io/Logging_2021/tillsynsmail/A 3363-2026 tillsynsbegäran mail.docx", "A 3363-2026")</f>
        <v/>
      </c>
      <c r="AE16">
        <f>HYPERLINK("https://klasma.github.io/Logging_2021/fåglar/A 3363-2026 prioriterade fågelarter.docx", "A 3363-2026")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46228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2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5</v>
      </c>
      <c r="T17" t="n">
        <v>19</v>
      </c>
      <c r="U17" t="n">
        <v>19</v>
      </c>
      <c r="V17" s="2" t="inlineStr">
        <is>
          <t>Garnlav
Knärot
Lunglav
Tretåig hackspett
Vedticka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62734-2021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44504</v>
      </c>
      <c r="E18" s="1" t="n">
        <v>46228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5.6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Doftskinn
Ullticka
Violettgrå tagellav
Stuplav</t>
        </is>
      </c>
      <c r="W18">
        <f>HYPERLINK("https://klasma.github.io/Logging_2021/artfynd/A 62734-2021 artfynd.xlsx", "A 62734-2021")</f>
        <v/>
      </c>
      <c r="X18">
        <f>HYPERLINK("https://klasma.github.io/Logging_2021/kartor/A 62734-2021 karta.png", "A 62734-2021")</f>
        <v/>
      </c>
      <c r="Y18">
        <f>HYPERLINK("https://klasma.github.io/Logging_2021/kartor_geotiff/A 62734-2021 georefererad karta.tif", "A 62734-2021")</f>
        <v/>
      </c>
      <c r="AA18">
        <f>HYPERLINK("https://klasma.github.io/Logging_2021/klagomål/A 62734-2021 FSC-klagomål.docx", "A 62734-2021")</f>
        <v/>
      </c>
      <c r="AB18">
        <f>HYPERLINK("https://klasma.github.io/Logging_2021/klagomålsmail/A 62734-2021 FSC-klagomål mail.docx", "A 62734-2021")</f>
        <v/>
      </c>
      <c r="AC18">
        <f>HYPERLINK("https://klasma.github.io/Logging_2021/tillsyn/A 62734-2021 tillsynsbegäran.docx", "A 62734-2021")</f>
        <v/>
      </c>
      <c r="AD18">
        <f>HYPERLINK("https://klasma.github.io/Logging_2021/tillsynsmail/A 62734-2021 tillsynsbegäran mail.docx", "A 62734-2021")</f>
        <v/>
      </c>
    </row>
    <row r="19" ht="15" customHeight="1">
      <c r="A19" t="inlineStr">
        <is>
          <t>A 45350-2024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45576</v>
      </c>
      <c r="E19" s="1" t="n">
        <v>46228</v>
      </c>
      <c r="F19" t="inlineStr">
        <is>
          <t>DALARNAS LÄN</t>
        </is>
      </c>
      <c r="G19" t="inlineStr">
        <is>
          <t>VANSBRO</t>
        </is>
      </c>
      <c r="I19" t="n">
        <v>13.4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Dropptaggsvamp
Kolflarnlav
Mindre märgborre</t>
        </is>
      </c>
      <c r="W19">
        <f>HYPERLINK("https://klasma.github.io/Logging_2021/artfynd/A 45350-2024 artfynd.xlsx", "A 45350-2024")</f>
        <v/>
      </c>
      <c r="X19">
        <f>HYPERLINK("https://klasma.github.io/Logging_2021/kartor/A 45350-2024 karta.png", "A 45350-2024")</f>
        <v/>
      </c>
      <c r="Y19">
        <f>HYPERLINK("https://klasma.github.io/Logging_2021/kartor_geotiff/A 45350-2024 georefererad karta.tif", "A 45350-2024")</f>
        <v/>
      </c>
      <c r="AA19">
        <f>HYPERLINK("https://klasma.github.io/Logging_2021/klagomål/A 45350-2024 FSC-klagomål.docx", "A 45350-2024")</f>
        <v/>
      </c>
      <c r="AB19">
        <f>HYPERLINK("https://klasma.github.io/Logging_2021/klagomålsmail/A 45350-2024 FSC-klagomål mail.docx", "A 45350-2024")</f>
        <v/>
      </c>
      <c r="AC19">
        <f>HYPERLINK("https://klasma.github.io/Logging_2021/tillsyn/A 45350-2024 tillsynsbegäran.docx", "A 45350-2024")</f>
        <v/>
      </c>
      <c r="AD19">
        <f>HYPERLINK("https://klasma.github.io/Logging_2021/tillsynsmail/A 45350-2024 tillsynsbegäran mail.docx", "A 45350-2024")</f>
        <v/>
      </c>
    </row>
    <row r="20" ht="15" customHeight="1">
      <c r="A20" t="inlineStr">
        <is>
          <t>A 13339-2025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46228</v>
      </c>
      <c r="F20" t="inlineStr">
        <is>
          <t>DALARNAS LÄN</t>
        </is>
      </c>
      <c r="G20" t="inlineStr">
        <is>
          <t>VANSBRO</t>
        </is>
      </c>
      <c r="I20" t="n">
        <v>0.4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5</v>
      </c>
      <c r="U20" t="n">
        <v>5</v>
      </c>
      <c r="V20" s="2" t="inlineStr">
        <is>
          <t>Garnlav
Knärot
Dropptaggsvamp
Mörk kolflarnlav</t>
        </is>
      </c>
      <c r="W20">
        <f>HYPERLINK("https://klasma.github.io/Logging_2021/artfynd/A 13339-2025 artfynd.xlsx", "A 13339-2025")</f>
        <v/>
      </c>
      <c r="X20">
        <f>HYPERLINK("https://klasma.github.io/Logging_2021/kartor/A 13339-2025 karta.png", "A 13339-2025")</f>
        <v/>
      </c>
      <c r="Y20">
        <f>HYPERLINK("https://klasma.github.io/Logging_2021/kartor_geotiff/A 13339-2025 georefererad karta.tif", "A 13339-2025")</f>
        <v/>
      </c>
      <c r="Z20">
        <f>HYPERLINK("https://klasma.github.io/Logging_2021/knärot/A 13339-2025 karta knärot.png", "A 13339-2025")</f>
        <v/>
      </c>
      <c r="AA20">
        <f>HYPERLINK("https://klasma.github.io/Logging_2021/klagomål/A 13339-2025 FSC-klagomål.docx", "A 13339-2025")</f>
        <v/>
      </c>
      <c r="AB20">
        <f>HYPERLINK("https://klasma.github.io/Logging_2021/klagomålsmail/A 13339-2025 FSC-klagomål mail.docx", "A 13339-2025")</f>
        <v/>
      </c>
      <c r="AC20">
        <f>HYPERLINK("https://klasma.github.io/Logging_2021/tillsyn/A 13339-2025 tillsynsbegäran.docx", "A 13339-2025")</f>
        <v/>
      </c>
      <c r="AD20">
        <f>HYPERLINK("https://klasma.github.io/Logging_2021/tillsynsmail/A 13339-2025 tillsynsbegäran mail.docx", "A 13339-2025")</f>
        <v/>
      </c>
    </row>
    <row r="21" ht="15" customHeight="1">
      <c r="A21" t="inlineStr">
        <is>
          <t>A 13344-2025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45735</v>
      </c>
      <c r="E21" s="1" t="n">
        <v>46228</v>
      </c>
      <c r="F21" t="inlineStr">
        <is>
          <t>DALARNAS LÄN</t>
        </is>
      </c>
      <c r="G21" t="inlineStr">
        <is>
          <t>VANSBRO</t>
        </is>
      </c>
      <c r="I21" t="n">
        <v>0.5</v>
      </c>
      <c r="J21" t="n">
        <v>2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6</v>
      </c>
      <c r="U21" t="n">
        <v>6</v>
      </c>
      <c r="V21" s="2" t="inlineStr">
        <is>
          <t>Knärot
Mörk kolflarnlav
Ullticka
Tjäder</t>
        </is>
      </c>
      <c r="W21">
        <f>HYPERLINK("https://klasma.github.io/Logging_2021/artfynd/A 13344-2025 artfynd.xlsx", "A 13344-2025")</f>
        <v/>
      </c>
      <c r="X21">
        <f>HYPERLINK("https://klasma.github.io/Logging_2021/kartor/A 13344-2025 karta.png", "A 13344-2025")</f>
        <v/>
      </c>
      <c r="Y21">
        <f>HYPERLINK("https://klasma.github.io/Logging_2021/kartor_geotiff/A 13344-2025 georefererad karta.tif", "A 13344-2025")</f>
        <v/>
      </c>
      <c r="Z21">
        <f>HYPERLINK("https://klasma.github.io/Logging_2021/knärot/A 13344-2025 karta knärot.png", "A 13344-2025")</f>
        <v/>
      </c>
      <c r="AA21">
        <f>HYPERLINK("https://klasma.github.io/Logging_2021/klagomål/A 13344-2025 FSC-klagomål.docx", "A 13344-2025")</f>
        <v/>
      </c>
      <c r="AB21">
        <f>HYPERLINK("https://klasma.github.io/Logging_2021/klagomålsmail/A 13344-2025 FSC-klagomål mail.docx", "A 13344-2025")</f>
        <v/>
      </c>
      <c r="AC21">
        <f>HYPERLINK("https://klasma.github.io/Logging_2021/tillsyn/A 13344-2025 tillsynsbegäran.docx", "A 13344-2025")</f>
        <v/>
      </c>
      <c r="AD21">
        <f>HYPERLINK("https://klasma.github.io/Logging_2021/tillsynsmail/A 13344-2025 tillsynsbegäran mail.docx", "A 13344-2025")</f>
        <v/>
      </c>
      <c r="AE21">
        <f>HYPERLINK("https://klasma.github.io/Logging_2021/fåglar/A 13344-2025 prioriterade fågelarter.docx", "A 13344-2025")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46228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46228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Dropptaggsvamp
Skuggblåslav
Bollvitmossa</t>
        </is>
      </c>
      <c r="W23">
        <f>HYPERLINK("https://klasma.github.io/Logging_2021/artfynd/A 16725-2024 artfynd.xlsx", "A 16725-2024")</f>
        <v/>
      </c>
      <c r="X23">
        <f>HYPERLINK("https://klasma.github.io/Logging_2021/kartor/A 16725-2024 karta.png", "A 16725-2024")</f>
        <v/>
      </c>
      <c r="Y23">
        <f>HYPERLINK("https://klasma.github.io/Logging_2021/kartor_geotiff/A 16725-2024 georefererad karta.tif", "A 16725-2024")</f>
        <v/>
      </c>
      <c r="AA23">
        <f>HYPERLINK("https://klasma.github.io/Logging_2021/klagomål/A 16725-2024 FSC-klagomål.docx", "A 16725-2024")</f>
        <v/>
      </c>
      <c r="AB23">
        <f>HYPERLINK("https://klasma.github.io/Logging_2021/klagomålsmail/A 16725-2024 FSC-klagomål mail.docx", "A 16725-2024")</f>
        <v/>
      </c>
      <c r="AC23">
        <f>HYPERLINK("https://klasma.github.io/Logging_2021/tillsyn/A 16725-2024 tillsynsbegäran.docx", "A 16725-2024")</f>
        <v/>
      </c>
      <c r="AD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46228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Garnlav
Kortskaftad ärgspik
Vedticka</t>
        </is>
      </c>
      <c r="W24">
        <f>HYPERLINK("https://klasma.github.io/Logging_2021/artfynd/A 27504-2025 artfynd.xlsx", "A 27504-2025")</f>
        <v/>
      </c>
      <c r="X24">
        <f>HYPERLINK("https://klasma.github.io/Logging_2021/kartor/A 27504-2025 karta.png", "A 27504-2025")</f>
        <v/>
      </c>
      <c r="Y24">
        <f>HYPERLINK("https://klasma.github.io/Logging_2021/kartor_geotiff/A 27504-2025 georefererad karta.tif", "A 27504-2025")</f>
        <v/>
      </c>
      <c r="AA24">
        <f>HYPERLINK("https://klasma.github.io/Logging_2021/klagomål/A 27504-2025 FSC-klagomål.docx", "A 27504-2025")</f>
        <v/>
      </c>
      <c r="AB24">
        <f>HYPERLINK("https://klasma.github.io/Logging_2021/klagomålsmail/A 27504-2025 FSC-klagomål mail.docx", "A 27504-2025")</f>
        <v/>
      </c>
      <c r="AC24">
        <f>HYPERLINK("https://klasma.github.io/Logging_2021/tillsyn/A 27504-2025 tillsynsbegäran.docx", "A 27504-2025")</f>
        <v/>
      </c>
      <c r="AD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46228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t="n">
        <v>24</v>
      </c>
      <c r="V25" s="2" t="inlineStr">
        <is>
          <t>Garnlav
Knärot
Bollvitmossa</t>
        </is>
      </c>
      <c r="W25">
        <f>HYPERLINK("https://klasma.github.io/Logging_2021/artfynd/A 11433-2025 artfynd.xlsx", "A 11433-2025")</f>
        <v/>
      </c>
      <c r="X25">
        <f>HYPERLINK("https://klasma.github.io/Logging_2021/kartor/A 11433-2025 karta.png", "A 11433-2025")</f>
        <v/>
      </c>
      <c r="Y25">
        <f>HYPERLINK("https://klasma.github.io/Logging_2021/kartor_geotiff/A 11433-2025 georefererad karta.tif", "A 11433-2025")</f>
        <v/>
      </c>
      <c r="Z25">
        <f>HYPERLINK("https://klasma.github.io/Logging_2021/knärot/A 11433-2025 karta knärot.png", "A 11433-2025")</f>
        <v/>
      </c>
      <c r="AA25">
        <f>HYPERLINK("https://klasma.github.io/Logging_2021/klagomål/A 11433-2025 FSC-klagomål.docx", "A 11433-2025")</f>
        <v/>
      </c>
      <c r="AB25">
        <f>HYPERLINK("https://klasma.github.io/Logging_2021/klagomålsmail/A 11433-2025 FSC-klagomål mail.docx", "A 11433-2025")</f>
        <v/>
      </c>
      <c r="AC25">
        <f>HYPERLINK("https://klasma.github.io/Logging_2021/tillsyn/A 11433-2025 tillsynsbegäran.docx", "A 11433-2025")</f>
        <v/>
      </c>
      <c r="AD25">
        <f>HYPERLINK("https://klasma.github.io/Logging_2021/tillsynsmail/A 11433-2025 tillsynsbegäran mail.docx", "A 11433-2025")</f>
        <v/>
      </c>
    </row>
    <row r="26" ht="15" customHeight="1">
      <c r="A26" t="inlineStr">
        <is>
          <t>A 33005-2025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46228</v>
      </c>
      <c r="F26" t="inlineStr">
        <is>
          <t>DALARNAS LÄN</t>
        </is>
      </c>
      <c r="G26" t="inlineStr">
        <is>
          <t>VANSBRO</t>
        </is>
      </c>
      <c r="I26" t="n">
        <v>5.5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5</v>
      </c>
      <c r="V26" s="2" t="inlineStr">
        <is>
          <t>Knärot
Kolflarnlav
Tretåig hackspett</t>
        </is>
      </c>
      <c r="W26">
        <f>HYPERLINK("https://klasma.github.io/Logging_2021/artfynd/A 33005-2025 artfynd.xlsx", "A 33005-2025")</f>
        <v/>
      </c>
      <c r="X26">
        <f>HYPERLINK("https://klasma.github.io/Logging_2021/kartor/A 33005-2025 karta.png", "A 33005-2025")</f>
        <v/>
      </c>
      <c r="Y26">
        <f>HYPERLINK("https://klasma.github.io/Logging_2021/kartor_geotiff/A 33005-2025 georefererad karta.tif", "A 33005-2025")</f>
        <v/>
      </c>
      <c r="Z26">
        <f>HYPERLINK("https://klasma.github.io/Logging_2021/knärot/A 33005-2025 karta knärot.png", "A 33005-2025")</f>
        <v/>
      </c>
      <c r="AA26">
        <f>HYPERLINK("https://klasma.github.io/Logging_2021/klagomål/A 33005-2025 FSC-klagomål.docx", "A 33005-2025")</f>
        <v/>
      </c>
      <c r="AB26">
        <f>HYPERLINK("https://klasma.github.io/Logging_2021/klagomålsmail/A 33005-2025 FSC-klagomål mail.docx", "A 33005-2025")</f>
        <v/>
      </c>
      <c r="AC26">
        <f>HYPERLINK("https://klasma.github.io/Logging_2021/tillsyn/A 33005-2025 tillsynsbegäran.docx", "A 33005-2025")</f>
        <v/>
      </c>
      <c r="AD26">
        <f>HYPERLINK("https://klasma.github.io/Logging_2021/tillsynsmail/A 33005-2025 tillsynsbegäran mail.docx", "A 33005-2025")</f>
        <v/>
      </c>
      <c r="AE26">
        <f>HYPERLINK("https://klasma.github.io/Logging_2021/fåglar/A 33005-2025 prioriterade fågelarter.docx", "A 33005-2025")</f>
        <v/>
      </c>
    </row>
    <row r="27" ht="15" customHeight="1">
      <c r="A27" t="inlineStr">
        <is>
          <t>A 33898-2022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46228</v>
      </c>
      <c r="F27" t="inlineStr">
        <is>
          <t>DALARNAS LÄN</t>
        </is>
      </c>
      <c r="G27" t="inlineStr">
        <is>
          <t>VANSBRO</t>
        </is>
      </c>
      <c r="I27" t="n">
        <v>2.8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Kungsfågel</t>
        </is>
      </c>
      <c r="W27">
        <f>HYPERLINK("https://klasma.github.io/Logging_2021/artfynd/A 33898-2022 artfynd.xlsx", "A 33898-2022")</f>
        <v/>
      </c>
      <c r="X27">
        <f>HYPERLINK("https://klasma.github.io/Logging_2021/kartor/A 33898-2022 karta.png", "A 33898-2022")</f>
        <v/>
      </c>
      <c r="Y27">
        <f>HYPERLINK("https://klasma.github.io/Logging_2021/kartor_geotiff/A 33898-2022 georefererad karta.tif", "A 33898-2022")</f>
        <v/>
      </c>
      <c r="Z27">
        <f>HYPERLINK("https://klasma.github.io/Logging_2021/knärot/A 33898-2022 karta knärot.png", "A 33898-2022")</f>
        <v/>
      </c>
      <c r="AA27">
        <f>HYPERLINK("https://klasma.github.io/Logging_2021/klagomål/A 33898-2022 FSC-klagomål.docx", "A 33898-2022")</f>
        <v/>
      </c>
      <c r="AB27">
        <f>HYPERLINK("https://klasma.github.io/Logging_2021/klagomålsmail/A 33898-2022 FSC-klagomål mail.docx", "A 33898-2022")</f>
        <v/>
      </c>
      <c r="AC27">
        <f>HYPERLINK("https://klasma.github.io/Logging_2021/tillsyn/A 33898-2022 tillsynsbegäran.docx", "A 33898-2022")</f>
        <v/>
      </c>
      <c r="AD27">
        <f>HYPERLINK("https://klasma.github.io/Logging_2021/tillsynsmail/A 33898-2022 tillsynsbegäran mail.docx", "A 33898-2022")</f>
        <v/>
      </c>
    </row>
    <row r="28" ht="15" customHeight="1">
      <c r="A28" t="inlineStr">
        <is>
          <t>A 13323-2025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46228</v>
      </c>
      <c r="F28" t="inlineStr">
        <is>
          <t>DALARNAS LÄN</t>
        </is>
      </c>
      <c r="G28" t="inlineStr">
        <is>
          <t>VANSBRO</t>
        </is>
      </c>
      <c r="I28" t="n">
        <v>2.1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4</v>
      </c>
      <c r="V28" s="2" t="inlineStr">
        <is>
          <t>Knärot
Ullticka</t>
        </is>
      </c>
      <c r="W28">
        <f>HYPERLINK("https://klasma.github.io/Logging_2021/artfynd/A 13323-2025 artfynd.xlsx", "A 13323-2025")</f>
        <v/>
      </c>
      <c r="X28">
        <f>HYPERLINK("https://klasma.github.io/Logging_2021/kartor/A 13323-2025 karta.png", "A 13323-2025")</f>
        <v/>
      </c>
      <c r="Y28">
        <f>HYPERLINK("https://klasma.github.io/Logging_2021/kartor_geotiff/A 13323-2025 georefererad karta.tif", "A 13323-2025")</f>
        <v/>
      </c>
      <c r="Z28">
        <f>HYPERLINK("https://klasma.github.io/Logging_2021/knärot/A 13323-2025 karta knärot.png", "A 13323-2025")</f>
        <v/>
      </c>
      <c r="AA28">
        <f>HYPERLINK("https://klasma.github.io/Logging_2021/klagomål/A 13323-2025 FSC-klagomål.docx", "A 13323-2025")</f>
        <v/>
      </c>
      <c r="AB28">
        <f>HYPERLINK("https://klasma.github.io/Logging_2021/klagomålsmail/A 13323-2025 FSC-klagomål mail.docx", "A 13323-2025")</f>
        <v/>
      </c>
      <c r="AC28">
        <f>HYPERLINK("https://klasma.github.io/Logging_2021/tillsyn/A 13323-2025 tillsynsbegäran.docx", "A 13323-2025")</f>
        <v/>
      </c>
      <c r="AD28">
        <f>HYPERLINK("https://klasma.github.io/Logging_2021/tillsynsmail/A 13323-2025 tillsynsbegäran mail.docx", "A 13323-2025")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46228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Dropptaggsvamp
Motaggsvamp</t>
        </is>
      </c>
      <c r="W29">
        <f>HYPERLINK("https://klasma.github.io/Logging_2021/artfynd/A 1691-2026 artfynd.xlsx", "A 1691-2026")</f>
        <v/>
      </c>
      <c r="X29">
        <f>HYPERLINK("https://klasma.github.io/Logging_2021/kartor/A 1691-2026 karta.png", "A 1691-2026")</f>
        <v/>
      </c>
      <c r="Y29">
        <f>HYPERLINK("https://klasma.github.io/Logging_2021/kartor_geotiff/A 1691-2026 georefererad karta.tif", "A 1691-2026")</f>
        <v/>
      </c>
      <c r="AA29">
        <f>HYPERLINK("https://klasma.github.io/Logging_2021/klagomål/A 1691-2026 FSC-klagomål.docx", "A 1691-2026")</f>
        <v/>
      </c>
      <c r="AB29">
        <f>HYPERLINK("https://klasma.github.io/Logging_2021/klagomålsmail/A 1691-2026 FSC-klagomål mail.docx", "A 1691-2026")</f>
        <v/>
      </c>
      <c r="AC29">
        <f>HYPERLINK("https://klasma.github.io/Logging_2021/tillsyn/A 1691-2026 tillsynsbegäran.docx", "A 1691-2026")</f>
        <v/>
      </c>
      <c r="AD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45247</v>
      </c>
      <c r="E30" s="1" t="n">
        <v>46228</v>
      </c>
      <c r="F30" t="inlineStr">
        <is>
          <t>DALARNAS LÄN</t>
        </is>
      </c>
      <c r="G30" t="inlineStr">
        <is>
          <t>VANSBRO</t>
        </is>
      </c>
      <c r="I30" t="n">
        <v>0.5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Sädesärla
Orre</t>
        </is>
      </c>
      <c r="W30">
        <f>HYPERLINK("https://klasma.github.io/Logging_2021/artfynd/A 58009-2023 artfynd.xlsx", "A 58009-2023")</f>
        <v/>
      </c>
      <c r="X30">
        <f>HYPERLINK("https://klasma.github.io/Logging_2021/kartor/A 58009-2023 karta.png", "A 58009-2023")</f>
        <v/>
      </c>
      <c r="Y30">
        <f>HYPERLINK("https://klasma.github.io/Logging_2021/kartor_geotiff/A 58009-2023 georefererad karta.tif", "A 58009-2023")</f>
        <v/>
      </c>
      <c r="AA30">
        <f>HYPERLINK("https://klasma.github.io/Logging_2021/klagomål/A 58009-2023 FSC-klagomål.docx", "A 58009-2023")</f>
        <v/>
      </c>
      <c r="AB30">
        <f>HYPERLINK("https://klasma.github.io/Logging_2021/klagomålsmail/A 58009-2023 FSC-klagomål mail.docx", "A 58009-2023")</f>
        <v/>
      </c>
      <c r="AC30">
        <f>HYPERLINK("https://klasma.github.io/Logging_2021/tillsyn/A 58009-2023 tillsynsbegäran.docx", "A 58009-2023")</f>
        <v/>
      </c>
      <c r="AD30">
        <f>HYPERLINK("https://klasma.github.io/Logging_2021/tillsynsmail/A 58009-2023 tillsynsbegäran mail.docx", "A 58009-2023")</f>
        <v/>
      </c>
      <c r="AE30">
        <f>HYPERLINK("https://klasma.github.io/Logging_2021/fåglar/A 58009-2023 prioriterade fågelarter.docx", "A 58009-2023")</f>
        <v/>
      </c>
    </row>
    <row r="31" ht="15" customHeight="1">
      <c r="A31" t="inlineStr">
        <is>
          <t>A 14475-2024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46228</v>
      </c>
      <c r="F31" t="inlineStr">
        <is>
          <t>DALARNAS LÄN</t>
        </is>
      </c>
      <c r="G31" t="inlineStr">
        <is>
          <t>VANSBRO</t>
        </is>
      </c>
      <c r="I31" t="n">
        <v>20.4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t="n">
        <v>3</v>
      </c>
      <c r="V31" s="2" t="inlineStr">
        <is>
          <t>Garnlav
Dropptaggsvamp</t>
        </is>
      </c>
      <c r="W31">
        <f>HYPERLINK("https://klasma.github.io/Logging_2021/artfynd/A 14475-2024 artfynd.xlsx", "A 14475-2024")</f>
        <v/>
      </c>
      <c r="X31">
        <f>HYPERLINK("https://klasma.github.io/Logging_2021/kartor/A 14475-2024 karta.png", "A 14475-2024")</f>
        <v/>
      </c>
      <c r="Y31">
        <f>HYPERLINK("https://klasma.github.io/Logging_2021/kartor_geotiff/A 14475-2024 georefererad karta.tif", "A 14475-2024")</f>
        <v/>
      </c>
      <c r="AA31">
        <f>HYPERLINK("https://klasma.github.io/Logging_2021/klagomål/A 14475-2024 FSC-klagomål.docx", "A 14475-2024")</f>
        <v/>
      </c>
      <c r="AB31">
        <f>HYPERLINK("https://klasma.github.io/Logging_2021/klagomålsmail/A 14475-2024 FSC-klagomål mail.docx", "A 14475-2024")</f>
        <v/>
      </c>
      <c r="AC31">
        <f>HYPERLINK("https://klasma.github.io/Logging_2021/tillsyn/A 14475-2024 tillsynsbegäran.docx", "A 14475-2024")</f>
        <v/>
      </c>
      <c r="AD31">
        <f>HYPERLINK("https://klasma.github.io/Logging_2021/tillsynsmail/A 14475-2024 tillsynsbegäran mail.docx", "A 14475-2024")</f>
        <v/>
      </c>
    </row>
    <row r="32" ht="15" customHeight="1">
      <c r="A32" t="inlineStr">
        <is>
          <t>A 19656-2026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46134</v>
      </c>
      <c r="E32" s="1" t="n">
        <v>46228</v>
      </c>
      <c r="F32" t="inlineStr">
        <is>
          <t>DALARNAS LÄN</t>
        </is>
      </c>
      <c r="G32" t="inlineStr">
        <is>
          <t>VANSBRO</t>
        </is>
      </c>
      <c r="H32" t="inlineStr">
        <is>
          <t>Bergvik skog väst AB</t>
        </is>
      </c>
      <c r="I32" t="n">
        <v>18.2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Ängsblåvinge
Berggräsfjäril</t>
        </is>
      </c>
      <c r="W32">
        <f>HYPERLINK("https://klasma.github.io/Logging_2021/artfynd/A 19656-2026 artfynd.xlsx", "A 19656-2026")</f>
        <v/>
      </c>
      <c r="X32">
        <f>HYPERLINK("https://klasma.github.io/Logging_2021/kartor/A 19656-2026 karta.png", "A 19656-2026")</f>
        <v/>
      </c>
      <c r="Y32">
        <f>HYPERLINK("https://klasma.github.io/Logging_2021/kartor_geotiff/A 19656-2026 georefererad karta.tif", "A 19656-2026")</f>
        <v/>
      </c>
      <c r="AA32">
        <f>HYPERLINK("https://klasma.github.io/Logging_2021/klagomål/A 19656-2026 FSC-klagomål.docx", "A 19656-2026")</f>
        <v/>
      </c>
      <c r="AB32">
        <f>HYPERLINK("https://klasma.github.io/Logging_2021/klagomålsmail/A 19656-2026 FSC-klagomål mail.docx", "A 19656-2026")</f>
        <v/>
      </c>
      <c r="AC32">
        <f>HYPERLINK("https://klasma.github.io/Logging_2021/tillsyn/A 19656-2026 tillsynsbegäran.docx", "A 19656-2026")</f>
        <v/>
      </c>
      <c r="AD32">
        <f>HYPERLINK("https://klasma.github.io/Logging_2021/tillsynsmail/A 19656-2026 tillsynsbegäran mail.docx", "A 19656-2026")</f>
        <v/>
      </c>
    </row>
    <row r="33" ht="15" customHeight="1">
      <c r="A33" t="inlineStr">
        <is>
          <t>A 45205-2021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46228</v>
      </c>
      <c r="F33" t="inlineStr">
        <is>
          <t>DALARNAS LÄN</t>
        </is>
      </c>
      <c r="G33" t="inlineStr">
        <is>
          <t>VANSBRO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HYPERLINK("https://klasma.github.io/Logging_2021/artfynd/A 45205-2021 artfynd.xlsx", "A 45205-2021")</f>
        <v/>
      </c>
      <c r="X33">
        <f>HYPERLINK("https://klasma.github.io/Logging_2021/kartor/A 45205-2021 karta.png", "A 45205-2021")</f>
        <v/>
      </c>
      <c r="Y33">
        <f>HYPERLINK("https://klasma.github.io/Logging_2021/kartor_geotiff/A 45205-2021 georefererad karta.tif", "A 45205-2021")</f>
        <v/>
      </c>
      <c r="AA33">
        <f>HYPERLINK("https://klasma.github.io/Logging_2021/klagomål/A 45205-2021 FSC-klagomål.docx", "A 45205-2021")</f>
        <v/>
      </c>
      <c r="AB33">
        <f>HYPERLINK("https://klasma.github.io/Logging_2021/klagomålsmail/A 45205-2021 FSC-klagomål mail.docx", "A 45205-2021")</f>
        <v/>
      </c>
      <c r="AC33">
        <f>HYPERLINK("https://klasma.github.io/Logging_2021/tillsyn/A 45205-2021 tillsynsbegäran.docx", "A 45205-2021")</f>
        <v/>
      </c>
      <c r="AD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46228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Rynkskinn</t>
        </is>
      </c>
      <c r="W34">
        <f>HYPERLINK("https://klasma.github.io/Logging_2021/artfynd/A 50688-2021 artfynd.xlsx", "A 50688-2021")</f>
        <v/>
      </c>
      <c r="X34">
        <f>HYPERLINK("https://klasma.github.io/Logging_2021/kartor/A 50688-2021 karta.png", "A 50688-2021")</f>
        <v/>
      </c>
      <c r="Y34">
        <f>HYPERLINK("https://klasma.github.io/Logging_2021/kartor_geotiff/A 50688-2021 georefererad karta.tif", "A 50688-2021")</f>
        <v/>
      </c>
      <c r="AA34">
        <f>HYPERLINK("https://klasma.github.io/Logging_2021/klagomål/A 50688-2021 FSC-klagomål.docx", "A 50688-2021")</f>
        <v/>
      </c>
      <c r="AB34">
        <f>HYPERLINK("https://klasma.github.io/Logging_2021/klagomålsmail/A 50688-2021 FSC-klagomål mail.docx", "A 50688-2021")</f>
        <v/>
      </c>
      <c r="AC34">
        <f>HYPERLINK("https://klasma.github.io/Logging_2021/tillsyn/A 50688-2021 tillsynsbegäran.docx", "A 50688-2021")</f>
        <v/>
      </c>
      <c r="AD34">
        <f>HYPERLINK("https://klasma.github.io/Logging_2021/tillsynsmail/A 50688-2021 tillsynsbegäran mail.docx", "A 50688-2021")</f>
        <v/>
      </c>
    </row>
    <row r="35" ht="15" customHeight="1">
      <c r="A35" t="inlineStr">
        <is>
          <t>A 3854-2024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46228</v>
      </c>
      <c r="F35" t="inlineStr">
        <is>
          <t>DALARNAS LÄN</t>
        </is>
      </c>
      <c r="G35" t="inlineStr">
        <is>
          <t>VANSBRO</t>
        </is>
      </c>
      <c r="H35" t="inlineStr">
        <is>
          <t>Kyrkan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HYPERLINK("https://klasma.github.io/Logging_2021/artfynd/A 3854-2024 artfynd.xlsx", "A 3854-2024")</f>
        <v/>
      </c>
      <c r="X35">
        <f>HYPERLINK("https://klasma.github.io/Logging_2021/kartor/A 3854-2024 karta.png", "A 3854-2024")</f>
        <v/>
      </c>
      <c r="Y35">
        <f>HYPERLINK("https://klasma.github.io/Logging_2021/kartor_geotiff/A 3854-2024 georefererad karta.tif", "A 3854-2024")</f>
        <v/>
      </c>
      <c r="AA35">
        <f>HYPERLINK("https://klasma.github.io/Logging_2021/klagomål/A 3854-2024 FSC-klagomål.docx", "A 3854-2024")</f>
        <v/>
      </c>
      <c r="AB35">
        <f>HYPERLINK("https://klasma.github.io/Logging_2021/klagomålsmail/A 3854-2024 FSC-klagomål mail.docx", "A 3854-2024")</f>
        <v/>
      </c>
      <c r="AC35">
        <f>HYPERLINK("https://klasma.github.io/Logging_2021/tillsyn/A 3854-2024 tillsynsbegäran.docx", "A 3854-2024")</f>
        <v/>
      </c>
      <c r="AD35">
        <f>HYPERLINK("https://klasma.github.io/Logging_2021/tillsynsmail/A 3854-2024 tillsynsbegäran mail.docx", "A 3854-2024")</f>
        <v/>
      </c>
    </row>
    <row r="36" ht="15" customHeight="1">
      <c r="A36" t="inlineStr">
        <is>
          <t>A 52675-2025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45956</v>
      </c>
      <c r="E36" s="1" t="n">
        <v>46228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Motaggsvamp</t>
        </is>
      </c>
      <c r="W36">
        <f>HYPERLINK("https://klasma.github.io/Logging_2021/artfynd/A 52675-2025 artfynd.xlsx", "A 52675-2025")</f>
        <v/>
      </c>
      <c r="X36">
        <f>HYPERLINK("https://klasma.github.io/Logging_2021/kartor/A 52675-2025 karta.png", "A 52675-2025")</f>
        <v/>
      </c>
      <c r="Y36">
        <f>HYPERLINK("https://klasma.github.io/Logging_2021/kartor_geotiff/A 52675-2025 georefererad karta.tif", "A 52675-2025")</f>
        <v/>
      </c>
      <c r="AA36">
        <f>HYPERLINK("https://klasma.github.io/Logging_2021/klagomål/A 52675-2025 FSC-klagomål.docx", "A 52675-2025")</f>
        <v/>
      </c>
      <c r="AB36">
        <f>HYPERLINK("https://klasma.github.io/Logging_2021/klagomålsmail/A 52675-2025 FSC-klagomål mail.docx", "A 52675-2025")</f>
        <v/>
      </c>
      <c r="AC36">
        <f>HYPERLINK("https://klasma.github.io/Logging_2021/tillsyn/A 52675-2025 tillsynsbegäran.docx", "A 52675-2025")</f>
        <v/>
      </c>
      <c r="AD36">
        <f>HYPERLINK("https://klasma.github.io/Logging_2021/tillsynsmail/A 52675-2025 tillsynsbegäran mail.docx", "A 52675-2025")</f>
        <v/>
      </c>
    </row>
    <row r="37" ht="15" customHeight="1">
      <c r="A37" t="inlineStr">
        <is>
          <t>A 20076-2026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46228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13.2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Kransrams</t>
        </is>
      </c>
      <c r="W37">
        <f>HYPERLINK("https://klasma.github.io/Logging_2021/artfynd/A 20076-2026 artfynd.xlsx", "A 20076-2026")</f>
        <v/>
      </c>
      <c r="X37">
        <f>HYPERLINK("https://klasma.github.io/Logging_2021/kartor/A 20076-2026 karta.png", "A 20076-2026")</f>
        <v/>
      </c>
      <c r="Y37">
        <f>HYPERLINK("https://klasma.github.io/Logging_2021/kartor_geotiff/A 20076-2026 georefererad karta.tif", "A 20076-2026")</f>
        <v/>
      </c>
      <c r="AA37">
        <f>HYPERLINK("https://klasma.github.io/Logging_2021/klagomål/A 20076-2026 FSC-klagomål.docx", "A 20076-2026")</f>
        <v/>
      </c>
      <c r="AB37">
        <f>HYPERLINK("https://klasma.github.io/Logging_2021/klagomålsmail/A 20076-2026 FSC-klagomål mail.docx", "A 20076-2026")</f>
        <v/>
      </c>
      <c r="AC37">
        <f>HYPERLINK("https://klasma.github.io/Logging_2021/tillsyn/A 20076-2026 tillsynsbegäran.docx", "A 20076-2026")</f>
        <v/>
      </c>
      <c r="AD37">
        <f>HYPERLINK("https://klasma.github.io/Logging_2021/tillsynsmail/A 20076-2026 tillsynsbegäran mail.docx", "A 20076-2026")</f>
        <v/>
      </c>
    </row>
    <row r="38" ht="15" customHeight="1">
      <c r="A38" t="inlineStr">
        <is>
          <t>A 48109-2025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46228</v>
      </c>
      <c r="F38" t="inlineStr">
        <is>
          <t>DALARNAS LÄN</t>
        </is>
      </c>
      <c r="G38" t="inlineStr">
        <is>
          <t>VANSBRO</t>
        </is>
      </c>
      <c r="I38" t="n">
        <v>0.8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HYPERLINK("https://klasma.github.io/Logging_2021/artfynd/A 48109-2025 artfynd.xlsx", "A 48109-2025")</f>
        <v/>
      </c>
      <c r="X38">
        <f>HYPERLINK("https://klasma.github.io/Logging_2021/kartor/A 48109-2025 karta.png", "A 48109-2025")</f>
        <v/>
      </c>
      <c r="Y38">
        <f>HYPERLINK("https://klasma.github.io/Logging_2021/kartor_geotiff/A 48109-2025 georefererad karta.tif", "A 48109-2025")</f>
        <v/>
      </c>
      <c r="AA38">
        <f>HYPERLINK("https://klasma.github.io/Logging_2021/klagomål/A 48109-2025 FSC-klagomål.docx", "A 48109-2025")</f>
        <v/>
      </c>
      <c r="AB38">
        <f>HYPERLINK("https://klasma.github.io/Logging_2021/klagomålsmail/A 48109-2025 FSC-klagomål mail.docx", "A 48109-2025")</f>
        <v/>
      </c>
      <c r="AC38">
        <f>HYPERLINK("https://klasma.github.io/Logging_2021/tillsyn/A 48109-2025 tillsynsbegäran.docx", "A 48109-2025")</f>
        <v/>
      </c>
      <c r="AD38">
        <f>HYPERLINK("https://klasma.github.io/Logging_2021/tillsynsmail/A 48109-2025 tillsynsbegäran mail.docx", "A 48109-2025")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46228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46228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37219-2024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46228</v>
      </c>
      <c r="F41" t="inlineStr">
        <is>
          <t>DALARNAS LÄN</t>
        </is>
      </c>
      <c r="G41" t="inlineStr">
        <is>
          <t>VANSBRO</t>
        </is>
      </c>
      <c r="I41" t="n">
        <v>5.3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Tjäder</t>
        </is>
      </c>
      <c r="W41">
        <f>HYPERLINK("https://klasma.github.io/Logging_2021/artfynd/A 37219-2024 artfynd.xlsx", "A 37219-2024")</f>
        <v/>
      </c>
      <c r="X41">
        <f>HYPERLINK("https://klasma.github.io/Logging_2021/kartor/A 37219-2024 karta.png", "A 37219-2024")</f>
        <v/>
      </c>
      <c r="Y41">
        <f>HYPERLINK("https://klasma.github.io/Logging_2021/kartor_geotiff/A 37219-2024 georefererad karta.tif", "A 37219-2024")</f>
        <v/>
      </c>
      <c r="AA41">
        <f>HYPERLINK("https://klasma.github.io/Logging_2021/klagomål/A 37219-2024 FSC-klagomål.docx", "A 37219-2024")</f>
        <v/>
      </c>
      <c r="AB41">
        <f>HYPERLINK("https://klasma.github.io/Logging_2021/klagomålsmail/A 37219-2024 FSC-klagomål mail.docx", "A 37219-2024")</f>
        <v/>
      </c>
      <c r="AC41">
        <f>HYPERLINK("https://klasma.github.io/Logging_2021/tillsyn/A 37219-2024 tillsynsbegäran.docx", "A 37219-2024")</f>
        <v/>
      </c>
      <c r="AD41">
        <f>HYPERLINK("https://klasma.github.io/Logging_2021/tillsynsmail/A 37219-2024 tillsynsbegäran mail.docx", "A 37219-2024")</f>
        <v/>
      </c>
      <c r="AE41">
        <f>HYPERLINK("https://klasma.github.io/Logging_2021/fåglar/A 37219-2024 prioriterade fågelarter.docx", "A 37219-2024")</f>
        <v/>
      </c>
    </row>
    <row r="42" ht="15" customHeight="1">
      <c r="A42" t="inlineStr">
        <is>
          <t>A 54453-2024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46228</v>
      </c>
      <c r="F42" t="inlineStr">
        <is>
          <t>DALARNAS LÄN</t>
        </is>
      </c>
      <c r="G42" t="inlineStr">
        <is>
          <t>VANSBRO</t>
        </is>
      </c>
      <c r="I42" t="n">
        <v>0.4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Skarp dropptaggsvamp</t>
        </is>
      </c>
      <c r="W42">
        <f>HYPERLINK("https://klasma.github.io/Logging_2021/artfynd/A 54453-2024 artfynd.xlsx", "A 54453-2024")</f>
        <v/>
      </c>
      <c r="X42">
        <f>HYPERLINK("https://klasma.github.io/Logging_2021/kartor/A 54453-2024 karta.png", "A 54453-2024")</f>
        <v/>
      </c>
      <c r="Y42">
        <f>HYPERLINK("https://klasma.github.io/Logging_2021/kartor_geotiff/A 54453-2024 georefererad karta.tif", "A 54453-2024")</f>
        <v/>
      </c>
      <c r="AA42">
        <f>HYPERLINK("https://klasma.github.io/Logging_2021/klagomål/A 54453-2024 FSC-klagomål.docx", "A 54453-2024")</f>
        <v/>
      </c>
      <c r="AB42">
        <f>HYPERLINK("https://klasma.github.io/Logging_2021/klagomålsmail/A 54453-2024 FSC-klagomål mail.docx", "A 54453-2024")</f>
        <v/>
      </c>
      <c r="AC42">
        <f>HYPERLINK("https://klasma.github.io/Logging_2021/tillsyn/A 54453-2024 tillsynsbegäran.docx", "A 54453-2024")</f>
        <v/>
      </c>
      <c r="AD42">
        <f>HYPERLINK("https://klasma.github.io/Logging_2021/tillsynsmail/A 54453-2024 tillsynsbegäran mail.docx", "A 54453-2024")</f>
        <v/>
      </c>
    </row>
    <row r="43" ht="15" customHeight="1">
      <c r="A43" t="inlineStr">
        <is>
          <t>A 26756-2026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46228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HYPERLINK("https://klasma.github.io/Logging_2021/artfynd/A 26756-2026 artfynd.xlsx", "A 26756-2026")</f>
        <v/>
      </c>
      <c r="X43">
        <f>HYPERLINK("https://klasma.github.io/Logging_2021/kartor/A 26756-2026 karta.png", "A 26756-2026")</f>
        <v/>
      </c>
      <c r="Y43">
        <f>HYPERLINK("https://klasma.github.io/Logging_2021/kartor_geotiff/A 26756-2026 georefererad karta.tif", "A 26756-2026")</f>
        <v/>
      </c>
      <c r="AA43">
        <f>HYPERLINK("https://klasma.github.io/Logging_2021/klagomål/A 26756-2026 FSC-klagomål.docx", "A 26756-2026")</f>
        <v/>
      </c>
      <c r="AB43">
        <f>HYPERLINK("https://klasma.github.io/Logging_2021/klagomålsmail/A 26756-2026 FSC-klagomål mail.docx", "A 26756-2026")</f>
        <v/>
      </c>
      <c r="AC43">
        <f>HYPERLINK("https://klasma.github.io/Logging_2021/tillsyn/A 26756-2026 tillsynsbegäran.docx", "A 26756-2026")</f>
        <v/>
      </c>
      <c r="AD43">
        <f>HYPERLINK("https://klasma.github.io/Logging_2021/tillsynsmail/A 26756-2026 tillsynsbegäran mail.docx", "A 26756-2026")</f>
        <v/>
      </c>
      <c r="AE43">
        <f>HYPERLINK("https://klasma.github.io/Logging_2021/fåglar/A 26756-2026 prioriterade fågelarter.docx", "A 26756-2026")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46228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Järnsparv</t>
        </is>
      </c>
      <c r="W44">
        <f>HYPERLINK("https://klasma.github.io/Logging_2021/artfynd/A 57810-2023 artfynd.xlsx", "A 57810-2023")</f>
        <v/>
      </c>
      <c r="X44">
        <f>HYPERLINK("https://klasma.github.io/Logging_2021/kartor/A 57810-2023 karta.png", "A 57810-2023")</f>
        <v/>
      </c>
      <c r="Y44">
        <f>HYPERLINK("https://klasma.github.io/Logging_2021/kartor_geotiff/A 57810-2023 georefererad karta.tif", "A 57810-2023")</f>
        <v/>
      </c>
      <c r="AA44">
        <f>HYPERLINK("https://klasma.github.io/Logging_2021/klagomål/A 57810-2023 FSC-klagomål.docx", "A 57810-2023")</f>
        <v/>
      </c>
      <c r="AB44">
        <f>HYPERLINK("https://klasma.github.io/Logging_2021/klagomålsmail/A 57810-2023 FSC-klagomål mail.docx", "A 57810-2023")</f>
        <v/>
      </c>
      <c r="AC44">
        <f>HYPERLINK("https://klasma.github.io/Logging_2021/tillsyn/A 57810-2023 tillsynsbegäran.docx", "A 57810-2023")</f>
        <v/>
      </c>
      <c r="AD44">
        <f>HYPERLINK("https://klasma.github.io/Logging_2021/tillsynsmail/A 57810-2023 tillsynsbegäran mail.docx", "A 57810-2023")</f>
        <v/>
      </c>
      <c r="AE44">
        <f>HYPERLINK("https://klasma.github.io/Logging_2021/fåglar/A 57810-2023 prioriterade fågelarter.docx", "A 57810-2023")</f>
        <v/>
      </c>
    </row>
    <row r="45" ht="15" customHeight="1">
      <c r="A45" t="inlineStr">
        <is>
          <t>A 51579-2021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46228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14.3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Kolflarnlav</t>
        </is>
      </c>
      <c r="W45">
        <f>HYPERLINK("https://klasma.github.io/Logging_2021/artfynd/A 51579-2021 artfynd.xlsx", "A 51579-2021")</f>
        <v/>
      </c>
      <c r="X45">
        <f>HYPERLINK("https://klasma.github.io/Logging_2021/kartor/A 51579-2021 karta.png", "A 51579-2021")</f>
        <v/>
      </c>
      <c r="Y45">
        <f>HYPERLINK("https://klasma.github.io/Logging_2021/kartor_geotiff/A 51579-2021 georefererad karta.tif", "A 51579-2021")</f>
        <v/>
      </c>
      <c r="AA45">
        <f>HYPERLINK("https://klasma.github.io/Logging_2021/klagomål/A 51579-2021 FSC-klagomål.docx", "A 51579-2021")</f>
        <v/>
      </c>
      <c r="AB45">
        <f>HYPERLINK("https://klasma.github.io/Logging_2021/klagomålsmail/A 51579-2021 FSC-klagomål mail.docx", "A 51579-2021")</f>
        <v/>
      </c>
      <c r="AC45">
        <f>HYPERLINK("https://klasma.github.io/Logging_2021/tillsyn/A 51579-2021 tillsynsbegäran.docx", "A 51579-2021")</f>
        <v/>
      </c>
      <c r="AD45">
        <f>HYPERLINK("https://klasma.github.io/Logging_2021/tillsynsmail/A 51579-2021 tillsynsbegäran mail.docx", "A 51579-2021")</f>
        <v/>
      </c>
    </row>
    <row r="46" ht="15" customHeight="1">
      <c r="A46" t="inlineStr">
        <is>
          <t>A 33250-2024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45518</v>
      </c>
      <c r="E46" s="1" t="n">
        <v>46228</v>
      </c>
      <c r="F46" t="inlineStr">
        <is>
          <t>DALARNAS LÄN</t>
        </is>
      </c>
      <c r="G46" t="inlineStr">
        <is>
          <t>VANSBRO</t>
        </is>
      </c>
      <c r="I46" t="n">
        <v>6.8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Reliktbock</t>
        </is>
      </c>
      <c r="W46">
        <f>HYPERLINK("https://klasma.github.io/Logging_2021/artfynd/A 33250-2024 artfynd.xlsx", "A 33250-2024")</f>
        <v/>
      </c>
      <c r="X46">
        <f>HYPERLINK("https://klasma.github.io/Logging_2021/kartor/A 33250-2024 karta.png", "A 33250-2024")</f>
        <v/>
      </c>
      <c r="Y46">
        <f>HYPERLINK("https://klasma.github.io/Logging_2021/kartor_geotiff/A 33250-2024 georefererad karta.tif", "A 33250-2024")</f>
        <v/>
      </c>
      <c r="AA46">
        <f>HYPERLINK("https://klasma.github.io/Logging_2021/klagomål/A 33250-2024 FSC-klagomål.docx", "A 33250-2024")</f>
        <v/>
      </c>
      <c r="AB46">
        <f>HYPERLINK("https://klasma.github.io/Logging_2021/klagomålsmail/A 33250-2024 FSC-klagomål mail.docx", "A 33250-2024")</f>
        <v/>
      </c>
      <c r="AC46">
        <f>HYPERLINK("https://klasma.github.io/Logging_2021/tillsyn/A 33250-2024 tillsynsbegäran.docx", "A 33250-2024")</f>
        <v/>
      </c>
      <c r="AD46">
        <f>HYPERLINK("https://klasma.github.io/Logging_2021/tillsynsmail/A 33250-2024 tillsynsbegäran mail.docx", "A 33250-2024")</f>
        <v/>
      </c>
    </row>
    <row r="47" ht="15" customHeight="1">
      <c r="A47" t="inlineStr">
        <is>
          <t>A 27052-2025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46228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HYPERLINK("https://klasma.github.io/Logging_2021/artfynd/A 27052-2025 artfynd.xlsx", "A 27052-2025")</f>
        <v/>
      </c>
      <c r="X47">
        <f>HYPERLINK("https://klasma.github.io/Logging_2021/kartor/A 27052-2025 karta.png", "A 27052-2025")</f>
        <v/>
      </c>
      <c r="Y47">
        <f>HYPERLINK("https://klasma.github.io/Logging_2021/kartor_geotiff/A 27052-2025 georefererad karta.tif", "A 27052-2025")</f>
        <v/>
      </c>
      <c r="AA47">
        <f>HYPERLINK("https://klasma.github.io/Logging_2021/klagomål/A 27052-2025 FSC-klagomål.docx", "A 27052-2025")</f>
        <v/>
      </c>
      <c r="AB47">
        <f>HYPERLINK("https://klasma.github.io/Logging_2021/klagomålsmail/A 27052-2025 FSC-klagomål mail.docx", "A 27052-2025")</f>
        <v/>
      </c>
      <c r="AC47">
        <f>HYPERLINK("https://klasma.github.io/Logging_2021/tillsyn/A 27052-2025 tillsynsbegäran.docx", "A 27052-2025")</f>
        <v/>
      </c>
      <c r="AD47">
        <f>HYPERLINK("https://klasma.github.io/Logging_2021/tillsynsmail/A 27052-2025 tillsynsbegäran mail.docx", "A 27052-2025")</f>
        <v/>
      </c>
      <c r="AE47">
        <f>HYPERLINK("https://klasma.github.io/Logging_2021/fåglar/A 27052-2025 prioriterade fågelarter.docx", "A 27052-2025")</f>
        <v/>
      </c>
    </row>
    <row r="48" ht="15" customHeight="1">
      <c r="A48" t="inlineStr">
        <is>
          <t>A 32917-2025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45839</v>
      </c>
      <c r="E48" s="1" t="n">
        <v>46228</v>
      </c>
      <c r="F48" t="inlineStr">
        <is>
          <t>DALARNAS LÄN</t>
        </is>
      </c>
      <c r="G48" t="inlineStr">
        <is>
          <t>VANSBRO</t>
        </is>
      </c>
      <c r="I48" t="n">
        <v>6.6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2</v>
      </c>
      <c r="V48" s="2" t="inlineStr">
        <is>
          <t>Garnlav</t>
        </is>
      </c>
      <c r="W48">
        <f>HYPERLINK("https://klasma.github.io/Logging_2021/artfynd/A 32917-2025 artfynd.xlsx", "A 32917-2025")</f>
        <v/>
      </c>
      <c r="X48">
        <f>HYPERLINK("https://klasma.github.io/Logging_2021/kartor/A 32917-2025 karta.png", "A 32917-2025")</f>
        <v/>
      </c>
      <c r="Y48">
        <f>HYPERLINK("https://klasma.github.io/Logging_2021/kartor_geotiff/A 32917-2025 georefererad karta.tif", "A 32917-2025")</f>
        <v/>
      </c>
      <c r="AA48">
        <f>HYPERLINK("https://klasma.github.io/Logging_2021/klagomål/A 32917-2025 FSC-klagomål.docx", "A 32917-2025")</f>
        <v/>
      </c>
      <c r="AB48">
        <f>HYPERLINK("https://klasma.github.io/Logging_2021/klagomålsmail/A 32917-2025 FSC-klagomål mail.docx", "A 32917-2025")</f>
        <v/>
      </c>
      <c r="AC48">
        <f>HYPERLINK("https://klasma.github.io/Logging_2021/tillsyn/A 32917-2025 tillsynsbegäran.docx", "A 32917-2025")</f>
        <v/>
      </c>
      <c r="AD48">
        <f>HYPERLINK("https://klasma.github.io/Logging_2021/tillsynsmail/A 32917-2025 tillsynsbegäran mail.docx", "A 32917-2025")</f>
        <v/>
      </c>
    </row>
    <row r="49" ht="15" customHeight="1">
      <c r="A49" t="inlineStr">
        <is>
          <t>A 33003-2025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45840</v>
      </c>
      <c r="E49" s="1" t="n">
        <v>46228</v>
      </c>
      <c r="F49" t="inlineStr">
        <is>
          <t>DALARNAS LÄN</t>
        </is>
      </c>
      <c r="G49" t="inlineStr">
        <is>
          <t>VANSBRO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HYPERLINK("https://klasma.github.io/Logging_2021/artfynd/A 33003-2025 artfynd.xlsx", "A 33003-2025")</f>
        <v/>
      </c>
      <c r="X49">
        <f>HYPERLINK("https://klasma.github.io/Logging_2021/kartor/A 33003-2025 karta.png", "A 33003-2025")</f>
        <v/>
      </c>
      <c r="Y49">
        <f>HYPERLINK("https://klasma.github.io/Logging_2021/kartor_geotiff/A 33003-2025 georefererad karta.tif", "A 33003-2025")</f>
        <v/>
      </c>
      <c r="Z49">
        <f>HYPERLINK("https://klasma.github.io/Logging_2021/knärot/A 33003-2025 karta knärot.png", "A 33003-2025")</f>
        <v/>
      </c>
      <c r="AA49">
        <f>HYPERLINK("https://klasma.github.io/Logging_2021/klagomål/A 33003-2025 FSC-klagomål.docx", "A 33003-2025")</f>
        <v/>
      </c>
      <c r="AB49">
        <f>HYPERLINK("https://klasma.github.io/Logging_2021/klagomålsmail/A 33003-2025 FSC-klagomål mail.docx", "A 33003-2025")</f>
        <v/>
      </c>
      <c r="AC49">
        <f>HYPERLINK("https://klasma.github.io/Logging_2021/tillsyn/A 33003-2025 tillsynsbegäran.docx", "A 33003-2025")</f>
        <v/>
      </c>
      <c r="AD49">
        <f>HYPERLINK("https://klasma.github.io/Logging_2021/tillsynsmail/A 33003-2025 tillsynsbegäran mail.docx", "A 33003-2025")</f>
        <v/>
      </c>
    </row>
    <row r="50" ht="15" customHeight="1">
      <c r="A50" t="inlineStr">
        <is>
          <t>S 146-2023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44942</v>
      </c>
      <c r="E50" s="1" t="n">
        <v>46228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HYPERLINK("https://klasma.github.io/Logging_2021/artfynd/S 146-2023 artfynd.xlsx", "S 146-2023")</f>
        <v/>
      </c>
      <c r="X50">
        <f>HYPERLINK("https://klasma.github.io/Logging_2021/kartor/S 146-2023 karta.png", "S 146-2023")</f>
        <v/>
      </c>
      <c r="Y50">
        <f>HYPERLINK("https://klasma.github.io/Logging_2021/kartor_geotiff/S 146-2023 georefererad karta.tif", "S 146-2023")</f>
        <v/>
      </c>
      <c r="AA50">
        <f>HYPERLINK("https://klasma.github.io/Logging_2021/klagomål/S 146-2023 FSC-klagomål.docx", "S 146-2023")</f>
        <v/>
      </c>
      <c r="AB50">
        <f>HYPERLINK("https://klasma.github.io/Logging_2021/klagomålsmail/S 146-2023 FSC-klagomål mail.docx", "S 146-2023")</f>
        <v/>
      </c>
      <c r="AC50">
        <f>HYPERLINK("https://klasma.github.io/Logging_2021/tillsyn/S 146-2023 tillsynsbegäran.docx", "S 146-2023")</f>
        <v/>
      </c>
      <c r="AD50">
        <f>HYPERLINK("https://klasma.github.io/Logging_2021/tillsynsmail/S 146-2023 tillsynsbegäran mail.docx", "S 146-2023")</f>
        <v/>
      </c>
    </row>
    <row r="51" ht="15" customHeight="1">
      <c r="A51" t="inlineStr">
        <is>
          <t>S 940-2024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45377</v>
      </c>
      <c r="E51" s="1" t="n">
        <v>46228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158.9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HYPERLINK("https://klasma.github.io/Logging_2021/artfynd/S 940-2024 artfynd.xlsx", "S 940-2024")</f>
        <v/>
      </c>
      <c r="X51">
        <f>HYPERLINK("https://klasma.github.io/Logging_2021/kartor/S 940-2024 karta.png", "S 940-2024")</f>
        <v/>
      </c>
      <c r="Y51">
        <f>HYPERLINK("https://klasma.github.io/Logging_2021/kartor_geotiff/S 940-2024 georefererad karta.tif", "S 940-2024")</f>
        <v/>
      </c>
      <c r="AA51">
        <f>HYPERLINK("https://klasma.github.io/Logging_2021/klagomål/S 940-2024 FSC-klagomål.docx", "S 940-2024")</f>
        <v/>
      </c>
      <c r="AB51">
        <f>HYPERLINK("https://klasma.github.io/Logging_2021/klagomålsmail/S 940-2024 FSC-klagomål mail.docx", "S 940-2024")</f>
        <v/>
      </c>
      <c r="AC51">
        <f>HYPERLINK("https://klasma.github.io/Logging_2021/tillsyn/S 940-2024 tillsynsbegäran.docx", "S 940-2024")</f>
        <v/>
      </c>
      <c r="AD51">
        <f>HYPERLINK("https://klasma.github.io/Logging_2021/tillsynsmail/S 940-2024 tillsynsbegäran mail.docx", "S 940-2024")</f>
        <v/>
      </c>
    </row>
    <row r="52" ht="15" customHeight="1">
      <c r="A52" t="inlineStr">
        <is>
          <t>A 54023-2022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44881</v>
      </c>
      <c r="E52" s="1" t="n">
        <v>46228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48977-2021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46228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46228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42055-2022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46228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66705-2021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46228</v>
      </c>
      <c r="F56" t="inlineStr">
        <is>
          <t>DALARNAS LÄN</t>
        </is>
      </c>
      <c r="G56" t="inlineStr">
        <is>
          <t>VANSBRO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46228</v>
      </c>
      <c r="F57" t="inlineStr">
        <is>
          <t>DALARNAS LÄN</t>
        </is>
      </c>
      <c r="G57" t="inlineStr">
        <is>
          <t>VANSBRO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46228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46228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46228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46228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46228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46228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46228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46228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46228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46228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46228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46228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46228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46228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46228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44414</v>
      </c>
      <c r="E73" s="1" t="n">
        <v>46228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46228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46228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46228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46228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46228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46228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46228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46228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46228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46228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46228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46228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46228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44442</v>
      </c>
      <c r="E87" s="1" t="n">
        <v>46228</v>
      </c>
      <c r="F87" t="inlineStr">
        <is>
          <t>DALARNAS LÄN</t>
        </is>
      </c>
      <c r="G87" t="inlineStr">
        <is>
          <t>VANSBRO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46228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46228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44957</v>
      </c>
      <c r="E90" s="1" t="n">
        <v>46228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46228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46228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46228</v>
      </c>
      <c r="F93" t="inlineStr">
        <is>
          <t>DALARNAS LÄN</t>
        </is>
      </c>
      <c r="G93" t="inlineStr">
        <is>
          <t>VANSBRO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11408-2025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45726</v>
      </c>
      <c r="E94" s="1" t="n">
        <v>46228</v>
      </c>
      <c r="F94" t="inlineStr">
        <is>
          <t>DALARNAS LÄN</t>
        </is>
      </c>
      <c r="G94" t="inlineStr">
        <is>
          <t>VANSBRO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46228</v>
      </c>
      <c r="F95" t="inlineStr">
        <is>
          <t>DALARNAS LÄN</t>
        </is>
      </c>
      <c r="G95" t="inlineStr">
        <is>
          <t>VANSBRO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44826</v>
      </c>
      <c r="E96" s="1" t="n">
        <v>46228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46228</v>
      </c>
      <c r="F97" t="inlineStr">
        <is>
          <t>DALARNAS LÄN</t>
        </is>
      </c>
      <c r="G97" t="inlineStr">
        <is>
          <t>VANSBRO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55078-2022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44886</v>
      </c>
      <c r="E98" s="1" t="n">
        <v>46228</v>
      </c>
      <c r="F98" t="inlineStr">
        <is>
          <t>DALARNAS LÄN</t>
        </is>
      </c>
      <c r="G98" t="inlineStr">
        <is>
          <t>VANSBRO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45183</v>
      </c>
      <c r="E99" s="1" t="n">
        <v>46228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46228</v>
      </c>
      <c r="F100" t="inlineStr">
        <is>
          <t>DALARNAS LÄN</t>
        </is>
      </c>
      <c r="G100" t="inlineStr">
        <is>
          <t>VANSBRO</t>
        </is>
      </c>
      <c r="H100" t="inlineStr">
        <is>
          <t>Övriga statliga verk och myndigheter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46228</v>
      </c>
      <c r="F101" t="inlineStr">
        <is>
          <t>DALARNAS LÄN</t>
        </is>
      </c>
      <c r="G101" t="inlineStr">
        <is>
          <t>VANSBRO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46228</v>
      </c>
      <c r="F102" t="inlineStr">
        <is>
          <t>DALARNAS LÄN</t>
        </is>
      </c>
      <c r="G102" t="inlineStr">
        <is>
          <t>VANSBRO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46228</v>
      </c>
      <c r="F103" t="inlineStr">
        <is>
          <t>DALARNAS LÄN</t>
        </is>
      </c>
      <c r="G103" t="inlineStr">
        <is>
          <t>VANSBRO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46228</v>
      </c>
      <c r="F104" t="inlineStr">
        <is>
          <t>DALARNAS LÄN</t>
        </is>
      </c>
      <c r="G104" t="inlineStr">
        <is>
          <t>VANSBRO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46228</v>
      </c>
      <c r="F105" t="inlineStr">
        <is>
          <t>DALARNAS LÄN</t>
        </is>
      </c>
      <c r="G105" t="inlineStr">
        <is>
          <t>VANSBRO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46228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46228</v>
      </c>
      <c r="F107" t="inlineStr">
        <is>
          <t>DALARNAS LÄN</t>
        </is>
      </c>
      <c r="G107" t="inlineStr">
        <is>
          <t>VANSBRO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46228</v>
      </c>
      <c r="F108" t="inlineStr">
        <is>
          <t>DALARNAS LÄN</t>
        </is>
      </c>
      <c r="G108" t="inlineStr">
        <is>
          <t>VANSBRO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46228</v>
      </c>
      <c r="F109" t="inlineStr">
        <is>
          <t>DALARNAS LÄN</t>
        </is>
      </c>
      <c r="G109" t="inlineStr">
        <is>
          <t>VANSBRO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45689</v>
      </c>
      <c r="E110" s="1" t="n">
        <v>46228</v>
      </c>
      <c r="F110" t="inlineStr">
        <is>
          <t>DALARNAS LÄN</t>
        </is>
      </c>
      <c r="G110" t="inlineStr">
        <is>
          <t>VANSBRO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35299-2024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45530</v>
      </c>
      <c r="E111" s="1" t="n">
        <v>46228</v>
      </c>
      <c r="F111" t="inlineStr">
        <is>
          <t>DALARNAS LÄN</t>
        </is>
      </c>
      <c r="G111" t="inlineStr">
        <is>
          <t>VANSBRO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44925</v>
      </c>
      <c r="E112" s="1" t="n">
        <v>46228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46228</v>
      </c>
      <c r="F113" t="inlineStr">
        <is>
          <t>DALARNAS LÄN</t>
        </is>
      </c>
      <c r="G113" t="inlineStr">
        <is>
          <t>VANSBRO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44862</v>
      </c>
      <c r="E114" s="1" t="n">
        <v>46228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45576</v>
      </c>
      <c r="E115" s="1" t="n">
        <v>46228</v>
      </c>
      <c r="F115" t="inlineStr">
        <is>
          <t>DALARNAS LÄN</t>
        </is>
      </c>
      <c r="G115" t="inlineStr">
        <is>
          <t>VANSBRO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46228</v>
      </c>
      <c r="F116" t="inlineStr">
        <is>
          <t>DALARNAS LÄN</t>
        </is>
      </c>
      <c r="G116" t="inlineStr">
        <is>
          <t>VANSBRO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46228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46228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46228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45744</v>
      </c>
      <c r="E120" s="1" t="n">
        <v>46228</v>
      </c>
      <c r="F120" t="inlineStr">
        <is>
          <t>DALARNAS LÄN</t>
        </is>
      </c>
      <c r="G120" t="inlineStr">
        <is>
          <t>VANSBRO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45258</v>
      </c>
      <c r="E121" s="1" t="n">
        <v>46228</v>
      </c>
      <c r="F121" t="inlineStr">
        <is>
          <t>DALARNAS LÄN</t>
        </is>
      </c>
      <c r="G121" t="inlineStr">
        <is>
          <t>VANSBRO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46228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46228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46228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46228</v>
      </c>
      <c r="F125" t="inlineStr">
        <is>
          <t>DALARNAS LÄN</t>
        </is>
      </c>
      <c r="G125" t="inlineStr">
        <is>
          <t>VANSBRO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46228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46228</v>
      </c>
      <c r="F127" t="inlineStr">
        <is>
          <t>DALARNAS LÄN</t>
        </is>
      </c>
      <c r="G127" t="inlineStr">
        <is>
          <t>VANSBRO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46228</v>
      </c>
      <c r="F128" t="inlineStr">
        <is>
          <t>DALARNAS LÄN</t>
        </is>
      </c>
      <c r="G128" t="inlineStr">
        <is>
          <t>VANSBRO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46228</v>
      </c>
      <c r="F129" t="inlineStr">
        <is>
          <t>DALARNAS LÄN</t>
        </is>
      </c>
      <c r="G129" t="inlineStr">
        <is>
          <t>VANSBRO</t>
        </is>
      </c>
      <c r="H129" t="inlineStr">
        <is>
          <t>Övriga statliga verk och myndigheter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46228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öst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46228</v>
      </c>
      <c r="F131" t="inlineStr">
        <is>
          <t>DALARNAS LÄN</t>
        </is>
      </c>
      <c r="G131" t="inlineStr">
        <is>
          <t>VANSBRO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38670-2025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45884</v>
      </c>
      <c r="E132" s="1" t="n">
        <v>46228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45876</v>
      </c>
      <c r="E133" s="1" t="n">
        <v>46228</v>
      </c>
      <c r="F133" t="inlineStr">
        <is>
          <t>DALARNAS LÄN</t>
        </is>
      </c>
      <c r="G133" t="inlineStr">
        <is>
          <t>VANSBRO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46228</v>
      </c>
      <c r="F134" t="inlineStr">
        <is>
          <t>DALARNAS LÄN</t>
        </is>
      </c>
      <c r="G134" t="inlineStr">
        <is>
          <t>VANSBRO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55942-2023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46228</v>
      </c>
      <c r="F135" t="inlineStr">
        <is>
          <t>DALARNAS LÄN</t>
        </is>
      </c>
      <c r="G135" t="inlineStr">
        <is>
          <t>VANSBRO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46228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44811</v>
      </c>
      <c r="E137" s="1" t="n">
        <v>46228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46228</v>
      </c>
      <c r="F138" t="inlineStr">
        <is>
          <t>DALARNAS LÄN</t>
        </is>
      </c>
      <c r="G138" t="inlineStr">
        <is>
          <t>VANSBRO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46228</v>
      </c>
      <c r="F139" t="inlineStr">
        <is>
          <t>DALARNAS LÄN</t>
        </is>
      </c>
      <c r="G139" t="inlineStr">
        <is>
          <t>VANSBRO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46228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46228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45940</v>
      </c>
      <c r="E142" s="1" t="n">
        <v>46228</v>
      </c>
      <c r="F142" t="inlineStr">
        <is>
          <t>DALARNAS LÄN</t>
        </is>
      </c>
      <c r="G142" t="inlineStr">
        <is>
          <t>VANSBRO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46228</v>
      </c>
      <c r="F143" t="inlineStr">
        <is>
          <t>DALARNAS LÄN</t>
        </is>
      </c>
      <c r="G143" t="inlineStr">
        <is>
          <t>VANSBRO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46228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46228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45063</v>
      </c>
      <c r="E146" s="1" t="n">
        <v>46228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46228</v>
      </c>
      <c r="F147" t="inlineStr">
        <is>
          <t>DALARNAS LÄN</t>
        </is>
      </c>
      <c r="G147" t="inlineStr">
        <is>
          <t>VANSBRO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46228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46228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46228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45811</v>
      </c>
      <c r="E151" s="1" t="n">
        <v>46228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45727</v>
      </c>
      <c r="E152" s="1" t="n">
        <v>46228</v>
      </c>
      <c r="F152" t="inlineStr">
        <is>
          <t>DALARNAS LÄN</t>
        </is>
      </c>
      <c r="G152" t="inlineStr">
        <is>
          <t>VANSBRO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46228</v>
      </c>
      <c r="F153" t="inlineStr">
        <is>
          <t>DALARNAS LÄN</t>
        </is>
      </c>
      <c r="G153" t="inlineStr">
        <is>
          <t>VANSBRO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46228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46228</v>
      </c>
      <c r="F155" t="inlineStr">
        <is>
          <t>DALARNAS LÄN</t>
        </is>
      </c>
      <c r="G155" t="inlineStr">
        <is>
          <t>VANSBRO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46228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45689</v>
      </c>
      <c r="E157" s="1" t="n">
        <v>46228</v>
      </c>
      <c r="F157" t="inlineStr">
        <is>
          <t>DALARNAS LÄN</t>
        </is>
      </c>
      <c r="G157" t="inlineStr">
        <is>
          <t>VANSBRO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45806</v>
      </c>
      <c r="E158" s="1" t="n">
        <v>46228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46228</v>
      </c>
      <c r="F159" t="inlineStr">
        <is>
          <t>DALARNAS LÄN</t>
        </is>
      </c>
      <c r="G159" t="inlineStr">
        <is>
          <t>VANSBRO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46228</v>
      </c>
      <c r="F160" t="inlineStr">
        <is>
          <t>DALARNAS LÄN</t>
        </is>
      </c>
      <c r="G160" t="inlineStr">
        <is>
          <t>VANSBRO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46228</v>
      </c>
      <c r="F161" t="inlineStr">
        <is>
          <t>DALARNAS LÄN</t>
        </is>
      </c>
      <c r="G161" t="inlineStr">
        <is>
          <t>VANSBRO</t>
        </is>
      </c>
      <c r="H161" t="inlineStr">
        <is>
          <t>Kommuner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46228</v>
      </c>
      <c r="F162" t="inlineStr">
        <is>
          <t>DALARNAS LÄN</t>
        </is>
      </c>
      <c r="G162" t="inlineStr">
        <is>
          <t>VANSBRO</t>
        </is>
      </c>
      <c r="I162" t="n">
        <v>13.9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45214</v>
      </c>
      <c r="E163" s="1" t="n">
        <v>46228</v>
      </c>
      <c r="F163" t="inlineStr">
        <is>
          <t>DALARNAS LÄN</t>
        </is>
      </c>
      <c r="G163" t="inlineStr">
        <is>
          <t>VANSBRO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46228</v>
      </c>
      <c r="F164" t="inlineStr">
        <is>
          <t>DALARNAS LÄN</t>
        </is>
      </c>
      <c r="G164" t="inlineStr">
        <is>
          <t>VANSBRO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46228</v>
      </c>
      <c r="F165" t="inlineStr">
        <is>
          <t>DALARNAS LÄN</t>
        </is>
      </c>
      <c r="G165" t="inlineStr">
        <is>
          <t>VANSBRO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46228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45.8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45520</v>
      </c>
      <c r="E167" s="1" t="n">
        <v>46228</v>
      </c>
      <c r="F167" t="inlineStr">
        <is>
          <t>DALARNAS LÄN</t>
        </is>
      </c>
      <c r="G167" t="inlineStr">
        <is>
          <t>VANSBRO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46228</v>
      </c>
      <c r="F168" t="inlineStr">
        <is>
          <t>DALARNAS LÄN</t>
        </is>
      </c>
      <c r="G168" t="inlineStr">
        <is>
          <t>VANSBRO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46228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45665</v>
      </c>
      <c r="E170" s="1" t="n">
        <v>46228</v>
      </c>
      <c r="F170" t="inlineStr">
        <is>
          <t>DALARNAS LÄN</t>
        </is>
      </c>
      <c r="G170" t="inlineStr">
        <is>
          <t>VANSBRO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47833-2025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45932</v>
      </c>
      <c r="E171" s="1" t="n">
        <v>46228</v>
      </c>
      <c r="F171" t="inlineStr">
        <is>
          <t>DALARNAS LÄN</t>
        </is>
      </c>
      <c r="G171" t="inlineStr">
        <is>
          <t>VANSBRO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46228</v>
      </c>
      <c r="F172" t="inlineStr">
        <is>
          <t>DALARNAS LÄN</t>
        </is>
      </c>
      <c r="G172" t="inlineStr">
        <is>
          <t>VANSBRO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46228</v>
      </c>
      <c r="F173" t="inlineStr">
        <is>
          <t>DALARNAS LÄN</t>
        </is>
      </c>
      <c r="G173" t="inlineStr">
        <is>
          <t>VANSBRO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44980</v>
      </c>
      <c r="E174" s="1" t="n">
        <v>46228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46228</v>
      </c>
      <c r="F175" t="inlineStr">
        <is>
          <t>DALARNAS LÄN</t>
        </is>
      </c>
      <c r="G175" t="inlineStr">
        <is>
          <t>VANSBRO</t>
        </is>
      </c>
      <c r="I175" t="n">
        <v>15.8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46228</v>
      </c>
      <c r="F176" t="inlineStr">
        <is>
          <t>DALARNAS LÄN</t>
        </is>
      </c>
      <c r="G176" t="inlineStr">
        <is>
          <t>VANSBRO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46228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48840-2025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45937</v>
      </c>
      <c r="E178" s="1" t="n">
        <v>46228</v>
      </c>
      <c r="F178" t="inlineStr">
        <is>
          <t>DALARNAS LÄN</t>
        </is>
      </c>
      <c r="G178" t="inlineStr">
        <is>
          <t>VANSBRO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46228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46228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46228</v>
      </c>
      <c r="F181" t="inlineStr">
        <is>
          <t>DALARNAS LÄN</t>
        </is>
      </c>
      <c r="G181" t="inlineStr">
        <is>
          <t>VANSBRO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46228</v>
      </c>
      <c r="F182" t="inlineStr">
        <is>
          <t>DALARNAS LÄN</t>
        </is>
      </c>
      <c r="G182" t="inlineStr">
        <is>
          <t>VANSBRO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46228</v>
      </c>
      <c r="F183" t="inlineStr">
        <is>
          <t>DALARNAS LÄN</t>
        </is>
      </c>
      <c r="G183" t="inlineStr">
        <is>
          <t>VANSBRO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46228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46079</v>
      </c>
      <c r="E185" s="1" t="n">
        <v>46228</v>
      </c>
      <c r="F185" t="inlineStr">
        <is>
          <t>DALARNAS LÄN</t>
        </is>
      </c>
      <c r="G185" t="inlineStr">
        <is>
          <t>VANSBRO</t>
        </is>
      </c>
      <c r="H185" t="inlineStr">
        <is>
          <t>Övriga statliga verk och myndigheter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55570-2023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46228</v>
      </c>
      <c r="F186" t="inlineStr">
        <is>
          <t>DALARNAS LÄN</t>
        </is>
      </c>
      <c r="G186" t="inlineStr">
        <is>
          <t>VANSBRO</t>
        </is>
      </c>
      <c r="H186" t="inlineStr">
        <is>
          <t>Övriga statliga verk och myndigheter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46228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46228</v>
      </c>
      <c r="F188" t="inlineStr">
        <is>
          <t>DALARNAS LÄN</t>
        </is>
      </c>
      <c r="G188" t="inlineStr">
        <is>
          <t>VANSBRO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46228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46228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46228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45956</v>
      </c>
      <c r="E192" s="1" t="n">
        <v>46228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46228</v>
      </c>
      <c r="F193" t="inlineStr">
        <is>
          <t>DALARNAS LÄN</t>
        </is>
      </c>
      <c r="G193" t="inlineStr">
        <is>
          <t>VANSBRO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45956</v>
      </c>
      <c r="E194" s="1" t="n">
        <v>46228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46228</v>
      </c>
      <c r="F195" t="inlineStr">
        <is>
          <t>DALARNAS LÄN</t>
        </is>
      </c>
      <c r="G195" t="inlineStr">
        <is>
          <t>VANSBRO</t>
        </is>
      </c>
      <c r="I195" t="n">
        <v>12.6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27344-2026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46228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8694-2023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44972</v>
      </c>
      <c r="E197" s="1" t="n">
        <v>46228</v>
      </c>
      <c r="F197" t="inlineStr">
        <is>
          <t>DALARNAS LÄN</t>
        </is>
      </c>
      <c r="G197" t="inlineStr">
        <is>
          <t>VANSBRO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46228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46228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46228</v>
      </c>
      <c r="F200" t="inlineStr">
        <is>
          <t>DALARNAS LÄN</t>
        </is>
      </c>
      <c r="G200" t="inlineStr">
        <is>
          <t>VANSBRO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20185-2025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46228</v>
      </c>
      <c r="F201" t="inlineStr">
        <is>
          <t>DALARNAS LÄN</t>
        </is>
      </c>
      <c r="G201" t="inlineStr">
        <is>
          <t>VANSBRO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33829-2024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45520</v>
      </c>
      <c r="E202" s="1" t="n">
        <v>46228</v>
      </c>
      <c r="F202" t="inlineStr">
        <is>
          <t>DALARNAS LÄN</t>
        </is>
      </c>
      <c r="G202" t="inlineStr">
        <is>
          <t>VANSBRO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46228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46228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46228</v>
      </c>
      <c r="F205" t="inlineStr">
        <is>
          <t>DALARNAS LÄN</t>
        </is>
      </c>
      <c r="G205" t="inlineStr">
        <is>
          <t>VANSBRO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54100-2025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45964</v>
      </c>
      <c r="E206" s="1" t="n">
        <v>46228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öst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46228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46228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46228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46228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46228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46228</v>
      </c>
      <c r="F212" t="inlineStr">
        <is>
          <t>DALARNAS LÄN</t>
        </is>
      </c>
      <c r="G212" t="inlineStr">
        <is>
          <t>VANSBRO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46228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46228</v>
      </c>
      <c r="F214" t="inlineStr">
        <is>
          <t>DALARNAS LÄN</t>
        </is>
      </c>
      <c r="G214" t="inlineStr">
        <is>
          <t>VANSBRO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46228</v>
      </c>
      <c r="F215" t="inlineStr">
        <is>
          <t>DALARNAS LÄN</t>
        </is>
      </c>
      <c r="G215" t="inlineStr">
        <is>
          <t>VANSBRO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46228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46228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46228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46228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8447-2022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44612</v>
      </c>
      <c r="E220" s="1" t="n">
        <v>46228</v>
      </c>
      <c r="F220" t="inlineStr">
        <is>
          <t>DALARNAS LÄN</t>
        </is>
      </c>
      <c r="G220" t="inlineStr">
        <is>
          <t>VANSBRO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46228</v>
      </c>
      <c r="F221" t="inlineStr">
        <is>
          <t>DALARNAS LÄN</t>
        </is>
      </c>
      <c r="G221" t="inlineStr">
        <is>
          <t>VANSBRO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45691</v>
      </c>
      <c r="E222" s="1" t="n">
        <v>46228</v>
      </c>
      <c r="F222" t="inlineStr">
        <is>
          <t>DALARNAS LÄN</t>
        </is>
      </c>
      <c r="G222" t="inlineStr">
        <is>
          <t>VANSBRO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46228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46228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46228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46228</v>
      </c>
      <c r="F226" t="inlineStr">
        <is>
          <t>DALARNAS LÄN</t>
        </is>
      </c>
      <c r="G226" t="inlineStr">
        <is>
          <t>VANSBRO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46228</v>
      </c>
      <c r="F227" t="inlineStr">
        <is>
          <t>DALARNAS LÄN</t>
        </is>
      </c>
      <c r="G227" t="inlineStr">
        <is>
          <t>VANSBRO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2086-2024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45309</v>
      </c>
      <c r="E228" s="1" t="n">
        <v>46228</v>
      </c>
      <c r="F228" t="inlineStr">
        <is>
          <t>DALARNAS LÄN</t>
        </is>
      </c>
      <c r="G228" t="inlineStr">
        <is>
          <t>VANSBRO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46228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45987</v>
      </c>
      <c r="E230" s="1" t="n">
        <v>46228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46228</v>
      </c>
      <c r="F231" t="inlineStr">
        <is>
          <t>DALARNAS LÄN</t>
        </is>
      </c>
      <c r="G231" t="inlineStr">
        <is>
          <t>VANSBRO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46228</v>
      </c>
      <c r="F232" t="inlineStr">
        <is>
          <t>DALARNAS LÄN</t>
        </is>
      </c>
      <c r="G232" t="inlineStr">
        <is>
          <t>VANSBRO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46228</v>
      </c>
      <c r="F233" t="inlineStr">
        <is>
          <t>DALARNAS LÄN</t>
        </is>
      </c>
      <c r="G233" t="inlineStr">
        <is>
          <t>VANSBRO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44509</v>
      </c>
      <c r="E234" s="1" t="n">
        <v>46228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17.6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46228</v>
      </c>
      <c r="F235" t="inlineStr">
        <is>
          <t>DALARNAS LÄN</t>
        </is>
      </c>
      <c r="G235" t="inlineStr">
        <is>
          <t>VANSBRO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46228</v>
      </c>
      <c r="F236" t="inlineStr">
        <is>
          <t>DALARNAS LÄN</t>
        </is>
      </c>
      <c r="G236" t="inlineStr">
        <is>
          <t>VANSBRO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46228</v>
      </c>
      <c r="F237" t="inlineStr">
        <is>
          <t>DALARNAS LÄN</t>
        </is>
      </c>
      <c r="G237" t="inlineStr">
        <is>
          <t>VANSBRO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46228</v>
      </c>
      <c r="F238" t="inlineStr">
        <is>
          <t>DALARNAS LÄN</t>
        </is>
      </c>
      <c r="G238" t="inlineStr">
        <is>
          <t>VANSBRO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46228</v>
      </c>
      <c r="F239" t="inlineStr">
        <is>
          <t>DALARNAS LÄN</t>
        </is>
      </c>
      <c r="G239" t="inlineStr">
        <is>
          <t>VANSBRO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44966</v>
      </c>
      <c r="E240" s="1" t="n">
        <v>46228</v>
      </c>
      <c r="F240" t="inlineStr">
        <is>
          <t>DALARNAS LÄN</t>
        </is>
      </c>
      <c r="G240" t="inlineStr">
        <is>
          <t>VANSBRO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45481</v>
      </c>
      <c r="E241" s="1" t="n">
        <v>46228</v>
      </c>
      <c r="F241" t="inlineStr">
        <is>
          <t>DALARNAS LÄN</t>
        </is>
      </c>
      <c r="G241" t="inlineStr">
        <is>
          <t>VANSBRO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46228</v>
      </c>
      <c r="F242" t="inlineStr">
        <is>
          <t>DALARNAS LÄN</t>
        </is>
      </c>
      <c r="G242" t="inlineStr">
        <is>
          <t>VANSBRO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45457</v>
      </c>
      <c r="E243" s="1" t="n">
        <v>46228</v>
      </c>
      <c r="F243" t="inlineStr">
        <is>
          <t>DALARNAS LÄN</t>
        </is>
      </c>
      <c r="G243" t="inlineStr">
        <is>
          <t>VANSBRO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13062-2023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45002</v>
      </c>
      <c r="E244" s="1" t="n">
        <v>46228</v>
      </c>
      <c r="F244" t="inlineStr">
        <is>
          <t>DALARNAS LÄN</t>
        </is>
      </c>
      <c r="G244" t="inlineStr">
        <is>
          <t>VANSBRO</t>
        </is>
      </c>
      <c r="H244" t="inlineStr">
        <is>
          <t>Övriga statliga verk och myndigheter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46228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öst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46228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46228</v>
      </c>
      <c r="F247" t="inlineStr">
        <is>
          <t>DALARNAS LÄN</t>
        </is>
      </c>
      <c r="G247" t="inlineStr">
        <is>
          <t>VANSBRO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46228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46228</v>
      </c>
      <c r="F249" t="inlineStr">
        <is>
          <t>DALARNAS LÄN</t>
        </is>
      </c>
      <c r="G249" t="inlineStr">
        <is>
          <t>VANSBRO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46228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46228</v>
      </c>
      <c r="F251" t="inlineStr">
        <is>
          <t>DALARNAS LÄN</t>
        </is>
      </c>
      <c r="G251" t="inlineStr">
        <is>
          <t>VANSBRO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46228</v>
      </c>
      <c r="F252" t="inlineStr">
        <is>
          <t>DALARNAS LÄN</t>
        </is>
      </c>
      <c r="G252" t="inlineStr">
        <is>
          <t>VANSBRO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46228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62398-2021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46228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46228</v>
      </c>
      <c r="F255" t="inlineStr">
        <is>
          <t>DALARNAS LÄN</t>
        </is>
      </c>
      <c r="G255" t="inlineStr">
        <is>
          <t>VANSBRO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46228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46228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48111-2024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45589</v>
      </c>
      <c r="E258" s="1" t="n">
        <v>46228</v>
      </c>
      <c r="F258" t="inlineStr">
        <is>
          <t>DALARNAS LÄN</t>
        </is>
      </c>
      <c r="G258" t="inlineStr">
        <is>
          <t>VANSBRO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46033</v>
      </c>
      <c r="E259" s="1" t="n">
        <v>46228</v>
      </c>
      <c r="F259" t="inlineStr">
        <is>
          <t>DALARNAS LÄN</t>
        </is>
      </c>
      <c r="G259" t="inlineStr">
        <is>
          <t>VANSBRO</t>
        </is>
      </c>
      <c r="I259" t="n">
        <v>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29442-2026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46228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44960</v>
      </c>
      <c r="E261" s="1" t="n">
        <v>46228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46228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46228</v>
      </c>
      <c r="F263" t="inlineStr">
        <is>
          <t>DALARNAS LÄN</t>
        </is>
      </c>
      <c r="G263" t="inlineStr">
        <is>
          <t>VANSBRO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46037</v>
      </c>
      <c r="E264" s="1" t="n">
        <v>46228</v>
      </c>
      <c r="F264" t="inlineStr">
        <is>
          <t>DALARNAS LÄN</t>
        </is>
      </c>
      <c r="G264" t="inlineStr">
        <is>
          <t>VANSBRO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46228</v>
      </c>
      <c r="F265" t="inlineStr">
        <is>
          <t>DALARNAS LÄN</t>
        </is>
      </c>
      <c r="G265" t="inlineStr">
        <is>
          <t>VANSBRO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46203</v>
      </c>
      <c r="E266" s="1" t="n">
        <v>46228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46228</v>
      </c>
      <c r="F267" t="inlineStr">
        <is>
          <t>DALARNAS LÄN</t>
        </is>
      </c>
      <c r="G267" t="inlineStr">
        <is>
          <t>VANSBRO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46228</v>
      </c>
      <c r="F268" t="inlineStr">
        <is>
          <t>DALARNAS LÄN</t>
        </is>
      </c>
      <c r="G268" t="inlineStr">
        <is>
          <t>VANSBRO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46228</v>
      </c>
      <c r="F269" t="inlineStr">
        <is>
          <t>DALARNAS LÄN</t>
        </is>
      </c>
      <c r="G269" t="inlineStr">
        <is>
          <t>VANSBRO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46228</v>
      </c>
      <c r="F270" t="inlineStr">
        <is>
          <t>DALARNAS LÄN</t>
        </is>
      </c>
      <c r="G270" t="inlineStr">
        <is>
          <t>VANSBRO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46228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29630-2026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46228</v>
      </c>
      <c r="F272" t="inlineStr">
        <is>
          <t>DALARNAS LÄN</t>
        </is>
      </c>
      <c r="G272" t="inlineStr">
        <is>
          <t>VANSBRO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46228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46228</v>
      </c>
      <c r="F274" t="inlineStr">
        <is>
          <t>DALARNAS LÄN</t>
        </is>
      </c>
      <c r="G274" t="inlineStr">
        <is>
          <t>VANSBRO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46228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45331</v>
      </c>
      <c r="E276" s="1" t="n">
        <v>46228</v>
      </c>
      <c r="F276" t="inlineStr">
        <is>
          <t>DALARNAS LÄN</t>
        </is>
      </c>
      <c r="G276" t="inlineStr">
        <is>
          <t>VANSBRO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46228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46050</v>
      </c>
      <c r="E278" s="1" t="n">
        <v>46228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46204</v>
      </c>
      <c r="E279" s="1" t="n">
        <v>46228</v>
      </c>
      <c r="F279" t="inlineStr">
        <is>
          <t>DALARNAS LÄN</t>
        </is>
      </c>
      <c r="G279" t="inlineStr">
        <is>
          <t>VANSBRO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29687-2026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46228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öst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46228</v>
      </c>
      <c r="F281" t="inlineStr">
        <is>
          <t>DALARNAS LÄN</t>
        </is>
      </c>
      <c r="G281" t="inlineStr">
        <is>
          <t>VANSBRO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46228</v>
      </c>
      <c r="F282" t="inlineStr">
        <is>
          <t>DALARNAS LÄN</t>
        </is>
      </c>
      <c r="G282" t="inlineStr">
        <is>
          <t>VANSBRO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23752-2026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46228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46228</v>
      </c>
      <c r="F284" t="inlineStr">
        <is>
          <t>DALARNAS LÄN</t>
        </is>
      </c>
      <c r="G284" t="inlineStr">
        <is>
          <t>VANSBRO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46228</v>
      </c>
      <c r="F285" t="inlineStr">
        <is>
          <t>DALARNAS LÄN</t>
        </is>
      </c>
      <c r="G285" t="inlineStr">
        <is>
          <t>VANSBRO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46228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46228</v>
      </c>
      <c r="F287" t="inlineStr">
        <is>
          <t>DALARNAS LÄN</t>
        </is>
      </c>
      <c r="G287" t="inlineStr">
        <is>
          <t>VANSBRO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46164</v>
      </c>
      <c r="E288" s="1" t="n">
        <v>46228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46228</v>
      </c>
      <c r="F289" t="inlineStr">
        <is>
          <t>DALARNAS LÄN</t>
        </is>
      </c>
      <c r="G289" t="inlineStr">
        <is>
          <t>VANSBRO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72635-2021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44546</v>
      </c>
      <c r="E290" s="1" t="n">
        <v>46228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46228</v>
      </c>
      <c r="F291" t="inlineStr">
        <is>
          <t>DALARNAS LÄN</t>
        </is>
      </c>
      <c r="G291" t="inlineStr">
        <is>
          <t>VANSBRO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46228</v>
      </c>
      <c r="F292" t="inlineStr">
        <is>
          <t>DALARNAS LÄN</t>
        </is>
      </c>
      <c r="G292" t="inlineStr">
        <is>
          <t>VANSBRO</t>
        </is>
      </c>
      <c r="I292" t="n">
        <v>15.1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45666</v>
      </c>
      <c r="E293" s="1" t="n">
        <v>46228</v>
      </c>
      <c r="F293" t="inlineStr">
        <is>
          <t>DALARNAS LÄN</t>
        </is>
      </c>
      <c r="G293" t="inlineStr">
        <is>
          <t>VANSBRO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43658-2023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46228</v>
      </c>
      <c r="F294" t="inlineStr">
        <is>
          <t>DALARNAS LÄN</t>
        </is>
      </c>
      <c r="G294" t="inlineStr">
        <is>
          <t>VANSBRO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46228</v>
      </c>
      <c r="F295" t="inlineStr">
        <is>
          <t>DALARNAS LÄN</t>
        </is>
      </c>
      <c r="G295" t="inlineStr">
        <is>
          <t>VANSBRO</t>
        </is>
      </c>
      <c r="I295" t="n">
        <v>19.1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56269-2023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46228</v>
      </c>
      <c r="F296" t="inlineStr">
        <is>
          <t>DALARNAS LÄN</t>
        </is>
      </c>
      <c r="G296" t="inlineStr">
        <is>
          <t>VANSBRO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45639</v>
      </c>
      <c r="E297" s="1" t="n">
        <v>46228</v>
      </c>
      <c r="F297" t="inlineStr">
        <is>
          <t>DALARNAS LÄN</t>
        </is>
      </c>
      <c r="G297" t="inlineStr">
        <is>
          <t>VANSBRO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46228</v>
      </c>
      <c r="F298" t="inlineStr">
        <is>
          <t>DALARNAS LÄN</t>
        </is>
      </c>
      <c r="G298" t="inlineStr">
        <is>
          <t>VANSBRO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46228</v>
      </c>
      <c r="F299" t="inlineStr">
        <is>
          <t>DALARNAS LÄN</t>
        </is>
      </c>
      <c r="G299" t="inlineStr">
        <is>
          <t>VANSBRO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46228</v>
      </c>
      <c r="F300" t="inlineStr">
        <is>
          <t>DALARNAS LÄN</t>
        </is>
      </c>
      <c r="G300" t="inlineStr">
        <is>
          <t>VANSBRO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46228</v>
      </c>
      <c r="F301" t="inlineStr">
        <is>
          <t>DALARNAS LÄN</t>
        </is>
      </c>
      <c r="G301" t="inlineStr">
        <is>
          <t>VANSBRO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46228</v>
      </c>
      <c r="F302" t="inlineStr">
        <is>
          <t>DALARNAS LÄN</t>
        </is>
      </c>
      <c r="G302" t="inlineStr">
        <is>
          <t>VANSBRO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45644</v>
      </c>
      <c r="E303" s="1" t="n">
        <v>46228</v>
      </c>
      <c r="F303" t="inlineStr">
        <is>
          <t>DALARNAS LÄN</t>
        </is>
      </c>
      <c r="G303" t="inlineStr">
        <is>
          <t>VANSBRO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46228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46228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46082</v>
      </c>
      <c r="E306" s="1" t="n">
        <v>46228</v>
      </c>
      <c r="F306" t="inlineStr">
        <is>
          <t>DALARNAS LÄN</t>
        </is>
      </c>
      <c r="G306" t="inlineStr">
        <is>
          <t>VANSBRO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46228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46228</v>
      </c>
      <c r="F308" t="inlineStr">
        <is>
          <t>DALARNAS LÄN</t>
        </is>
      </c>
      <c r="G308" t="inlineStr">
        <is>
          <t>VANSBRO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46210</v>
      </c>
      <c r="E309" s="1" t="n">
        <v>46228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26658-2022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46228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46228</v>
      </c>
      <c r="F311" t="inlineStr">
        <is>
          <t>DALARNAS LÄN</t>
        </is>
      </c>
      <c r="G311" t="inlineStr">
        <is>
          <t>VANSBRO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46228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51396-2022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44869</v>
      </c>
      <c r="E313" s="1" t="n">
        <v>46228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46228</v>
      </c>
      <c r="F314" t="inlineStr">
        <is>
          <t>DALARNAS LÄN</t>
        </is>
      </c>
      <c r="G314" t="inlineStr">
        <is>
          <t>VANSBRO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46228</v>
      </c>
      <c r="F315" t="inlineStr">
        <is>
          <t>DALARNAS LÄN</t>
        </is>
      </c>
      <c r="G315" t="inlineStr">
        <is>
          <t>VANSBRO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44805</v>
      </c>
      <c r="E316" s="1" t="n">
        <v>46228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46228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46228</v>
      </c>
      <c r="F318" t="inlineStr">
        <is>
          <t>DALARNAS LÄN</t>
        </is>
      </c>
      <c r="G318" t="inlineStr">
        <is>
          <t>VANSBRO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13392-2026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46228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46228</v>
      </c>
      <c r="F320" t="inlineStr">
        <is>
          <t>DALARNAS LÄN</t>
        </is>
      </c>
      <c r="G320" t="inlineStr">
        <is>
          <t>VANSBRO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46228</v>
      </c>
      <c r="F321" t="inlineStr">
        <is>
          <t>DALARNAS LÄN</t>
        </is>
      </c>
      <c r="G321" t="inlineStr">
        <is>
          <t>VANSBRO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46228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46228</v>
      </c>
      <c r="F323" t="inlineStr">
        <is>
          <t>DALARNAS LÄN</t>
        </is>
      </c>
      <c r="G323" t="inlineStr">
        <is>
          <t>VANSBRO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45689</v>
      </c>
      <c r="E324" s="1" t="n">
        <v>46228</v>
      </c>
      <c r="F324" t="inlineStr">
        <is>
          <t>DALARNAS LÄN</t>
        </is>
      </c>
      <c r="G324" t="inlineStr">
        <is>
          <t>VANSBRO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46228</v>
      </c>
      <c r="F325" t="inlineStr">
        <is>
          <t>DALARNAS LÄN</t>
        </is>
      </c>
      <c r="G325" t="inlineStr">
        <is>
          <t>VANSBRO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46228</v>
      </c>
      <c r="F326" t="inlineStr">
        <is>
          <t>DALARNAS LÄN</t>
        </is>
      </c>
      <c r="G326" t="inlineStr">
        <is>
          <t>VANSBRO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46228</v>
      </c>
      <c r="F327" t="inlineStr">
        <is>
          <t>DALARNAS LÄN</t>
        </is>
      </c>
      <c r="G327" t="inlineStr">
        <is>
          <t>VANSBRO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46228</v>
      </c>
      <c r="F328" t="inlineStr">
        <is>
          <t>DALARNAS LÄN</t>
        </is>
      </c>
      <c r="G328" t="inlineStr">
        <is>
          <t>VANSBRO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46228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46228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46228</v>
      </c>
      <c r="F331" t="inlineStr">
        <is>
          <t>DALARNAS LÄN</t>
        </is>
      </c>
      <c r="G331" t="inlineStr">
        <is>
          <t>VANSBRO</t>
        </is>
      </c>
      <c r="H331" t="inlineStr">
        <is>
          <t>Övriga statliga verk och myndigheter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46228</v>
      </c>
      <c r="F332" t="inlineStr">
        <is>
          <t>DALARNAS LÄN</t>
        </is>
      </c>
      <c r="G332" t="inlineStr">
        <is>
          <t>VANSBRO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51414-2021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44461</v>
      </c>
      <c r="E333" s="1" t="n">
        <v>46228</v>
      </c>
      <c r="F333" t="inlineStr">
        <is>
          <t>DALARNAS LÄN</t>
        </is>
      </c>
      <c r="G333" t="inlineStr">
        <is>
          <t>VANSBRO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46228</v>
      </c>
      <c r="F334" t="inlineStr">
        <is>
          <t>DALARNAS LÄN</t>
        </is>
      </c>
      <c r="G334" t="inlineStr">
        <is>
          <t>VANSBRO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46228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46228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29174-2026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46202</v>
      </c>
      <c r="E337" s="1" t="n">
        <v>46228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46228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46228</v>
      </c>
      <c r="F339" t="inlineStr">
        <is>
          <t>DALARNAS LÄN</t>
        </is>
      </c>
      <c r="G339" t="inlineStr">
        <is>
          <t>VANSBRO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46228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20931-2022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44701</v>
      </c>
      <c r="E341" s="1" t="n">
        <v>46228</v>
      </c>
      <c r="F341" t="inlineStr">
        <is>
          <t>DALARNAS LÄN</t>
        </is>
      </c>
      <c r="G341" t="inlineStr">
        <is>
          <t>VANSBRO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46228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45296</v>
      </c>
      <c r="E343" s="1" t="n">
        <v>46228</v>
      </c>
      <c r="F343" t="inlineStr">
        <is>
          <t>DALARNAS LÄN</t>
        </is>
      </c>
      <c r="G343" t="inlineStr">
        <is>
          <t>VANSBRO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46228</v>
      </c>
      <c r="F344" t="inlineStr">
        <is>
          <t>DALARNAS LÄN</t>
        </is>
      </c>
      <c r="G344" t="inlineStr">
        <is>
          <t>VANSBRO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46228</v>
      </c>
      <c r="F345" t="inlineStr">
        <is>
          <t>DALARNAS LÄN</t>
        </is>
      </c>
      <c r="G345" t="inlineStr">
        <is>
          <t>VANSBRO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46228</v>
      </c>
      <c r="F346" t="inlineStr">
        <is>
          <t>DALARNAS LÄN</t>
        </is>
      </c>
      <c r="G346" t="inlineStr">
        <is>
          <t>VANSBRO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46119</v>
      </c>
      <c r="E347" s="1" t="n">
        <v>46228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46228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46228</v>
      </c>
      <c r="F349" t="inlineStr">
        <is>
          <t>DALARNAS LÄN</t>
        </is>
      </c>
      <c r="G349" t="inlineStr">
        <is>
          <t>VANSBRO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46228</v>
      </c>
      <c r="F350" t="inlineStr">
        <is>
          <t>DALARNAS LÄN</t>
        </is>
      </c>
      <c r="G350" t="inlineStr">
        <is>
          <t>VANSBRO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46228</v>
      </c>
      <c r="F351" t="inlineStr">
        <is>
          <t>DALARNAS LÄN</t>
        </is>
      </c>
      <c r="G351" t="inlineStr">
        <is>
          <t>VANSBRO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17552-2026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46228</v>
      </c>
      <c r="F352" t="inlineStr">
        <is>
          <t>DALARNAS LÄN</t>
        </is>
      </c>
      <c r="G352" t="inlineStr">
        <is>
          <t>VANSBRO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46121</v>
      </c>
      <c r="E353" s="1" t="n">
        <v>46228</v>
      </c>
      <c r="F353" t="inlineStr">
        <is>
          <t>DALARNAS LÄN</t>
        </is>
      </c>
      <c r="G353" t="inlineStr">
        <is>
          <t>VANSBRO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46228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46228</v>
      </c>
      <c r="F355" t="inlineStr">
        <is>
          <t>DALARNAS LÄN</t>
        </is>
      </c>
      <c r="G355" t="inlineStr">
        <is>
          <t>VANSBRO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46124</v>
      </c>
      <c r="E356" s="1" t="n">
        <v>46228</v>
      </c>
      <c r="F356" t="inlineStr">
        <is>
          <t>DALARNAS LÄN</t>
        </is>
      </c>
      <c r="G356" t="inlineStr">
        <is>
          <t>VANSBRO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46228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46228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46228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46228</v>
      </c>
      <c r="F360" t="inlineStr">
        <is>
          <t>DALARNAS LÄN</t>
        </is>
      </c>
      <c r="G360" t="inlineStr">
        <is>
          <t>VANSBRO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46228</v>
      </c>
      <c r="F361" t="inlineStr">
        <is>
          <t>DALARNAS LÄN</t>
        </is>
      </c>
      <c r="G361" t="inlineStr">
        <is>
          <t>VANSBRO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46228</v>
      </c>
      <c r="F362" t="inlineStr">
        <is>
          <t>DALARNAS LÄN</t>
        </is>
      </c>
      <c r="G362" t="inlineStr">
        <is>
          <t>VANSBRO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46228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46128</v>
      </c>
      <c r="E364" s="1" t="n">
        <v>46228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46228</v>
      </c>
      <c r="F365" t="inlineStr">
        <is>
          <t>DALARNAS LÄN</t>
        </is>
      </c>
      <c r="G365" t="inlineStr">
        <is>
          <t>VANSBRO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46228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46228</v>
      </c>
      <c r="F367" t="inlineStr">
        <is>
          <t>DALARNAS LÄN</t>
        </is>
      </c>
      <c r="G367" t="inlineStr">
        <is>
          <t>VANSBRO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46228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46228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46228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46228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46228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46228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46228</v>
      </c>
      <c r="F374" t="inlineStr">
        <is>
          <t>DALARNAS LÄN</t>
        </is>
      </c>
      <c r="G374" t="inlineStr">
        <is>
          <t>VANSBRO</t>
        </is>
      </c>
      <c r="H374" t="inlineStr">
        <is>
          <t>Övriga statliga verk och myndigheter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11485-2024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45372</v>
      </c>
      <c r="E375" s="1" t="n">
        <v>46228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46228</v>
      </c>
      <c r="F376" t="inlineStr">
        <is>
          <t>DALARNAS LÄN</t>
        </is>
      </c>
      <c r="G376" t="inlineStr">
        <is>
          <t>VANSBRO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45082</v>
      </c>
      <c r="E377" s="1" t="n">
        <v>46228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46228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46228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16823-2025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46228</v>
      </c>
      <c r="F380" t="inlineStr">
        <is>
          <t>DALARNAS LÄN</t>
        </is>
      </c>
      <c r="G380" t="inlineStr">
        <is>
          <t>VANSBRO</t>
        </is>
      </c>
      <c r="I380" t="n">
        <v>9.9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44673</v>
      </c>
      <c r="E381" s="1" t="n">
        <v>46228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46228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45519</v>
      </c>
      <c r="E383" s="1" t="n">
        <v>46228</v>
      </c>
      <c r="F383" t="inlineStr">
        <is>
          <t>DALARNAS LÄN</t>
        </is>
      </c>
      <c r="G383" t="inlineStr">
        <is>
          <t>VANSBRO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45222</v>
      </c>
      <c r="E384" s="1" t="n">
        <v>46228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46228</v>
      </c>
      <c r="F385" t="inlineStr">
        <is>
          <t>DALARNAS LÄN</t>
        </is>
      </c>
      <c r="G385" t="inlineStr">
        <is>
          <t>VANSBRO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46228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60031-2022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46228</v>
      </c>
      <c r="F387" t="inlineStr">
        <is>
          <t>DALARNAS LÄN</t>
        </is>
      </c>
      <c r="G387" t="inlineStr">
        <is>
          <t>VANSBRO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46228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45254</v>
      </c>
      <c r="E389" s="1" t="n">
        <v>46228</v>
      </c>
      <c r="F389" t="inlineStr">
        <is>
          <t>DALARNAS LÄN</t>
        </is>
      </c>
      <c r="G389" t="inlineStr">
        <is>
          <t>VANSBRO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46228</v>
      </c>
      <c r="F390" t="inlineStr">
        <is>
          <t>DALARNAS LÄN</t>
        </is>
      </c>
      <c r="G390" t="inlineStr">
        <is>
          <t>VANSBRO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44930</v>
      </c>
      <c r="E391" s="1" t="n">
        <v>46228</v>
      </c>
      <c r="F391" t="inlineStr">
        <is>
          <t>DALARNAS LÄN</t>
        </is>
      </c>
      <c r="G391" t="inlineStr">
        <is>
          <t>VANSBRO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45244</v>
      </c>
      <c r="E392" s="1" t="n">
        <v>46228</v>
      </c>
      <c r="F392" t="inlineStr">
        <is>
          <t>DALARNAS LÄN</t>
        </is>
      </c>
      <c r="G392" t="inlineStr">
        <is>
          <t>VANSBRO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46228</v>
      </c>
      <c r="F393" t="inlineStr">
        <is>
          <t>DALARNAS LÄN</t>
        </is>
      </c>
      <c r="G393" t="inlineStr">
        <is>
          <t>VANSBRO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46228</v>
      </c>
      <c r="F394" t="inlineStr">
        <is>
          <t>DALARNAS LÄN</t>
        </is>
      </c>
      <c r="G394" t="inlineStr">
        <is>
          <t>VANSBRO</t>
        </is>
      </c>
      <c r="H394" t="inlineStr">
        <is>
          <t>Kommuner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46228</v>
      </c>
      <c r="F395" t="inlineStr">
        <is>
          <t>DALARNAS LÄN</t>
        </is>
      </c>
      <c r="G395" t="inlineStr">
        <is>
          <t>VANSBRO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46228</v>
      </c>
      <c r="F396" t="inlineStr">
        <is>
          <t>DALARNAS LÄN</t>
        </is>
      </c>
      <c r="G396" t="inlineStr">
        <is>
          <t>VANSBRO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44931</v>
      </c>
      <c r="E397" s="1" t="n">
        <v>46228</v>
      </c>
      <c r="F397" t="inlineStr">
        <is>
          <t>DALARNAS LÄN</t>
        </is>
      </c>
      <c r="G397" t="inlineStr">
        <is>
          <t>VANSBRO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46228</v>
      </c>
      <c r="F398" t="inlineStr">
        <is>
          <t>DALARNAS LÄN</t>
        </is>
      </c>
      <c r="G398" t="inlineStr">
        <is>
          <t>VANSBRO</t>
        </is>
      </c>
      <c r="H398" t="inlineStr">
        <is>
          <t>Övriga statliga verk och myndigheter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46228</v>
      </c>
      <c r="F399" t="inlineStr">
        <is>
          <t>DALARNAS LÄN</t>
        </is>
      </c>
      <c r="G399" t="inlineStr">
        <is>
          <t>VANSBRO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46228</v>
      </c>
      <c r="F400" t="inlineStr">
        <is>
          <t>DALARNAS LÄN</t>
        </is>
      </c>
      <c r="G400" t="inlineStr">
        <is>
          <t>VANSBRO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30392-2024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46228</v>
      </c>
      <c r="F401" t="inlineStr">
        <is>
          <t>DALARNAS LÄN</t>
        </is>
      </c>
      <c r="G401" t="inlineStr">
        <is>
          <t>VANSBRO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46228</v>
      </c>
      <c r="F402" t="inlineStr">
        <is>
          <t>DALARNAS LÄN</t>
        </is>
      </c>
      <c r="G402" t="inlineStr">
        <is>
          <t>VANSBRO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46228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46228</v>
      </c>
      <c r="F404" t="inlineStr">
        <is>
          <t>DALARNAS LÄN</t>
        </is>
      </c>
      <c r="G404" t="inlineStr">
        <is>
          <t>VANSBRO</t>
        </is>
      </c>
      <c r="I404" t="n">
        <v>15.5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46228</v>
      </c>
      <c r="F405" t="inlineStr">
        <is>
          <t>DALARNAS LÄN</t>
        </is>
      </c>
      <c r="G405" t="inlineStr">
        <is>
          <t>VANSBRO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45762</v>
      </c>
      <c r="E406" s="1" t="n">
        <v>46228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61515-2022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46228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46228</v>
      </c>
      <c r="F408" t="inlineStr">
        <is>
          <t>DALARNAS LÄN</t>
        </is>
      </c>
      <c r="G408" t="inlineStr">
        <is>
          <t>VANSBRO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45215</v>
      </c>
      <c r="E409" s="1" t="n">
        <v>46228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21616-2025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45783</v>
      </c>
      <c r="E410" s="1" t="n">
        <v>46228</v>
      </c>
      <c r="F410" t="inlineStr">
        <is>
          <t>DALARNAS LÄN</t>
        </is>
      </c>
      <c r="G410" t="inlineStr">
        <is>
          <t>VANSBRO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46228</v>
      </c>
      <c r="F411" t="inlineStr">
        <is>
          <t>DALARNAS LÄN</t>
        </is>
      </c>
      <c r="G411" t="inlineStr">
        <is>
          <t>VANSBRO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45783</v>
      </c>
      <c r="E412" s="1" t="n">
        <v>46228</v>
      </c>
      <c r="F412" t="inlineStr">
        <is>
          <t>DALARNAS LÄN</t>
        </is>
      </c>
      <c r="G412" t="inlineStr">
        <is>
          <t>VANSBRO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42207-2021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44426</v>
      </c>
      <c r="E413" s="1" t="n">
        <v>46228</v>
      </c>
      <c r="F413" t="inlineStr">
        <is>
          <t>DALARNAS LÄN</t>
        </is>
      </c>
      <c r="G413" t="inlineStr">
        <is>
          <t>VANSBRO</t>
        </is>
      </c>
      <c r="I413" t="n">
        <v>25.5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45483</v>
      </c>
      <c r="E414" s="1" t="n">
        <v>46228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45492</v>
      </c>
      <c r="E415" s="1" t="n">
        <v>46228</v>
      </c>
      <c r="F415" t="inlineStr">
        <is>
          <t>DALARNAS LÄN</t>
        </is>
      </c>
      <c r="G415" t="inlineStr">
        <is>
          <t>VANSBRO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23085-2022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46228</v>
      </c>
      <c r="F416" t="inlineStr">
        <is>
          <t>DALARNAS LÄN</t>
        </is>
      </c>
      <c r="G416" t="inlineStr">
        <is>
          <t>VANSBRO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46228</v>
      </c>
      <c r="F417" t="inlineStr">
        <is>
          <t>DALARNAS LÄN</t>
        </is>
      </c>
      <c r="G417" t="inlineStr">
        <is>
          <t>VANSBRO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46228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29411-2024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45483</v>
      </c>
      <c r="E419" s="1" t="n">
        <v>46228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46228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46228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46228</v>
      </c>
      <c r="F422" t="inlineStr">
        <is>
          <t>DALARNAS LÄN</t>
        </is>
      </c>
      <c r="G422" t="inlineStr">
        <is>
          <t>VANSBRO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46228</v>
      </c>
      <c r="F423" t="inlineStr">
        <is>
          <t>DALARNAS LÄN</t>
        </is>
      </c>
      <c r="G423" t="inlineStr">
        <is>
          <t>VANSBRO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46228</v>
      </c>
      <c r="F424" t="inlineStr">
        <is>
          <t>DALARNAS LÄN</t>
        </is>
      </c>
      <c r="G424" t="inlineStr">
        <is>
          <t>VANSBRO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45811</v>
      </c>
      <c r="E425" s="1" t="n">
        <v>46228</v>
      </c>
      <c r="F425" t="inlineStr">
        <is>
          <t>DALARNAS LÄN</t>
        </is>
      </c>
      <c r="G425" t="inlineStr">
        <is>
          <t>VANSBRO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46228</v>
      </c>
      <c r="F426" t="inlineStr">
        <is>
          <t>DALARNAS LÄN</t>
        </is>
      </c>
      <c r="G426" t="inlineStr">
        <is>
          <t>VANSBRO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46228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29281-2025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46228</v>
      </c>
      <c r="F428" t="inlineStr">
        <is>
          <t>DALARNAS LÄN</t>
        </is>
      </c>
      <c r="G428" t="inlineStr">
        <is>
          <t>VANSBRO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46228</v>
      </c>
      <c r="F429" t="inlineStr">
        <is>
          <t>DALARNAS LÄN</t>
        </is>
      </c>
      <c r="G429" t="inlineStr">
        <is>
          <t>VANSBRO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46228</v>
      </c>
      <c r="F430" t="inlineStr">
        <is>
          <t>DALARNAS LÄN</t>
        </is>
      </c>
      <c r="G430" t="inlineStr">
        <is>
          <t>VANSBRO</t>
        </is>
      </c>
      <c r="I430" t="n">
        <v>27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45833</v>
      </c>
      <c r="E431" s="1" t="n">
        <v>46228</v>
      </c>
      <c r="F431" t="inlineStr">
        <is>
          <t>DALARNAS LÄN</t>
        </is>
      </c>
      <c r="G431" t="inlineStr">
        <is>
          <t>VANSBRO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46228</v>
      </c>
      <c r="F432" t="inlineStr">
        <is>
          <t>DALARNAS LÄN</t>
        </is>
      </c>
      <c r="G432" t="inlineStr">
        <is>
          <t>VANSBRO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46228</v>
      </c>
      <c r="F433" t="inlineStr">
        <is>
          <t>DALARNAS LÄN</t>
        </is>
      </c>
      <c r="G433" t="inlineStr">
        <is>
          <t>VANSBRO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33109-2025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46228</v>
      </c>
      <c r="F434" t="inlineStr">
        <is>
          <t>DALARNAS LÄN</t>
        </is>
      </c>
      <c r="G434" t="inlineStr">
        <is>
          <t>VANSBRO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46228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46228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46228</v>
      </c>
      <c r="F437" t="inlineStr">
        <is>
          <t>DALARNAS LÄN</t>
        </is>
      </c>
      <c r="G437" t="inlineStr">
        <is>
          <t>VANSBRO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46228</v>
      </c>
      <c r="F438" t="inlineStr">
        <is>
          <t>DALARNAS LÄN</t>
        </is>
      </c>
      <c r="G438" t="inlineStr">
        <is>
          <t>VANSBRO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45756</v>
      </c>
      <c r="E439" s="1" t="n">
        <v>46228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46228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16830-2025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46228</v>
      </c>
      <c r="F441" t="inlineStr">
        <is>
          <t>DALARNAS LÄN</t>
        </is>
      </c>
      <c r="G441" t="inlineStr">
        <is>
          <t>VANSBRO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45868</v>
      </c>
      <c r="E442" s="1" t="n">
        <v>46228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46228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46228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46228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46228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46228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46228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2026-07-25T01:53:35Z</dcterms:created>
  <dcterms:modified xmlns:dcterms="http://purl.org/dc/terms/" xmlns:xsi="http://www.w3.org/2001/XMLSchema-instance" xsi:type="dcterms:W3CDTF">2026-07-25T01:53:35Z</dcterms:modified>
</cp:coreProperties>
</file>