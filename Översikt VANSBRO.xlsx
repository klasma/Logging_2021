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46101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46101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46101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46101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46101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46101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46101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46101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46101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46101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46101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46101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46101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46101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46101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46101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46101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46101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16725-2024</t>
        </is>
      </c>
      <c r="B20" s="1" t="n">
        <v>45409.75594907408</v>
      </c>
      <c r="C20" s="1" t="n">
        <v>46101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 agg.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46101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46101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33005-2025</t>
        </is>
      </c>
      <c r="B23" s="1" t="n">
        <v>45840</v>
      </c>
      <c r="C23" s="1" t="n">
        <v>46101</v>
      </c>
      <c r="D23" t="inlineStr">
        <is>
          <t>DALARNAS LÄN</t>
        </is>
      </c>
      <c r="E23" t="inlineStr">
        <is>
          <t>VANSBRO</t>
        </is>
      </c>
      <c r="G23" t="n">
        <v>5.5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Kolflarnlav
Tretåig hackspett</t>
        </is>
      </c>
      <c r="S23">
        <f>HYPERLINK("https://klasma.github.io/Logging_2021/artfynd/A 33005-2025 artfynd.xlsx", "A 33005-2025")</f>
        <v/>
      </c>
      <c r="T23">
        <f>HYPERLINK("https://klasma.github.io/Logging_2021/kartor/A 33005-2025 karta.png", "A 33005-2025")</f>
        <v/>
      </c>
      <c r="U23">
        <f>HYPERLINK("https://klasma.github.io/Logging_2021/knärot/A 33005-2025 karta knärot.png", "A 33005-2025")</f>
        <v/>
      </c>
      <c r="V23">
        <f>HYPERLINK("https://klasma.github.io/Logging_2021/klagomål/A 33005-2025 FSC-klagomål.docx", "A 33005-2025")</f>
        <v/>
      </c>
      <c r="W23">
        <f>HYPERLINK("https://klasma.github.io/Logging_2021/klagomålsmail/A 33005-2025 FSC-klagomål mail.docx", "A 33005-2025")</f>
        <v/>
      </c>
      <c r="X23">
        <f>HYPERLINK("https://klasma.github.io/Logging_2021/tillsyn/A 33005-2025 tillsynsbegäran.docx", "A 33005-2025")</f>
        <v/>
      </c>
      <c r="Y23">
        <f>HYPERLINK("https://klasma.github.io/Logging_2021/tillsynsmail/A 33005-2025 tillsynsbegäran mail.docx", "A 33005-2025")</f>
        <v/>
      </c>
      <c r="Z23">
        <f>HYPERLINK("https://klasma.github.io/Logging_2021/fåglar/A 33005-2025 prioriterade fågelarter.docx", "A 33005-2025")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46101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46101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14475-2024</t>
        </is>
      </c>
      <c r="B26" s="1" t="n">
        <v>45394.56071759259</v>
      </c>
      <c r="C26" s="1" t="n">
        <v>46101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1691-2026</t>
        </is>
      </c>
      <c r="B27" s="1" t="n">
        <v>46034.58902777778</v>
      </c>
      <c r="C27" s="1" t="n">
        <v>46101</v>
      </c>
      <c r="D27" t="inlineStr">
        <is>
          <t>DALARNAS LÄN</t>
        </is>
      </c>
      <c r="E27" t="inlineStr">
        <is>
          <t>VANSBRO</t>
        </is>
      </c>
      <c r="G27" t="n">
        <v>6.3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Dropptaggsvamp</t>
        </is>
      </c>
      <c r="S27">
        <f>HYPERLINK("https://klasma.github.io/Logging_2021/artfynd/A 1691-2026 artfynd.xlsx", "A 1691-2026")</f>
        <v/>
      </c>
      <c r="T27">
        <f>HYPERLINK("https://klasma.github.io/Logging_2021/kartor/A 1691-2026 karta.png", "A 1691-2026")</f>
        <v/>
      </c>
      <c r="V27">
        <f>HYPERLINK("https://klasma.github.io/Logging_2021/klagomål/A 1691-2026 FSC-klagomål.docx", "A 1691-2026")</f>
        <v/>
      </c>
      <c r="W27">
        <f>HYPERLINK("https://klasma.github.io/Logging_2021/klagomålsmail/A 1691-2026 FSC-klagomål mail.docx", "A 1691-2026")</f>
        <v/>
      </c>
      <c r="X27">
        <f>HYPERLINK("https://klasma.github.io/Logging_2021/tillsyn/A 1691-2026 tillsynsbegäran.docx", "A 1691-2026")</f>
        <v/>
      </c>
      <c r="Y27">
        <f>HYPERLINK("https://klasma.github.io/Logging_2021/tillsynsmail/A 1691-2026 tillsynsbegäran mail.docx", "A 1691-2026")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46101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46101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46101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51579-2021</t>
        </is>
      </c>
      <c r="B31" s="1" t="n">
        <v>44462</v>
      </c>
      <c r="C31" s="1" t="n">
        <v>46101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HYPERLINK("https://klasma.github.io/Logging_2021/artfynd/A 51579-2021 artfynd.xlsx", "A 51579-2021")</f>
        <v/>
      </c>
      <c r="T31">
        <f>HYPERLINK("https://klasma.github.io/Logging_2021/kartor/A 51579-2021 karta.png", "A 51579-2021")</f>
        <v/>
      </c>
      <c r="V31">
        <f>HYPERLINK("https://klasma.github.io/Logging_2021/klagomål/A 51579-2021 FSC-klagomål.docx", "A 51579-2021")</f>
        <v/>
      </c>
      <c r="W31">
        <f>HYPERLINK("https://klasma.github.io/Logging_2021/klagomålsmail/A 51579-2021 FSC-klagomål mail.docx", "A 51579-2021")</f>
        <v/>
      </c>
      <c r="X31">
        <f>HYPERLINK("https://klasma.github.io/Logging_2021/tillsyn/A 51579-2021 tillsynsbegäran.docx", "A 51579-2021")</f>
        <v/>
      </c>
      <c r="Y31">
        <f>HYPERLINK("https://klasma.github.io/Logging_2021/tillsynsmail/A 51579-2021 tillsynsbegäran mail.docx", "A 51579-2021")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46101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52675-2025</t>
        </is>
      </c>
      <c r="B33" s="1" t="n">
        <v>45956.10560185185</v>
      </c>
      <c r="C33" s="1" t="n">
        <v>46101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HYPERLINK("https://klasma.github.io/Logging_2021/artfynd/A 52675-2025 artfynd.xlsx", "A 52675-2025")</f>
        <v/>
      </c>
      <c r="T33">
        <f>HYPERLINK("https://klasma.github.io/Logging_2021/kartor/A 52675-2025 karta.png", "A 52675-2025")</f>
        <v/>
      </c>
      <c r="V33">
        <f>HYPERLINK("https://klasma.github.io/Logging_2021/klagomål/A 52675-2025 FSC-klagomål.docx", "A 52675-2025")</f>
        <v/>
      </c>
      <c r="W33">
        <f>HYPERLINK("https://klasma.github.io/Logging_2021/klagomålsmail/A 52675-2025 FSC-klagomål mail.docx", "A 52675-2025")</f>
        <v/>
      </c>
      <c r="X33">
        <f>HYPERLINK("https://klasma.github.io/Logging_2021/tillsyn/A 52675-2025 tillsynsbegäran.docx", "A 52675-2025")</f>
        <v/>
      </c>
      <c r="Y33">
        <f>HYPERLINK("https://klasma.github.io/Logging_2021/tillsynsmail/A 52675-2025 tillsynsbegäran mail.docx", "A 52675-2025")</f>
        <v/>
      </c>
    </row>
    <row r="34" ht="15" customHeight="1">
      <c r="A34" t="inlineStr">
        <is>
          <t>A 57979-2025</t>
        </is>
      </c>
      <c r="B34" s="1" t="n">
        <v>45982.39892361111</v>
      </c>
      <c r="C34" s="1" t="n">
        <v>46101</v>
      </c>
      <c r="D34" t="inlineStr">
        <is>
          <t>DALARNAS LÄN</t>
        </is>
      </c>
      <c r="E34" t="inlineStr">
        <is>
          <t>VANSBRO</t>
        </is>
      </c>
      <c r="G34" t="n">
        <v>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Blodvaxing</t>
        </is>
      </c>
      <c r="S34">
        <f>HYPERLINK("https://klasma.github.io/Logging_2021/artfynd/A 57979-2025 artfynd.xlsx", "A 57979-2025")</f>
        <v/>
      </c>
      <c r="T34">
        <f>HYPERLINK("https://klasma.github.io/Logging_2021/kartor/A 57979-2025 karta.png", "A 57979-2025")</f>
        <v/>
      </c>
      <c r="V34">
        <f>HYPERLINK("https://klasma.github.io/Logging_2021/klagomål/A 57979-2025 FSC-klagomål.docx", "A 57979-2025")</f>
        <v/>
      </c>
      <c r="W34">
        <f>HYPERLINK("https://klasma.github.io/Logging_2021/klagomålsmail/A 57979-2025 FSC-klagomål mail.docx", "A 57979-2025")</f>
        <v/>
      </c>
      <c r="X34">
        <f>HYPERLINK("https://klasma.github.io/Logging_2021/tillsyn/A 57979-2025 tillsynsbegäran.docx", "A 57979-2025")</f>
        <v/>
      </c>
      <c r="Y34">
        <f>HYPERLINK("https://klasma.github.io/Logging_2021/tillsynsmail/A 57979-2025 tillsynsbegäran mail.docx", "A 57979-2025")</f>
        <v/>
      </c>
    </row>
    <row r="35" ht="15" customHeight="1">
      <c r="A35" t="inlineStr">
        <is>
          <t>A 57810-2023</t>
        </is>
      </c>
      <c r="B35" s="1" t="n">
        <v>45247.33710648148</v>
      </c>
      <c r="C35" s="1" t="n">
        <v>46101</v>
      </c>
      <c r="D35" t="inlineStr">
        <is>
          <t>DALARNAS LÄN</t>
        </is>
      </c>
      <c r="E35" t="inlineStr">
        <is>
          <t>VANSBRO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HYPERLINK("https://klasma.github.io/Logging_2021/artfynd/A 57810-2023 artfynd.xlsx", "A 57810-2023")</f>
        <v/>
      </c>
      <c r="T35">
        <f>HYPERLINK("https://klasma.github.io/Logging_2021/kartor/A 57810-2023 karta.png", "A 57810-2023")</f>
        <v/>
      </c>
      <c r="V35">
        <f>HYPERLINK("https://klasma.github.io/Logging_2021/klagomål/A 57810-2023 FSC-klagomål.docx", "A 57810-2023")</f>
        <v/>
      </c>
      <c r="W35">
        <f>HYPERLINK("https://klasma.github.io/Logging_2021/klagomålsmail/A 57810-2023 FSC-klagomål mail.docx", "A 57810-2023")</f>
        <v/>
      </c>
      <c r="X35">
        <f>HYPERLINK("https://klasma.github.io/Logging_2021/tillsyn/A 57810-2023 tillsynsbegäran.docx", "A 57810-2023")</f>
        <v/>
      </c>
      <c r="Y35">
        <f>HYPERLINK("https://klasma.github.io/Logging_2021/tillsynsmail/A 57810-2023 tillsynsbegäran mail.docx", "A 57810-2023")</f>
        <v/>
      </c>
      <c r="Z35">
        <f>HYPERLINK("https://klasma.github.io/Logging_2021/fåglar/A 57810-2023 prioriterade fågelarter.docx", "A 57810-2023")</f>
        <v/>
      </c>
    </row>
    <row r="36" ht="15" customHeight="1">
      <c r="A36" t="inlineStr">
        <is>
          <t>A 11477-2026</t>
        </is>
      </c>
      <c r="B36" s="1" t="n">
        <v>46083.59899305556</v>
      </c>
      <c r="C36" s="1" t="n">
        <v>46101</v>
      </c>
      <c r="D36" t="inlineStr">
        <is>
          <t>DALARNAS LÄN</t>
        </is>
      </c>
      <c r="E36" t="inlineStr">
        <is>
          <t>VANSBRO</t>
        </is>
      </c>
      <c r="G36" t="n">
        <v>14.5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Nordtagging</t>
        </is>
      </c>
      <c r="S36">
        <f>HYPERLINK("https://klasma.github.io/Logging_2021/artfynd/A 11477-2026 artfynd.xlsx", "A 11477-2026")</f>
        <v/>
      </c>
      <c r="T36">
        <f>HYPERLINK("https://klasma.github.io/Logging_2021/kartor/A 11477-2026 karta.png", "A 11477-2026")</f>
        <v/>
      </c>
      <c r="V36">
        <f>HYPERLINK("https://klasma.github.io/Logging_2021/klagomål/A 11477-2026 FSC-klagomål.docx", "A 11477-2026")</f>
        <v/>
      </c>
      <c r="W36">
        <f>HYPERLINK("https://klasma.github.io/Logging_2021/klagomålsmail/A 11477-2026 FSC-klagomål mail.docx", "A 11477-2026")</f>
        <v/>
      </c>
      <c r="X36">
        <f>HYPERLINK("https://klasma.github.io/Logging_2021/tillsyn/A 11477-2026 tillsynsbegäran.docx", "A 11477-2026")</f>
        <v/>
      </c>
      <c r="Y36">
        <f>HYPERLINK("https://klasma.github.io/Logging_2021/tillsynsmail/A 11477-2026 tillsynsbegäran mail.docx", "A 11477-2026")</f>
        <v/>
      </c>
    </row>
    <row r="37" ht="15" customHeight="1">
      <c r="A37" t="inlineStr">
        <is>
          <t>A 32917-2025</t>
        </is>
      </c>
      <c r="B37" s="1" t="n">
        <v>45839</v>
      </c>
      <c r="C37" s="1" t="n">
        <v>46101</v>
      </c>
      <c r="D37" t="inlineStr">
        <is>
          <t>DALARNAS LÄN</t>
        </is>
      </c>
      <c r="E37" t="inlineStr">
        <is>
          <t>VANSBRO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32917-2025 artfynd.xlsx", "A 32917-2025")</f>
        <v/>
      </c>
      <c r="T37">
        <f>HYPERLINK("https://klasma.github.io/Logging_2021/kartor/A 32917-2025 karta.png", "A 32917-2025")</f>
        <v/>
      </c>
      <c r="V37">
        <f>HYPERLINK("https://klasma.github.io/Logging_2021/klagomål/A 32917-2025 FSC-klagomål.docx", "A 32917-2025")</f>
        <v/>
      </c>
      <c r="W37">
        <f>HYPERLINK("https://klasma.github.io/Logging_2021/klagomålsmail/A 32917-2025 FSC-klagomål mail.docx", "A 32917-2025")</f>
        <v/>
      </c>
      <c r="X37">
        <f>HYPERLINK("https://klasma.github.io/Logging_2021/tillsyn/A 32917-2025 tillsynsbegäran.docx", "A 32917-2025")</f>
        <v/>
      </c>
      <c r="Y37">
        <f>HYPERLINK("https://klasma.github.io/Logging_2021/tillsynsmail/A 32917-2025 tillsynsbegäran mail.docx", "A 32917-2025")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46101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46101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46101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46101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46101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42055-2022</t>
        </is>
      </c>
      <c r="B43" s="1" t="n">
        <v>44830.49607638889</v>
      </c>
      <c r="C43" s="1" t="n">
        <v>46101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49022-2021</t>
        </is>
      </c>
      <c r="B44" s="1" t="n">
        <v>44453.52461805556</v>
      </c>
      <c r="C44" s="1" t="n">
        <v>46101</v>
      </c>
      <c r="D44" t="inlineStr">
        <is>
          <t>DALARNAS LÄN</t>
        </is>
      </c>
      <c r="E44" t="inlineStr">
        <is>
          <t>VANSBRO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66705-2021</t>
        </is>
      </c>
      <c r="B45" s="1" t="n">
        <v>44519</v>
      </c>
      <c r="C45" s="1" t="n">
        <v>46101</v>
      </c>
      <c r="D45" t="inlineStr">
        <is>
          <t>DALARNAS LÄN</t>
        </is>
      </c>
      <c r="E45" t="inlineStr">
        <is>
          <t>VANSBRO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46101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46101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46101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46101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46101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46101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46101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46101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46101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46101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46101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46101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46101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46101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46101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46101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46101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46101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46101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46101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46101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46101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46101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46101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46101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46101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46101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46101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46101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46101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46101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46101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46101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46101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30024-2023</t>
        </is>
      </c>
      <c r="B80" s="1" t="n">
        <v>45110</v>
      </c>
      <c r="C80" s="1" t="n">
        <v>46101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16747-2025</t>
        </is>
      </c>
      <c r="B81" s="1" t="n">
        <v>45754</v>
      </c>
      <c r="C81" s="1" t="n">
        <v>46101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11860-2024</t>
        </is>
      </c>
      <c r="B82" s="1" t="n">
        <v>45376.44659722222</v>
      </c>
      <c r="C82" s="1" t="n">
        <v>46101</v>
      </c>
      <c r="D82" t="inlineStr">
        <is>
          <t>DALARNAS LÄN</t>
        </is>
      </c>
      <c r="E82" t="inlineStr">
        <is>
          <t>VANSBRO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37970-2022</t>
        </is>
      </c>
      <c r="B83" s="1" t="n">
        <v>44811.51353009259</v>
      </c>
      <c r="C83" s="1" t="n">
        <v>46101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26658-2022</t>
        </is>
      </c>
      <c r="B84" s="1" t="n">
        <v>44739</v>
      </c>
      <c r="C84" s="1" t="n">
        <v>46101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20695-2021</t>
        </is>
      </c>
      <c r="B85" s="1" t="n">
        <v>44316.48511574074</v>
      </c>
      <c r="C85" s="1" t="n">
        <v>46101</v>
      </c>
      <c r="D85" t="inlineStr">
        <is>
          <t>DALARNAS LÄN</t>
        </is>
      </c>
      <c r="E85" t="inlineStr">
        <is>
          <t>VANSBRO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20705-2021</t>
        </is>
      </c>
      <c r="B86" s="1" t="n">
        <v>44316.49489583333</v>
      </c>
      <c r="C86" s="1" t="n">
        <v>46101</v>
      </c>
      <c r="D86" t="inlineStr">
        <is>
          <t>DALARNAS LÄN</t>
        </is>
      </c>
      <c r="E86" t="inlineStr">
        <is>
          <t>VANSBRO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10012-2024</t>
        </is>
      </c>
      <c r="B87" s="1" t="n">
        <v>45363.86148148148</v>
      </c>
      <c r="C87" s="1" t="n">
        <v>46101</v>
      </c>
      <c r="D87" t="inlineStr">
        <is>
          <t>DALARNAS LÄN</t>
        </is>
      </c>
      <c r="E87" t="inlineStr">
        <is>
          <t>VANSBRO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10013-2024</t>
        </is>
      </c>
      <c r="B88" s="1" t="n">
        <v>45363.87252314815</v>
      </c>
      <c r="C88" s="1" t="n">
        <v>46101</v>
      </c>
      <c r="D88" t="inlineStr">
        <is>
          <t>DALARNAS LÄN</t>
        </is>
      </c>
      <c r="E88" t="inlineStr">
        <is>
          <t>VANSBRO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43589-2022</t>
        </is>
      </c>
      <c r="B89" s="1" t="n">
        <v>44837</v>
      </c>
      <c r="C89" s="1" t="n">
        <v>46101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15972-2025</t>
        </is>
      </c>
      <c r="B90" s="1" t="n">
        <v>45749.55953703704</v>
      </c>
      <c r="C90" s="1" t="n">
        <v>46101</v>
      </c>
      <c r="D90" t="inlineStr">
        <is>
          <t>DALARNAS LÄN</t>
        </is>
      </c>
      <c r="E90" t="inlineStr">
        <is>
          <t>VANSBRO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2941-2024</t>
        </is>
      </c>
      <c r="B91" s="1" t="n">
        <v>45315.61822916667</v>
      </c>
      <c r="C91" s="1" t="n">
        <v>46101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35943-2024</t>
        </is>
      </c>
      <c r="B92" s="1" t="n">
        <v>45533.45655092593</v>
      </c>
      <c r="C92" s="1" t="n">
        <v>46101</v>
      </c>
      <c r="D92" t="inlineStr">
        <is>
          <t>DALARNAS LÄN</t>
        </is>
      </c>
      <c r="E92" t="inlineStr">
        <is>
          <t>VANSBRO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32383-2024</t>
        </is>
      </c>
      <c r="B93" s="1" t="n">
        <v>45512.62424768518</v>
      </c>
      <c r="C93" s="1" t="n">
        <v>46101</v>
      </c>
      <c r="D93" t="inlineStr">
        <is>
          <t>DALARNAS LÄN</t>
        </is>
      </c>
      <c r="E93" t="inlineStr">
        <is>
          <t>VANSBRO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23868-2024</t>
        </is>
      </c>
      <c r="B94" s="1" t="n">
        <v>45455.60853009259</v>
      </c>
      <c r="C94" s="1" t="n">
        <v>46101</v>
      </c>
      <c r="D94" t="inlineStr">
        <is>
          <t>DALARNAS LÄN</t>
        </is>
      </c>
      <c r="E94" t="inlineStr">
        <is>
          <t>VANSBRO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47790-2024</t>
        </is>
      </c>
      <c r="B95" s="1" t="n">
        <v>45588.595625</v>
      </c>
      <c r="C95" s="1" t="n">
        <v>46101</v>
      </c>
      <c r="D95" t="inlineStr">
        <is>
          <t>DALARNAS LÄN</t>
        </is>
      </c>
      <c r="E95" t="inlineStr">
        <is>
          <t>VANSBRO</t>
        </is>
      </c>
      <c r="F95" t="inlineStr">
        <is>
          <t>Övriga statliga verk och myndigheter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53839-2022</t>
        </is>
      </c>
      <c r="B96" s="1" t="n">
        <v>44880.59405092592</v>
      </c>
      <c r="C96" s="1" t="n">
        <v>46101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49565-2022</t>
        </is>
      </c>
      <c r="B97" s="1" t="n">
        <v>44862</v>
      </c>
      <c r="C97" s="1" t="n">
        <v>46101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72635-2021</t>
        </is>
      </c>
      <c r="B98" s="1" t="n">
        <v>44546</v>
      </c>
      <c r="C98" s="1" t="n">
        <v>46101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51601-2023</t>
        </is>
      </c>
      <c r="B99" s="1" t="n">
        <v>45222.48548611111</v>
      </c>
      <c r="C99" s="1" t="n">
        <v>46101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24384-2024</t>
        </is>
      </c>
      <c r="B100" s="1" t="n">
        <v>45457.62734953704</v>
      </c>
      <c r="C100" s="1" t="n">
        <v>46101</v>
      </c>
      <c r="D100" t="inlineStr">
        <is>
          <t>DALARNAS LÄN</t>
        </is>
      </c>
      <c r="E100" t="inlineStr">
        <is>
          <t>VANSBRO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44864-2022</t>
        </is>
      </c>
      <c r="B101" s="1" t="n">
        <v>44841</v>
      </c>
      <c r="C101" s="1" t="n">
        <v>46101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öst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21966-2024</t>
        </is>
      </c>
      <c r="B102" s="1" t="n">
        <v>45443.5037037037</v>
      </c>
      <c r="C102" s="1" t="n">
        <v>46101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12016-2024</t>
        </is>
      </c>
      <c r="B103" s="1" t="n">
        <v>45377.34850694444</v>
      </c>
      <c r="C103" s="1" t="n">
        <v>46101</v>
      </c>
      <c r="D103" t="inlineStr">
        <is>
          <t>DALARNAS LÄN</t>
        </is>
      </c>
      <c r="E103" t="inlineStr">
        <is>
          <t>VANSBRO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32820-2024</t>
        </is>
      </c>
      <c r="B104" s="1" t="n">
        <v>45516</v>
      </c>
      <c r="C104" s="1" t="n">
        <v>46101</v>
      </c>
      <c r="D104" t="inlineStr">
        <is>
          <t>DALARNAS LÄN</t>
        </is>
      </c>
      <c r="E104" t="inlineStr">
        <is>
          <t>VANSBRO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32849-2024</t>
        </is>
      </c>
      <c r="B105" s="1" t="n">
        <v>45516.63180555555</v>
      </c>
      <c r="C105" s="1" t="n">
        <v>46101</v>
      </c>
      <c r="D105" t="inlineStr">
        <is>
          <t>DALARNAS LÄN</t>
        </is>
      </c>
      <c r="E105" t="inlineStr">
        <is>
          <t>VANSBRO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41290-2023</t>
        </is>
      </c>
      <c r="B106" s="1" t="n">
        <v>45174.5846875</v>
      </c>
      <c r="C106" s="1" t="n">
        <v>46101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60848-2024</t>
        </is>
      </c>
      <c r="B107" s="1" t="n">
        <v>45644.65783564815</v>
      </c>
      <c r="C107" s="1" t="n">
        <v>46101</v>
      </c>
      <c r="D107" t="inlineStr">
        <is>
          <t>DALARNAS LÄN</t>
        </is>
      </c>
      <c r="E107" t="inlineStr">
        <is>
          <t>VANSBRO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29492-2023</t>
        </is>
      </c>
      <c r="B108" s="1" t="n">
        <v>45106.58868055556</v>
      </c>
      <c r="C108" s="1" t="n">
        <v>46101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38034-2024</t>
        </is>
      </c>
      <c r="B109" s="1" t="n">
        <v>45544.67094907408</v>
      </c>
      <c r="C109" s="1" t="n">
        <v>46101</v>
      </c>
      <c r="D109" t="inlineStr">
        <is>
          <t>DALARNAS LÄN</t>
        </is>
      </c>
      <c r="E109" t="inlineStr">
        <is>
          <t>VANSBRO</t>
        </is>
      </c>
      <c r="F109" t="inlineStr">
        <is>
          <t>Övriga statliga verk och myndigheter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63816-2021</t>
        </is>
      </c>
      <c r="B110" s="1" t="n">
        <v>44509</v>
      </c>
      <c r="C110" s="1" t="n">
        <v>46101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61653-2024</t>
        </is>
      </c>
      <c r="B111" s="1" t="n">
        <v>45646.73391203704</v>
      </c>
      <c r="C111" s="1" t="n">
        <v>46101</v>
      </c>
      <c r="D111" t="inlineStr">
        <is>
          <t>DALARNAS LÄN</t>
        </is>
      </c>
      <c r="E111" t="inlineStr">
        <is>
          <t>VANSBRO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30392-2024</t>
        </is>
      </c>
      <c r="B112" s="1" t="n">
        <v>45491.50755787037</v>
      </c>
      <c r="C112" s="1" t="n">
        <v>46101</v>
      </c>
      <c r="D112" t="inlineStr">
        <is>
          <t>DALARNAS LÄN</t>
        </is>
      </c>
      <c r="E112" t="inlineStr">
        <is>
          <t>VANSBRO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34893-2024</t>
        </is>
      </c>
      <c r="B113" s="1" t="n">
        <v>45527.36696759259</v>
      </c>
      <c r="C113" s="1" t="n">
        <v>46101</v>
      </c>
      <c r="D113" t="inlineStr">
        <is>
          <t>DALARNAS LÄN</t>
        </is>
      </c>
      <c r="E113" t="inlineStr">
        <is>
          <t>VANSBRO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7864-2024</t>
        </is>
      </c>
      <c r="B114" s="1" t="n">
        <v>45350.31621527778</v>
      </c>
      <c r="C114" s="1" t="n">
        <v>46101</v>
      </c>
      <c r="D114" t="inlineStr">
        <is>
          <t>DALARNAS LÄN</t>
        </is>
      </c>
      <c r="E114" t="inlineStr">
        <is>
          <t>VANSBRO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43139-2023</t>
        </is>
      </c>
      <c r="B115" s="1" t="n">
        <v>45183.26203703704</v>
      </c>
      <c r="C115" s="1" t="n">
        <v>46101</v>
      </c>
      <c r="D115" t="inlineStr">
        <is>
          <t>DALARNAS LÄN</t>
        </is>
      </c>
      <c r="E115" t="inlineStr">
        <is>
          <t>VANSBRO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4953-2025</t>
        </is>
      </c>
      <c r="B116" s="1" t="n">
        <v>45689.52416666667</v>
      </c>
      <c r="C116" s="1" t="n">
        <v>46101</v>
      </c>
      <c r="D116" t="inlineStr">
        <is>
          <t>DALARNAS LÄN</t>
        </is>
      </c>
      <c r="E116" t="inlineStr">
        <is>
          <t>VANSBRO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51400-2024</t>
        </is>
      </c>
      <c r="B117" s="1" t="n">
        <v>45604.42420138889</v>
      </c>
      <c r="C117" s="1" t="n">
        <v>46101</v>
      </c>
      <c r="D117" t="inlineStr">
        <is>
          <t>DALARNAS LÄN</t>
        </is>
      </c>
      <c r="E117" t="inlineStr">
        <is>
          <t>VANSBRO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20189-2025</t>
        </is>
      </c>
      <c r="B118" s="1" t="n">
        <v>45772.59885416667</v>
      </c>
      <c r="C118" s="1" t="n">
        <v>46101</v>
      </c>
      <c r="D118" t="inlineStr">
        <is>
          <t>DALARNAS LÄN</t>
        </is>
      </c>
      <c r="E118" t="inlineStr">
        <is>
          <t>VANSBRO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35782-2025</t>
        </is>
      </c>
      <c r="B119" s="1" t="n">
        <v>45860.73835648148</v>
      </c>
      <c r="C119" s="1" t="n">
        <v>46101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3167-2025</t>
        </is>
      </c>
      <c r="B120" s="1" t="n">
        <v>45679</v>
      </c>
      <c r="C120" s="1" t="n">
        <v>46101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17366-2025</t>
        </is>
      </c>
      <c r="B121" s="1" t="n">
        <v>45756.78645833334</v>
      </c>
      <c r="C121" s="1" t="n">
        <v>46101</v>
      </c>
      <c r="D121" t="inlineStr">
        <is>
          <t>DALARNAS LÄN</t>
        </is>
      </c>
      <c r="E121" t="inlineStr">
        <is>
          <t>VANSBRO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38422-2025</t>
        </is>
      </c>
      <c r="B122" s="1" t="n">
        <v>45883.63190972222</v>
      </c>
      <c r="C122" s="1" t="n">
        <v>46101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38670-2025</t>
        </is>
      </c>
      <c r="B123" s="1" t="n">
        <v>45884.62741898148</v>
      </c>
      <c r="C123" s="1" t="n">
        <v>46101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30889-2024</t>
        </is>
      </c>
      <c r="B124" s="1" t="n">
        <v>45498.40660879629</v>
      </c>
      <c r="C124" s="1" t="n">
        <v>46101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16830-2025</t>
        </is>
      </c>
      <c r="B125" s="1" t="n">
        <v>45754.65806712963</v>
      </c>
      <c r="C125" s="1" t="n">
        <v>46101</v>
      </c>
      <c r="D125" t="inlineStr">
        <is>
          <t>DALARNAS LÄN</t>
        </is>
      </c>
      <c r="E125" t="inlineStr">
        <is>
          <t>VANSBRO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6632-2023</t>
        </is>
      </c>
      <c r="B126" s="1" t="n">
        <v>44966.57096064815</v>
      </c>
      <c r="C126" s="1" t="n">
        <v>46101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27556-2025</t>
        </is>
      </c>
      <c r="B127" s="1" t="n">
        <v>45813</v>
      </c>
      <c r="C127" s="1" t="n">
        <v>46101</v>
      </c>
      <c r="D127" t="inlineStr">
        <is>
          <t>DALARNAS LÄN</t>
        </is>
      </c>
      <c r="E127" t="inlineStr">
        <is>
          <t>VANSBRO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39179-2025</t>
        </is>
      </c>
      <c r="B128" s="1" t="n">
        <v>45888.6600925926</v>
      </c>
      <c r="C128" s="1" t="n">
        <v>46101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36382-2025</t>
        </is>
      </c>
      <c r="B129" s="1" t="n">
        <v>45868.57556712963</v>
      </c>
      <c r="C129" s="1" t="n">
        <v>46101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39177-2025</t>
        </is>
      </c>
      <c r="B130" s="1" t="n">
        <v>45888.65797453704</v>
      </c>
      <c r="C130" s="1" t="n">
        <v>46101</v>
      </c>
      <c r="D130" t="inlineStr">
        <is>
          <t>DALARNAS LÄN</t>
        </is>
      </c>
      <c r="E130" t="inlineStr">
        <is>
          <t>VANSBRO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39201-2025</t>
        </is>
      </c>
      <c r="B131" s="1" t="n">
        <v>45888.71024305555</v>
      </c>
      <c r="C131" s="1" t="n">
        <v>46101</v>
      </c>
      <c r="D131" t="inlineStr">
        <is>
          <t>DALARNAS LÄN</t>
        </is>
      </c>
      <c r="E131" t="inlineStr">
        <is>
          <t>VANSBRO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24982-2023</t>
        </is>
      </c>
      <c r="B132" s="1" t="n">
        <v>45085</v>
      </c>
      <c r="C132" s="1" t="n">
        <v>46101</v>
      </c>
      <c r="D132" t="inlineStr">
        <is>
          <t>DALARNAS LÄN</t>
        </is>
      </c>
      <c r="E132" t="inlineStr">
        <is>
          <t>VANSBRO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39489-2024</t>
        </is>
      </c>
      <c r="B133" s="1" t="n">
        <v>45551.65304398148</v>
      </c>
      <c r="C133" s="1" t="n">
        <v>46101</v>
      </c>
      <c r="D133" t="inlineStr">
        <is>
          <t>DALARNAS LÄN</t>
        </is>
      </c>
      <c r="E133" t="inlineStr">
        <is>
          <t>VANSBRO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39077-2025</t>
        </is>
      </c>
      <c r="B134" s="1" t="n">
        <v>45888.47853009259</v>
      </c>
      <c r="C134" s="1" t="n">
        <v>46101</v>
      </c>
      <c r="D134" t="inlineStr">
        <is>
          <t>DALARNAS LÄN</t>
        </is>
      </c>
      <c r="E134" t="inlineStr">
        <is>
          <t>VANSBRO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35752-2024</t>
        </is>
      </c>
      <c r="B135" s="1" t="n">
        <v>45532</v>
      </c>
      <c r="C135" s="1" t="n">
        <v>46101</v>
      </c>
      <c r="D135" t="inlineStr">
        <is>
          <t>DALARNAS LÄN</t>
        </is>
      </c>
      <c r="E135" t="inlineStr">
        <is>
          <t>VANSBRO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24481-2023</t>
        </is>
      </c>
      <c r="B136" s="1" t="n">
        <v>45082</v>
      </c>
      <c r="C136" s="1" t="n">
        <v>46101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39173-2025</t>
        </is>
      </c>
      <c r="B137" s="1" t="n">
        <v>45888.65284722222</v>
      </c>
      <c r="C137" s="1" t="n">
        <v>46101</v>
      </c>
      <c r="D137" t="inlineStr">
        <is>
          <t>DALARNAS LÄN</t>
        </is>
      </c>
      <c r="E137" t="inlineStr">
        <is>
          <t>VANSBRO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20931-2022</t>
        </is>
      </c>
      <c r="B138" s="1" t="n">
        <v>44701</v>
      </c>
      <c r="C138" s="1" t="n">
        <v>46101</v>
      </c>
      <c r="D138" t="inlineStr">
        <is>
          <t>DALARNAS LÄN</t>
        </is>
      </c>
      <c r="E138" t="inlineStr">
        <is>
          <t>VANSBRO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36833-2025</t>
        </is>
      </c>
      <c r="B139" s="1" t="n">
        <v>45874</v>
      </c>
      <c r="C139" s="1" t="n">
        <v>46101</v>
      </c>
      <c r="D139" t="inlineStr">
        <is>
          <t>DALARNAS LÄN</t>
        </is>
      </c>
      <c r="E139" t="inlineStr">
        <is>
          <t>VANSBRO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12607-2025</t>
        </is>
      </c>
      <c r="B140" s="1" t="n">
        <v>45733.32369212963</v>
      </c>
      <c r="C140" s="1" t="n">
        <v>46101</v>
      </c>
      <c r="D140" t="inlineStr">
        <is>
          <t>DALARNAS LÄN</t>
        </is>
      </c>
      <c r="E140" t="inlineStr">
        <is>
          <t>VANSBRO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43570-2023</t>
        </is>
      </c>
      <c r="B141" s="1" t="n">
        <v>45184.59045138889</v>
      </c>
      <c r="C141" s="1" t="n">
        <v>46101</v>
      </c>
      <c r="D141" t="inlineStr">
        <is>
          <t>DALARNAS LÄN</t>
        </is>
      </c>
      <c r="E141" t="inlineStr">
        <is>
          <t>VANSBRO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55905-2024</t>
        </is>
      </c>
      <c r="B142" s="1" t="n">
        <v>45623.58370370371</v>
      </c>
      <c r="C142" s="1" t="n">
        <v>46101</v>
      </c>
      <c r="D142" t="inlineStr">
        <is>
          <t>DALARNAS LÄN</t>
        </is>
      </c>
      <c r="E142" t="inlineStr">
        <is>
          <t>VANSBRO</t>
        </is>
      </c>
      <c r="G142" t="n">
        <v>26.9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37285-2025</t>
        </is>
      </c>
      <c r="B143" s="1" t="n">
        <v>45876.50083333333</v>
      </c>
      <c r="C143" s="1" t="n">
        <v>46101</v>
      </c>
      <c r="D143" t="inlineStr">
        <is>
          <t>DALARNAS LÄN</t>
        </is>
      </c>
      <c r="E143" t="inlineStr">
        <is>
          <t>VANSBRO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37287-2025</t>
        </is>
      </c>
      <c r="B144" s="1" t="n">
        <v>45876.50278935185</v>
      </c>
      <c r="C144" s="1" t="n">
        <v>46101</v>
      </c>
      <c r="D144" t="inlineStr">
        <is>
          <t>DALARNAS LÄN</t>
        </is>
      </c>
      <c r="E144" t="inlineStr">
        <is>
          <t>VANSBRO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37380-2025</t>
        </is>
      </c>
      <c r="B145" s="1" t="n">
        <v>45877.37292824074</v>
      </c>
      <c r="C145" s="1" t="n">
        <v>46101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39502-2025</t>
        </is>
      </c>
      <c r="B146" s="1" t="n">
        <v>45890.4027662037</v>
      </c>
      <c r="C146" s="1" t="n">
        <v>46101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39484-2025</t>
        </is>
      </c>
      <c r="B147" s="1" t="n">
        <v>45890</v>
      </c>
      <c r="C147" s="1" t="n">
        <v>46101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39490-2025</t>
        </is>
      </c>
      <c r="B148" s="1" t="n">
        <v>45890.37231481481</v>
      </c>
      <c r="C148" s="1" t="n">
        <v>46101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18497-2024</t>
        </is>
      </c>
      <c r="B149" s="1" t="n">
        <v>45425.56932870371</v>
      </c>
      <c r="C149" s="1" t="n">
        <v>46101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16832-2025</t>
        </is>
      </c>
      <c r="B150" s="1" t="n">
        <v>45754.66079861111</v>
      </c>
      <c r="C150" s="1" t="n">
        <v>46101</v>
      </c>
      <c r="D150" t="inlineStr">
        <is>
          <t>DALARNAS LÄN</t>
        </is>
      </c>
      <c r="E150" t="inlineStr">
        <is>
          <t>VANSBRO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18829-2021</t>
        </is>
      </c>
      <c r="B151" s="1" t="n">
        <v>44307</v>
      </c>
      <c r="C151" s="1" t="n">
        <v>46101</v>
      </c>
      <c r="D151" t="inlineStr">
        <is>
          <t>DALARNAS LÄN</t>
        </is>
      </c>
      <c r="E151" t="inlineStr">
        <is>
          <t>VANSBRO</t>
        </is>
      </c>
      <c r="F151" t="inlineStr">
        <is>
          <t>Kyrkan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38144-2025</t>
        </is>
      </c>
      <c r="B152" s="1" t="n">
        <v>45882.58366898148</v>
      </c>
      <c r="C152" s="1" t="n">
        <v>46101</v>
      </c>
      <c r="D152" t="inlineStr">
        <is>
          <t>DALARNAS LÄN</t>
        </is>
      </c>
      <c r="E152" t="inlineStr">
        <is>
          <t>VANSBRO</t>
        </is>
      </c>
      <c r="G152" t="n">
        <v>11.1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20185-2025</t>
        </is>
      </c>
      <c r="B153" s="1" t="n">
        <v>45772.59590277778</v>
      </c>
      <c r="C153" s="1" t="n">
        <v>46101</v>
      </c>
      <c r="D153" t="inlineStr">
        <is>
          <t>DALARNAS LÄN</t>
        </is>
      </c>
      <c r="E153" t="inlineStr">
        <is>
          <t>VANSBRO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38171-2025</t>
        </is>
      </c>
      <c r="B154" s="1" t="n">
        <v>45882.63377314815</v>
      </c>
      <c r="C154" s="1" t="n">
        <v>46101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56385-2024</t>
        </is>
      </c>
      <c r="B155" s="1" t="n">
        <v>45625.34310185185</v>
      </c>
      <c r="C155" s="1" t="n">
        <v>46101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4954-2025</t>
        </is>
      </c>
      <c r="B156" s="1" t="n">
        <v>45689.53123842592</v>
      </c>
      <c r="C156" s="1" t="n">
        <v>46101</v>
      </c>
      <c r="D156" t="inlineStr">
        <is>
          <t>DALARNAS LÄN</t>
        </is>
      </c>
      <c r="E156" t="inlineStr">
        <is>
          <t>VANSBRO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38186-2025</t>
        </is>
      </c>
      <c r="B157" s="1" t="n">
        <v>45882.65212962963</v>
      </c>
      <c r="C157" s="1" t="n">
        <v>46101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54423-2024</t>
        </is>
      </c>
      <c r="B158" s="1" t="n">
        <v>45617.4893287037</v>
      </c>
      <c r="C158" s="1" t="n">
        <v>46101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54467-2024</t>
        </is>
      </c>
      <c r="B159" s="1" t="n">
        <v>45617.54045138889</v>
      </c>
      <c r="C159" s="1" t="n">
        <v>46101</v>
      </c>
      <c r="D159" t="inlineStr">
        <is>
          <t>DALARNAS LÄN</t>
        </is>
      </c>
      <c r="E159" t="inlineStr">
        <is>
          <t>VANSBRO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572-2024</t>
        </is>
      </c>
      <c r="B160" s="1" t="n">
        <v>45299</v>
      </c>
      <c r="C160" s="1" t="n">
        <v>46101</v>
      </c>
      <c r="D160" t="inlineStr">
        <is>
          <t>DALARNAS LÄN</t>
        </is>
      </c>
      <c r="E160" t="inlineStr">
        <is>
          <t>VANSBRO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15814-2025</t>
        </is>
      </c>
      <c r="B161" s="1" t="n">
        <v>45748.66989583334</v>
      </c>
      <c r="C161" s="1" t="n">
        <v>46101</v>
      </c>
      <c r="D161" t="inlineStr">
        <is>
          <t>DALARNAS LÄN</t>
        </is>
      </c>
      <c r="E161" t="inlineStr">
        <is>
          <t>VANSBRO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56773-2023</t>
        </is>
      </c>
      <c r="B162" s="1" t="n">
        <v>45244.41140046297</v>
      </c>
      <c r="C162" s="1" t="n">
        <v>46101</v>
      </c>
      <c r="D162" t="inlineStr">
        <is>
          <t>DALARNAS LÄN</t>
        </is>
      </c>
      <c r="E162" t="inlineStr">
        <is>
          <t>VANSBRO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40272-2025</t>
        </is>
      </c>
      <c r="B163" s="1" t="n">
        <v>45895</v>
      </c>
      <c r="C163" s="1" t="n">
        <v>46101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35780-2024</t>
        </is>
      </c>
      <c r="B164" s="1" t="n">
        <v>45532</v>
      </c>
      <c r="C164" s="1" t="n">
        <v>46101</v>
      </c>
      <c r="D164" t="inlineStr">
        <is>
          <t>DALARNAS LÄN</t>
        </is>
      </c>
      <c r="E164" t="inlineStr">
        <is>
          <t>VANSBRO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50533-2024</t>
        </is>
      </c>
      <c r="B165" s="1" t="n">
        <v>45601.56724537037</v>
      </c>
      <c r="C165" s="1" t="n">
        <v>46101</v>
      </c>
      <c r="D165" t="inlineStr">
        <is>
          <t>DALARNAS LÄN</t>
        </is>
      </c>
      <c r="E165" t="inlineStr">
        <is>
          <t>VANSBRO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40884-2025</t>
        </is>
      </c>
      <c r="B166" s="1" t="n">
        <v>45897.60113425926</v>
      </c>
      <c r="C166" s="1" t="n">
        <v>46101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28924-2024</t>
        </is>
      </c>
      <c r="B167" s="1" t="n">
        <v>45481.30422453704</v>
      </c>
      <c r="C167" s="1" t="n">
        <v>46101</v>
      </c>
      <c r="D167" t="inlineStr">
        <is>
          <t>DALARNAS LÄN</t>
        </is>
      </c>
      <c r="E167" t="inlineStr">
        <is>
          <t>VANSBRO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59142-2024</t>
        </is>
      </c>
      <c r="B168" s="1" t="n">
        <v>45637.44667824074</v>
      </c>
      <c r="C168" s="1" t="n">
        <v>46101</v>
      </c>
      <c r="D168" t="inlineStr">
        <is>
          <t>DALARNAS LÄN</t>
        </is>
      </c>
      <c r="E168" t="inlineStr">
        <is>
          <t>VANSBRO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41710-2025</t>
        </is>
      </c>
      <c r="B169" s="1" t="n">
        <v>45902.43103009259</v>
      </c>
      <c r="C169" s="1" t="n">
        <v>46101</v>
      </c>
      <c r="D169" t="inlineStr">
        <is>
          <t>DALARNAS LÄN</t>
        </is>
      </c>
      <c r="E169" t="inlineStr">
        <is>
          <t>VANSBRO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39336-2023</t>
        </is>
      </c>
      <c r="B170" s="1" t="n">
        <v>45166.59652777778</v>
      </c>
      <c r="C170" s="1" t="n">
        <v>46101</v>
      </c>
      <c r="D170" t="inlineStr">
        <is>
          <t>DALARNAS LÄN</t>
        </is>
      </c>
      <c r="E170" t="inlineStr">
        <is>
          <t>VANSBRO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41563-2025</t>
        </is>
      </c>
      <c r="B171" s="1" t="n">
        <v>45901</v>
      </c>
      <c r="C171" s="1" t="n">
        <v>46101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41785-2025</t>
        </is>
      </c>
      <c r="B172" s="1" t="n">
        <v>45902.58972222222</v>
      </c>
      <c r="C172" s="1" t="n">
        <v>46101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42209-2025</t>
        </is>
      </c>
      <c r="B173" s="1" t="n">
        <v>45904.49546296296</v>
      </c>
      <c r="C173" s="1" t="n">
        <v>46101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42117-2025</t>
        </is>
      </c>
      <c r="B174" s="1" t="n">
        <v>45904.33445601852</v>
      </c>
      <c r="C174" s="1" t="n">
        <v>46101</v>
      </c>
      <c r="D174" t="inlineStr">
        <is>
          <t>DALARNAS LÄN</t>
        </is>
      </c>
      <c r="E174" t="inlineStr">
        <is>
          <t>VANSBRO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42113-2025</t>
        </is>
      </c>
      <c r="B175" s="1" t="n">
        <v>45904.32818287037</v>
      </c>
      <c r="C175" s="1" t="n">
        <v>46101</v>
      </c>
      <c r="D175" t="inlineStr">
        <is>
          <t>DALARNAS LÄN</t>
        </is>
      </c>
      <c r="E175" t="inlineStr">
        <is>
          <t>VANSBRO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57903-2024</t>
        </is>
      </c>
      <c r="B176" s="1" t="n">
        <v>45631.48559027778</v>
      </c>
      <c r="C176" s="1" t="n">
        <v>46101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51396-2022</t>
        </is>
      </c>
      <c r="B177" s="1" t="n">
        <v>44869</v>
      </c>
      <c r="C177" s="1" t="n">
        <v>46101</v>
      </c>
      <c r="D177" t="inlineStr">
        <is>
          <t>DALARNAS LÄN</t>
        </is>
      </c>
      <c r="E177" t="inlineStr">
        <is>
          <t>VANSBRO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42810-2025</t>
        </is>
      </c>
      <c r="B178" s="1" t="n">
        <v>45908.55577546296</v>
      </c>
      <c r="C178" s="1" t="n">
        <v>46101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öst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54413-2024</t>
        </is>
      </c>
      <c r="B179" s="1" t="n">
        <v>45617.47939814815</v>
      </c>
      <c r="C179" s="1" t="n">
        <v>46101</v>
      </c>
      <c r="D179" t="inlineStr">
        <is>
          <t>DALARNAS LÄN</t>
        </is>
      </c>
      <c r="E179" t="inlineStr">
        <is>
          <t>VANSBRO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57904-2024</t>
        </is>
      </c>
      <c r="B180" s="1" t="n">
        <v>45631.48799768519</v>
      </c>
      <c r="C180" s="1" t="n">
        <v>46101</v>
      </c>
      <c r="D180" t="inlineStr">
        <is>
          <t>DALARNAS LÄN</t>
        </is>
      </c>
      <c r="E180" t="inlineStr">
        <is>
          <t>VANSBRO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46472-2024</t>
        </is>
      </c>
      <c r="B181" s="1" t="n">
        <v>45582.55339120371</v>
      </c>
      <c r="C181" s="1" t="n">
        <v>46101</v>
      </c>
      <c r="D181" t="inlineStr">
        <is>
          <t>DALARNAS LÄN</t>
        </is>
      </c>
      <c r="E181" t="inlineStr">
        <is>
          <t>VANSBRO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2147-2025</t>
        </is>
      </c>
      <c r="B182" s="1" t="n">
        <v>45672.69732638889</v>
      </c>
      <c r="C182" s="1" t="n">
        <v>46101</v>
      </c>
      <c r="D182" t="inlineStr">
        <is>
          <t>DALARNAS LÄN</t>
        </is>
      </c>
      <c r="E182" t="inlineStr">
        <is>
          <t>VANSBRO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43138-2025</t>
        </is>
      </c>
      <c r="B183" s="1" t="n">
        <v>45909.93715277778</v>
      </c>
      <c r="C183" s="1" t="n">
        <v>46101</v>
      </c>
      <c r="D183" t="inlineStr">
        <is>
          <t>DALARNAS LÄN</t>
        </is>
      </c>
      <c r="E183" t="inlineStr">
        <is>
          <t>VANSBRO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43139-2025</t>
        </is>
      </c>
      <c r="B184" s="1" t="n">
        <v>45909.94302083334</v>
      </c>
      <c r="C184" s="1" t="n">
        <v>46101</v>
      </c>
      <c r="D184" t="inlineStr">
        <is>
          <t>DALARNAS LÄN</t>
        </is>
      </c>
      <c r="E184" t="inlineStr">
        <is>
          <t>VANSBRO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43487-2025</t>
        </is>
      </c>
      <c r="B185" s="1" t="n">
        <v>45911.51048611111</v>
      </c>
      <c r="C185" s="1" t="n">
        <v>46101</v>
      </c>
      <c r="D185" t="inlineStr">
        <is>
          <t>DALARNAS LÄN</t>
        </is>
      </c>
      <c r="E185" t="inlineStr">
        <is>
          <t>VANSBRO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43819-2025</t>
        </is>
      </c>
      <c r="B186" s="1" t="n">
        <v>45912.60305555556</v>
      </c>
      <c r="C186" s="1" t="n">
        <v>46101</v>
      </c>
      <c r="D186" t="inlineStr">
        <is>
          <t>DALARNAS LÄN</t>
        </is>
      </c>
      <c r="E186" t="inlineStr">
        <is>
          <t>VANSBRO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43824-2025</t>
        </is>
      </c>
      <c r="B187" s="1" t="n">
        <v>45912</v>
      </c>
      <c r="C187" s="1" t="n">
        <v>46101</v>
      </c>
      <c r="D187" t="inlineStr">
        <is>
          <t>DALARNAS LÄN</t>
        </is>
      </c>
      <c r="E187" t="inlineStr">
        <is>
          <t>VANSBRO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27104-2024</t>
        </is>
      </c>
      <c r="B188" s="1" t="n">
        <v>45471.49597222222</v>
      </c>
      <c r="C188" s="1" t="n">
        <v>46101</v>
      </c>
      <c r="D188" t="inlineStr">
        <is>
          <t>DALARNAS LÄN</t>
        </is>
      </c>
      <c r="E188" t="inlineStr">
        <is>
          <t>VANSBRO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39974-2022</t>
        </is>
      </c>
      <c r="B189" s="1" t="n">
        <v>44820</v>
      </c>
      <c r="C189" s="1" t="n">
        <v>46101</v>
      </c>
      <c r="D189" t="inlineStr">
        <is>
          <t>DALARNAS LÄN</t>
        </is>
      </c>
      <c r="E189" t="inlineStr">
        <is>
          <t>VANSBRO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61662-2024</t>
        </is>
      </c>
      <c r="B190" s="1" t="n">
        <v>45646.85320601852</v>
      </c>
      <c r="C190" s="1" t="n">
        <v>46101</v>
      </c>
      <c r="D190" t="inlineStr">
        <is>
          <t>DALARNAS LÄN</t>
        </is>
      </c>
      <c r="E190" t="inlineStr">
        <is>
          <t>VANSBRO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61663-2024</t>
        </is>
      </c>
      <c r="B191" s="1" t="n">
        <v>45646.86575231481</v>
      </c>
      <c r="C191" s="1" t="n">
        <v>46101</v>
      </c>
      <c r="D191" t="inlineStr">
        <is>
          <t>DALARNAS LÄN</t>
        </is>
      </c>
      <c r="E191" t="inlineStr">
        <is>
          <t>VANSBRO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44238-2025</t>
        </is>
      </c>
      <c r="B192" s="1" t="n">
        <v>45915.67001157408</v>
      </c>
      <c r="C192" s="1" t="n">
        <v>46101</v>
      </c>
      <c r="D192" t="inlineStr">
        <is>
          <t>DALARNAS LÄN</t>
        </is>
      </c>
      <c r="E192" t="inlineStr">
        <is>
          <t>VANSBRO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51414-2021</t>
        </is>
      </c>
      <c r="B193" s="1" t="n">
        <v>44461</v>
      </c>
      <c r="C193" s="1" t="n">
        <v>46101</v>
      </c>
      <c r="D193" t="inlineStr">
        <is>
          <t>DALARNAS LÄN</t>
        </is>
      </c>
      <c r="E193" t="inlineStr">
        <is>
          <t>VANSBRO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52572-2023</t>
        </is>
      </c>
      <c r="B194" s="1" t="n">
        <v>45225.58869212963</v>
      </c>
      <c r="C194" s="1" t="n">
        <v>46101</v>
      </c>
      <c r="D194" t="inlineStr">
        <is>
          <t>DALARNAS LÄN</t>
        </is>
      </c>
      <c r="E194" t="inlineStr">
        <is>
          <t>VANSBRO</t>
        </is>
      </c>
      <c r="F194" t="inlineStr">
        <is>
          <t>Övriga statliga verk och myndigheter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37875-2023</t>
        </is>
      </c>
      <c r="B195" s="1" t="n">
        <v>45160.4325462963</v>
      </c>
      <c r="C195" s="1" t="n">
        <v>46101</v>
      </c>
      <c r="D195" t="inlineStr">
        <is>
          <t>DALARNAS LÄN</t>
        </is>
      </c>
      <c r="E195" t="inlineStr">
        <is>
          <t>VANSBRO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5017-2025</t>
        </is>
      </c>
      <c r="B196" s="1" t="n">
        <v>45691.39052083333</v>
      </c>
      <c r="C196" s="1" t="n">
        <v>46101</v>
      </c>
      <c r="D196" t="inlineStr">
        <is>
          <t>DALARNAS LÄN</t>
        </is>
      </c>
      <c r="E196" t="inlineStr">
        <is>
          <t>VANSBRO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5019-2025</t>
        </is>
      </c>
      <c r="B197" s="1" t="n">
        <v>45691.39211805556</v>
      </c>
      <c r="C197" s="1" t="n">
        <v>46101</v>
      </c>
      <c r="D197" t="inlineStr">
        <is>
          <t>DALARNAS LÄN</t>
        </is>
      </c>
      <c r="E197" t="inlineStr">
        <is>
          <t>VANSBRO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4680-2023</t>
        </is>
      </c>
      <c r="B198" s="1" t="n">
        <v>44957</v>
      </c>
      <c r="C198" s="1" t="n">
        <v>46101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44679-2023</t>
        </is>
      </c>
      <c r="B199" s="1" t="n">
        <v>45189.83035879629</v>
      </c>
      <c r="C199" s="1" t="n">
        <v>46101</v>
      </c>
      <c r="D199" t="inlineStr">
        <is>
          <t>DALARNAS LÄN</t>
        </is>
      </c>
      <c r="E199" t="inlineStr">
        <is>
          <t>VANSBRO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9371-2025</t>
        </is>
      </c>
      <c r="B200" s="1" t="n">
        <v>45715.32804398148</v>
      </c>
      <c r="C200" s="1" t="n">
        <v>46101</v>
      </c>
      <c r="D200" t="inlineStr">
        <is>
          <t>DALARNAS LÄN</t>
        </is>
      </c>
      <c r="E200" t="inlineStr">
        <is>
          <t>VANSBRO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61646-2024</t>
        </is>
      </c>
      <c r="B201" s="1" t="n">
        <v>45646</v>
      </c>
      <c r="C201" s="1" t="n">
        <v>46101</v>
      </c>
      <c r="D201" t="inlineStr">
        <is>
          <t>DALARNAS LÄN</t>
        </is>
      </c>
      <c r="E201" t="inlineStr">
        <is>
          <t>VANSBRO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9145-2025</t>
        </is>
      </c>
      <c r="B202" s="1" t="n">
        <v>45714.32625</v>
      </c>
      <c r="C202" s="1" t="n">
        <v>46101</v>
      </c>
      <c r="D202" t="inlineStr">
        <is>
          <t>DALARNAS LÄN</t>
        </is>
      </c>
      <c r="E202" t="inlineStr">
        <is>
          <t>VANSBRO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35288-2024</t>
        </is>
      </c>
      <c r="B203" s="1" t="n">
        <v>45530.64337962963</v>
      </c>
      <c r="C203" s="1" t="n">
        <v>46101</v>
      </c>
      <c r="D203" t="inlineStr">
        <is>
          <t>DALARNAS LÄN</t>
        </is>
      </c>
      <c r="E203" t="inlineStr">
        <is>
          <t>VANSBRO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3378-2025</t>
        </is>
      </c>
      <c r="B204" s="1" t="n">
        <v>45680.33721064815</v>
      </c>
      <c r="C204" s="1" t="n">
        <v>46101</v>
      </c>
      <c r="D204" t="inlineStr">
        <is>
          <t>DALARNAS LÄN</t>
        </is>
      </c>
      <c r="E204" t="inlineStr">
        <is>
          <t>VANSBRO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18658-2025</t>
        </is>
      </c>
      <c r="B205" s="1" t="n">
        <v>45763.58126157407</v>
      </c>
      <c r="C205" s="1" t="n">
        <v>46101</v>
      </c>
      <c r="D205" t="inlineStr">
        <is>
          <t>DALARNAS LÄN</t>
        </is>
      </c>
      <c r="E205" t="inlineStr">
        <is>
          <t>VANSBRO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18859-2025</t>
        </is>
      </c>
      <c r="B206" s="1" t="n">
        <v>45764</v>
      </c>
      <c r="C206" s="1" t="n">
        <v>46101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47833-2025</t>
        </is>
      </c>
      <c r="B207" s="1" t="n">
        <v>45932.36393518518</v>
      </c>
      <c r="C207" s="1" t="n">
        <v>46101</v>
      </c>
      <c r="D207" t="inlineStr">
        <is>
          <t>DALARNAS LÄN</t>
        </is>
      </c>
      <c r="E207" t="inlineStr">
        <is>
          <t>VANSBRO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47897-2025</t>
        </is>
      </c>
      <c r="B208" s="1" t="n">
        <v>45932.49101851852</v>
      </c>
      <c r="C208" s="1" t="n">
        <v>46101</v>
      </c>
      <c r="D208" t="inlineStr">
        <is>
          <t>DALARNAS LÄN</t>
        </is>
      </c>
      <c r="E208" t="inlineStr">
        <is>
          <t>VANSBRO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18304-2025</t>
        </is>
      </c>
      <c r="B209" s="1" t="n">
        <v>45762</v>
      </c>
      <c r="C209" s="1" t="n">
        <v>46101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48733-2025</t>
        </is>
      </c>
      <c r="B210" s="1" t="n">
        <v>45936.66438657408</v>
      </c>
      <c r="C210" s="1" t="n">
        <v>46101</v>
      </c>
      <c r="D210" t="inlineStr">
        <is>
          <t>DALARNAS LÄN</t>
        </is>
      </c>
      <c r="E210" t="inlineStr">
        <is>
          <t>VANSBRO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48109-2025</t>
        </is>
      </c>
      <c r="B211" s="1" t="n">
        <v>45933.34494212963</v>
      </c>
      <c r="C211" s="1" t="n">
        <v>46101</v>
      </c>
      <c r="D211" t="inlineStr">
        <is>
          <t>DALARNAS LÄN</t>
        </is>
      </c>
      <c r="E211" t="inlineStr">
        <is>
          <t>VANSBRO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13327-2025</t>
        </is>
      </c>
      <c r="B212" s="1" t="n">
        <v>45735.60324074074</v>
      </c>
      <c r="C212" s="1" t="n">
        <v>46101</v>
      </c>
      <c r="D212" t="inlineStr">
        <is>
          <t>DALARNAS LÄN</t>
        </is>
      </c>
      <c r="E212" t="inlineStr">
        <is>
          <t>VANSBRO</t>
        </is>
      </c>
      <c r="F212" t="inlineStr">
        <is>
          <t>Kommuner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30093-2025</t>
        </is>
      </c>
      <c r="B213" s="1" t="n">
        <v>45826</v>
      </c>
      <c r="C213" s="1" t="n">
        <v>46101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48102-2025</t>
        </is>
      </c>
      <c r="B214" s="1" t="n">
        <v>45933.33965277778</v>
      </c>
      <c r="C214" s="1" t="n">
        <v>46101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4951-2025</t>
        </is>
      </c>
      <c r="B215" s="1" t="n">
        <v>45689.46016203704</v>
      </c>
      <c r="C215" s="1" t="n">
        <v>46101</v>
      </c>
      <c r="D215" t="inlineStr">
        <is>
          <t>DALARNAS LÄN</t>
        </is>
      </c>
      <c r="E215" t="inlineStr">
        <is>
          <t>VANSBRO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4952-2025</t>
        </is>
      </c>
      <c r="B216" s="1" t="n">
        <v>45689.51372685185</v>
      </c>
      <c r="C216" s="1" t="n">
        <v>46101</v>
      </c>
      <c r="D216" t="inlineStr">
        <is>
          <t>DALARNAS LÄN</t>
        </is>
      </c>
      <c r="E216" t="inlineStr">
        <is>
          <t>VANSBRO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48840-2025</t>
        </is>
      </c>
      <c r="B217" s="1" t="n">
        <v>45937.42217592592</v>
      </c>
      <c r="C217" s="1" t="n">
        <v>46101</v>
      </c>
      <c r="D217" t="inlineStr">
        <is>
          <t>DALARNAS LÄN</t>
        </is>
      </c>
      <c r="E217" t="inlineStr">
        <is>
          <t>VANSBRO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16698-2025</t>
        </is>
      </c>
      <c r="B218" s="1" t="n">
        <v>45754</v>
      </c>
      <c r="C218" s="1" t="n">
        <v>46101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49329-2025</t>
        </is>
      </c>
      <c r="B219" s="1" t="n">
        <v>45938.57802083333</v>
      </c>
      <c r="C219" s="1" t="n">
        <v>46101</v>
      </c>
      <c r="D219" t="inlineStr">
        <is>
          <t>DALARNAS LÄN</t>
        </is>
      </c>
      <c r="E219" t="inlineStr">
        <is>
          <t>VANSBRO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49677-2025</t>
        </is>
      </c>
      <c r="B220" s="1" t="n">
        <v>45939.64640046296</v>
      </c>
      <c r="C220" s="1" t="n">
        <v>46101</v>
      </c>
      <c r="D220" t="inlineStr">
        <is>
          <t>DALARNAS LÄN</t>
        </is>
      </c>
      <c r="E220" t="inlineStr">
        <is>
          <t>VANSBRO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49679-2025</t>
        </is>
      </c>
      <c r="B221" s="1" t="n">
        <v>45939.64821759259</v>
      </c>
      <c r="C221" s="1" t="n">
        <v>46101</v>
      </c>
      <c r="D221" t="inlineStr">
        <is>
          <t>DALARNAS LÄN</t>
        </is>
      </c>
      <c r="E221" t="inlineStr">
        <is>
          <t>VANSBRO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13341-2025</t>
        </is>
      </c>
      <c r="B222" s="1" t="n">
        <v>45735.62751157407</v>
      </c>
      <c r="C222" s="1" t="n">
        <v>46101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49819-2025</t>
        </is>
      </c>
      <c r="B223" s="1" t="n">
        <v>45940.43707175926</v>
      </c>
      <c r="C223" s="1" t="n">
        <v>46101</v>
      </c>
      <c r="D223" t="inlineStr">
        <is>
          <t>DALARNAS LÄN</t>
        </is>
      </c>
      <c r="E223" t="inlineStr">
        <is>
          <t>VANSBRO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49673-2025</t>
        </is>
      </c>
      <c r="B224" s="1" t="n">
        <v>45939.64255787037</v>
      </c>
      <c r="C224" s="1" t="n">
        <v>46101</v>
      </c>
      <c r="D224" t="inlineStr">
        <is>
          <t>DALARNAS LÄN</t>
        </is>
      </c>
      <c r="E224" t="inlineStr">
        <is>
          <t>VANSBRO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49617-2025</t>
        </is>
      </c>
      <c r="B225" s="1" t="n">
        <v>45939.58782407407</v>
      </c>
      <c r="C225" s="1" t="n">
        <v>46101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8694-2023</t>
        </is>
      </c>
      <c r="B226" s="1" t="n">
        <v>44972</v>
      </c>
      <c r="C226" s="1" t="n">
        <v>46101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59736-2022</t>
        </is>
      </c>
      <c r="B227" s="1" t="n">
        <v>44908</v>
      </c>
      <c r="C227" s="1" t="n">
        <v>46101</v>
      </c>
      <c r="D227" t="inlineStr">
        <is>
          <t>DALARNAS LÄN</t>
        </is>
      </c>
      <c r="E227" t="inlineStr">
        <is>
          <t>VANSBRO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43868-2025</t>
        </is>
      </c>
      <c r="B228" s="1" t="n">
        <v>45912</v>
      </c>
      <c r="C228" s="1" t="n">
        <v>46101</v>
      </c>
      <c r="D228" t="inlineStr">
        <is>
          <t>DALARNAS LÄN</t>
        </is>
      </c>
      <c r="E228" t="inlineStr">
        <is>
          <t>VANSBRO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50622-2025</t>
        </is>
      </c>
      <c r="B229" s="1" t="n">
        <v>45945.63233796296</v>
      </c>
      <c r="C229" s="1" t="n">
        <v>46101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46165-2021</t>
        </is>
      </c>
      <c r="B230" s="1" t="n">
        <v>44442</v>
      </c>
      <c r="C230" s="1" t="n">
        <v>46101</v>
      </c>
      <c r="D230" t="inlineStr">
        <is>
          <t>DALARNAS LÄN</t>
        </is>
      </c>
      <c r="E230" t="inlineStr">
        <is>
          <t>VANSBRO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48818-2025</t>
        </is>
      </c>
      <c r="B231" s="1" t="n">
        <v>45937</v>
      </c>
      <c r="C231" s="1" t="n">
        <v>46101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37219-2024</t>
        </is>
      </c>
      <c r="B232" s="1" t="n">
        <v>45539.7515625</v>
      </c>
      <c r="C232" s="1" t="n">
        <v>46101</v>
      </c>
      <c r="D232" t="inlineStr">
        <is>
          <t>DALARNAS LÄN</t>
        </is>
      </c>
      <c r="E232" t="inlineStr">
        <is>
          <t>VANSBRO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48875-2025</t>
        </is>
      </c>
      <c r="B233" s="1" t="n">
        <v>45937</v>
      </c>
      <c r="C233" s="1" t="n">
        <v>46101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50689-2025</t>
        </is>
      </c>
      <c r="B234" s="1" t="n">
        <v>45945.83503472222</v>
      </c>
      <c r="C234" s="1" t="n">
        <v>46101</v>
      </c>
      <c r="D234" t="inlineStr">
        <is>
          <t>DALARNAS LÄN</t>
        </is>
      </c>
      <c r="E234" t="inlineStr">
        <is>
          <t>VANSBRO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50687-2025</t>
        </is>
      </c>
      <c r="B235" s="1" t="n">
        <v>45945.83003472222</v>
      </c>
      <c r="C235" s="1" t="n">
        <v>46101</v>
      </c>
      <c r="D235" t="inlineStr">
        <is>
          <t>DALARNAS LÄN</t>
        </is>
      </c>
      <c r="E235" t="inlineStr">
        <is>
          <t>VANSBRO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51202-2025</t>
        </is>
      </c>
      <c r="B236" s="1" t="n">
        <v>45947.6353125</v>
      </c>
      <c r="C236" s="1" t="n">
        <v>46101</v>
      </c>
      <c r="D236" t="inlineStr">
        <is>
          <t>DALARNAS LÄN</t>
        </is>
      </c>
      <c r="E236" t="inlineStr">
        <is>
          <t>VANSBRO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51414-2025</t>
        </is>
      </c>
      <c r="B237" s="1" t="n">
        <v>45950.50633101852</v>
      </c>
      <c r="C237" s="1" t="n">
        <v>46101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51606-2023</t>
        </is>
      </c>
      <c r="B238" s="1" t="n">
        <v>45222.49092592593</v>
      </c>
      <c r="C238" s="1" t="n">
        <v>46101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52021-2025</t>
        </is>
      </c>
      <c r="B239" s="1" t="n">
        <v>45952.60009259259</v>
      </c>
      <c r="C239" s="1" t="n">
        <v>46101</v>
      </c>
      <c r="D239" t="inlineStr">
        <is>
          <t>DALARNAS LÄN</t>
        </is>
      </c>
      <c r="E239" t="inlineStr">
        <is>
          <t>VANSBRO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51855-2025</t>
        </is>
      </c>
      <c r="B240" s="1" t="n">
        <v>45952</v>
      </c>
      <c r="C240" s="1" t="n">
        <v>46101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52442-2025</t>
        </is>
      </c>
      <c r="B241" s="1" t="n">
        <v>45954.41494212963</v>
      </c>
      <c r="C241" s="1" t="n">
        <v>46101</v>
      </c>
      <c r="D241" t="inlineStr">
        <is>
          <t>DALARNAS LÄN</t>
        </is>
      </c>
      <c r="E241" t="inlineStr">
        <is>
          <t>VANSBRO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52383-2025</t>
        </is>
      </c>
      <c r="B242" s="1" t="n">
        <v>45954.04571759259</v>
      </c>
      <c r="C242" s="1" t="n">
        <v>46101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52295-2025</t>
        </is>
      </c>
      <c r="B243" s="1" t="n">
        <v>45953.60679398148</v>
      </c>
      <c r="C243" s="1" t="n">
        <v>46101</v>
      </c>
      <c r="D243" t="inlineStr">
        <is>
          <t>DALARNAS LÄN</t>
        </is>
      </c>
      <c r="E243" t="inlineStr">
        <is>
          <t>VANSBRO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52670-2025</t>
        </is>
      </c>
      <c r="B244" s="1" t="n">
        <v>45955.96217592592</v>
      </c>
      <c r="C244" s="1" t="n">
        <v>46101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52673-2025</t>
        </is>
      </c>
      <c r="B245" s="1" t="n">
        <v>45956.04900462963</v>
      </c>
      <c r="C245" s="1" t="n">
        <v>46101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52672-2025</t>
        </is>
      </c>
      <c r="B246" s="1" t="n">
        <v>45955.9987962963</v>
      </c>
      <c r="C246" s="1" t="n">
        <v>46101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52674-2025</t>
        </is>
      </c>
      <c r="B247" s="1" t="n">
        <v>45956.09799768519</v>
      </c>
      <c r="C247" s="1" t="n">
        <v>46101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52676-2025</t>
        </is>
      </c>
      <c r="B248" s="1" t="n">
        <v>45956.11425925926</v>
      </c>
      <c r="C248" s="1" t="n">
        <v>46101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53315-2025</t>
        </is>
      </c>
      <c r="B249" s="1" t="n">
        <v>45959</v>
      </c>
      <c r="C249" s="1" t="n">
        <v>46101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5477-2023</t>
        </is>
      </c>
      <c r="B250" s="1" t="n">
        <v>44960</v>
      </c>
      <c r="C250" s="1" t="n">
        <v>46101</v>
      </c>
      <c r="D250" t="inlineStr">
        <is>
          <t>DALARNAS LÄN</t>
        </is>
      </c>
      <c r="E250" t="inlineStr">
        <is>
          <t>VANSBRO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54100-2025</t>
        </is>
      </c>
      <c r="B251" s="1" t="n">
        <v>45964.41689814815</v>
      </c>
      <c r="C251" s="1" t="n">
        <v>46101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öst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53989-2025</t>
        </is>
      </c>
      <c r="B252" s="1" t="n">
        <v>45961.57829861111</v>
      </c>
      <c r="C252" s="1" t="n">
        <v>46101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11274-2024</t>
        </is>
      </c>
      <c r="B253" s="1" t="n">
        <v>45371</v>
      </c>
      <c r="C253" s="1" t="n">
        <v>46101</v>
      </c>
      <c r="D253" t="inlineStr">
        <is>
          <t>DALARNAS LÄN</t>
        </is>
      </c>
      <c r="E253" t="inlineStr">
        <is>
          <t>VANSBRO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54579-2025</t>
        </is>
      </c>
      <c r="B254" s="1" t="n">
        <v>45965.69846064815</v>
      </c>
      <c r="C254" s="1" t="n">
        <v>46101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54342-2025</t>
        </is>
      </c>
      <c r="B255" s="1" t="n">
        <v>45965.36116898148</v>
      </c>
      <c r="C255" s="1" t="n">
        <v>46101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54736-2025</t>
        </is>
      </c>
      <c r="B256" s="1" t="n">
        <v>45966.56648148148</v>
      </c>
      <c r="C256" s="1" t="n">
        <v>46101</v>
      </c>
      <c r="D256" t="inlineStr">
        <is>
          <t>DALARNAS LÄN</t>
        </is>
      </c>
      <c r="E256" t="inlineStr">
        <is>
          <t>VANSBRO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60031-2022</t>
        </is>
      </c>
      <c r="B257" s="1" t="n">
        <v>44909</v>
      </c>
      <c r="C257" s="1" t="n">
        <v>46101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57947-2023</t>
        </is>
      </c>
      <c r="B258" s="1" t="n">
        <v>45247.5615625</v>
      </c>
      <c r="C258" s="1" t="n">
        <v>46101</v>
      </c>
      <c r="D258" t="inlineStr">
        <is>
          <t>DALARNAS LÄN</t>
        </is>
      </c>
      <c r="E258" t="inlineStr">
        <is>
          <t>VANSBRO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50808-2023</t>
        </is>
      </c>
      <c r="B259" s="1" t="n">
        <v>45217</v>
      </c>
      <c r="C259" s="1" t="n">
        <v>46101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54591-2025</t>
        </is>
      </c>
      <c r="B260" s="1" t="n">
        <v>45965.74467592593</v>
      </c>
      <c r="C260" s="1" t="n">
        <v>46101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54453-2025</t>
        </is>
      </c>
      <c r="B261" s="1" t="n">
        <v>45965</v>
      </c>
      <c r="C261" s="1" t="n">
        <v>46101</v>
      </c>
      <c r="D261" t="inlineStr">
        <is>
          <t>DALARNAS LÄN</t>
        </is>
      </c>
      <c r="E261" t="inlineStr">
        <is>
          <t>VANSBRO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54923-2025</t>
        </is>
      </c>
      <c r="B262" s="1" t="n">
        <v>45967.40354166667</v>
      </c>
      <c r="C262" s="1" t="n">
        <v>46101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33829-2024</t>
        </is>
      </c>
      <c r="B263" s="1" t="n">
        <v>45520</v>
      </c>
      <c r="C263" s="1" t="n">
        <v>46101</v>
      </c>
      <c r="D263" t="inlineStr">
        <is>
          <t>DALARNAS LÄN</t>
        </is>
      </c>
      <c r="E263" t="inlineStr">
        <is>
          <t>VANSBRO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35299-2024</t>
        </is>
      </c>
      <c r="B264" s="1" t="n">
        <v>45530.66306712963</v>
      </c>
      <c r="C264" s="1" t="n">
        <v>46101</v>
      </c>
      <c r="D264" t="inlineStr">
        <is>
          <t>DALARNAS LÄN</t>
        </is>
      </c>
      <c r="E264" t="inlineStr">
        <is>
          <t>VANSBRO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55767-2025</t>
        </is>
      </c>
      <c r="B265" s="1" t="n">
        <v>45972.61436342593</v>
      </c>
      <c r="C265" s="1" t="n">
        <v>46101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13062-2023</t>
        </is>
      </c>
      <c r="B266" s="1" t="n">
        <v>45002.38197916667</v>
      </c>
      <c r="C266" s="1" t="n">
        <v>46101</v>
      </c>
      <c r="D266" t="inlineStr">
        <is>
          <t>DALARNAS LÄN</t>
        </is>
      </c>
      <c r="E266" t="inlineStr">
        <is>
          <t>VANSBRO</t>
        </is>
      </c>
      <c r="F266" t="inlineStr">
        <is>
          <t>Övriga statliga verk och myndigheter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62622-2022</t>
        </is>
      </c>
      <c r="B267" s="1" t="n">
        <v>44925</v>
      </c>
      <c r="C267" s="1" t="n">
        <v>46101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56043-2025</t>
        </is>
      </c>
      <c r="B268" s="1" t="n">
        <v>45973.61737268518</v>
      </c>
      <c r="C268" s="1" t="n">
        <v>46101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17841-2024</t>
        </is>
      </c>
      <c r="B269" s="1" t="n">
        <v>45418</v>
      </c>
      <c r="C269" s="1" t="n">
        <v>46101</v>
      </c>
      <c r="D269" t="inlineStr">
        <is>
          <t>DALARNAS LÄN</t>
        </is>
      </c>
      <c r="E269" t="inlineStr">
        <is>
          <t>VANSBRO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56280-2025</t>
        </is>
      </c>
      <c r="B270" s="1" t="n">
        <v>45974.59010416667</v>
      </c>
      <c r="C270" s="1" t="n">
        <v>46101</v>
      </c>
      <c r="D270" t="inlineStr">
        <is>
          <t>DALARNAS LÄN</t>
        </is>
      </c>
      <c r="E270" t="inlineStr">
        <is>
          <t>VANSBRO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45567-2024</t>
        </is>
      </c>
      <c r="B271" s="1" t="n">
        <v>45579.37496527778</v>
      </c>
      <c r="C271" s="1" t="n">
        <v>46101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48923-2024</t>
        </is>
      </c>
      <c r="B272" s="1" t="n">
        <v>45594.3728125</v>
      </c>
      <c r="C272" s="1" t="n">
        <v>46101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58409-2024</t>
        </is>
      </c>
      <c r="B273" s="1" t="n">
        <v>45634.73024305556</v>
      </c>
      <c r="C273" s="1" t="n">
        <v>46101</v>
      </c>
      <c r="D273" t="inlineStr">
        <is>
          <t>DALARNAS LÄN</t>
        </is>
      </c>
      <c r="E273" t="inlineStr">
        <is>
          <t>VANSBRO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27080-2024</t>
        </is>
      </c>
      <c r="B274" s="1" t="n">
        <v>45471.47335648148</v>
      </c>
      <c r="C274" s="1" t="n">
        <v>46101</v>
      </c>
      <c r="D274" t="inlineStr">
        <is>
          <t>DALARNAS LÄN</t>
        </is>
      </c>
      <c r="E274" t="inlineStr">
        <is>
          <t>VANSBRO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57255-2025</t>
        </is>
      </c>
      <c r="B275" s="1" t="n">
        <v>45979</v>
      </c>
      <c r="C275" s="1" t="n">
        <v>46101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16826-2025</t>
        </is>
      </c>
      <c r="B276" s="1" t="n">
        <v>45754.65130787037</v>
      </c>
      <c r="C276" s="1" t="n">
        <v>46101</v>
      </c>
      <c r="D276" t="inlineStr">
        <is>
          <t>DALARNAS LÄN</t>
        </is>
      </c>
      <c r="E276" t="inlineStr">
        <is>
          <t>VANSBRO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53828-2021</t>
        </is>
      </c>
      <c r="B277" s="1" t="n">
        <v>44469.61916666666</v>
      </c>
      <c r="C277" s="1" t="n">
        <v>46101</v>
      </c>
      <c r="D277" t="inlineStr">
        <is>
          <t>DALARNAS LÄN</t>
        </is>
      </c>
      <c r="E277" t="inlineStr">
        <is>
          <t>VANSBRO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59856-2024</t>
        </is>
      </c>
      <c r="B278" s="1" t="n">
        <v>45639.71756944444</v>
      </c>
      <c r="C278" s="1" t="n">
        <v>46101</v>
      </c>
      <c r="D278" t="inlineStr">
        <is>
          <t>DALARNAS LÄN</t>
        </is>
      </c>
      <c r="E278" t="inlineStr">
        <is>
          <t>VANSBRO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57863-2025</t>
        </is>
      </c>
      <c r="B279" s="1" t="n">
        <v>45981.64387731482</v>
      </c>
      <c r="C279" s="1" t="n">
        <v>46101</v>
      </c>
      <c r="D279" t="inlineStr">
        <is>
          <t>DALARNAS LÄN</t>
        </is>
      </c>
      <c r="E279" t="inlineStr">
        <is>
          <t>VANSBRO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57867-2025</t>
        </is>
      </c>
      <c r="B280" s="1" t="n">
        <v>45981.65017361111</v>
      </c>
      <c r="C280" s="1" t="n">
        <v>46101</v>
      </c>
      <c r="D280" t="inlineStr">
        <is>
          <t>DALARNAS LÄN</t>
        </is>
      </c>
      <c r="E280" t="inlineStr">
        <is>
          <t>VANSBRO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57716-2025</t>
        </is>
      </c>
      <c r="B281" s="1" t="n">
        <v>45981.48138888889</v>
      </c>
      <c r="C281" s="1" t="n">
        <v>46101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21973-2024</t>
        </is>
      </c>
      <c r="B282" s="1" t="n">
        <v>45443.52902777777</v>
      </c>
      <c r="C282" s="1" t="n">
        <v>46101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58733-2025</t>
        </is>
      </c>
      <c r="B283" s="1" t="n">
        <v>45986.62628472222</v>
      </c>
      <c r="C283" s="1" t="n">
        <v>46101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58483-2025</t>
        </is>
      </c>
      <c r="B284" s="1" t="n">
        <v>45985.65357638889</v>
      </c>
      <c r="C284" s="1" t="n">
        <v>46101</v>
      </c>
      <c r="D284" t="inlineStr">
        <is>
          <t>DALARNAS LÄN</t>
        </is>
      </c>
      <c r="E284" t="inlineStr">
        <is>
          <t>VANSBRO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59153-2025</t>
        </is>
      </c>
      <c r="B285" s="1" t="n">
        <v>45988.53334490741</v>
      </c>
      <c r="C285" s="1" t="n">
        <v>46101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59018-2025</t>
        </is>
      </c>
      <c r="B286" s="1" t="n">
        <v>45988</v>
      </c>
      <c r="C286" s="1" t="n">
        <v>46101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59204-2025</t>
        </is>
      </c>
      <c r="B287" s="1" t="n">
        <v>45988.6047800926</v>
      </c>
      <c r="C287" s="1" t="n">
        <v>46101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58874-2025</t>
        </is>
      </c>
      <c r="B288" s="1" t="n">
        <v>45987.46614583334</v>
      </c>
      <c r="C288" s="1" t="n">
        <v>46101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59148-2025</t>
        </is>
      </c>
      <c r="B289" s="1" t="n">
        <v>45988.52559027778</v>
      </c>
      <c r="C289" s="1" t="n">
        <v>46101</v>
      </c>
      <c r="D289" t="inlineStr">
        <is>
          <t>DALARNAS LÄN</t>
        </is>
      </c>
      <c r="E289" t="inlineStr">
        <is>
          <t>VANSBRO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5386-2024</t>
        </is>
      </c>
      <c r="B290" s="1" t="n">
        <v>45331</v>
      </c>
      <c r="C290" s="1" t="n">
        <v>46101</v>
      </c>
      <c r="D290" t="inlineStr">
        <is>
          <t>DALARNAS LÄN</t>
        </is>
      </c>
      <c r="E290" t="inlineStr">
        <is>
          <t>VANSBRO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44990-2024</t>
        </is>
      </c>
      <c r="B291" s="1" t="n">
        <v>45575.47936342593</v>
      </c>
      <c r="C291" s="1" t="n">
        <v>46101</v>
      </c>
      <c r="D291" t="inlineStr">
        <is>
          <t>DALARNAS LÄN</t>
        </is>
      </c>
      <c r="E291" t="inlineStr">
        <is>
          <t>VANSBRO</t>
        </is>
      </c>
      <c r="G291" t="n">
        <v>13.9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60145-2025</t>
        </is>
      </c>
      <c r="B292" s="1" t="n">
        <v>45994.38174768518</v>
      </c>
      <c r="C292" s="1" t="n">
        <v>46101</v>
      </c>
      <c r="D292" t="inlineStr">
        <is>
          <t>DALARNAS LÄN</t>
        </is>
      </c>
      <c r="E292" t="inlineStr">
        <is>
          <t>VANSBRO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59996-2025</t>
        </is>
      </c>
      <c r="B293" s="1" t="n">
        <v>45993.57144675926</v>
      </c>
      <c r="C293" s="1" t="n">
        <v>46101</v>
      </c>
      <c r="D293" t="inlineStr">
        <is>
          <t>DALARNAS LÄN</t>
        </is>
      </c>
      <c r="E293" t="inlineStr">
        <is>
          <t>VANSBRO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60229-2025</t>
        </is>
      </c>
      <c r="B294" s="1" t="n">
        <v>45994.56637731481</v>
      </c>
      <c r="C294" s="1" t="n">
        <v>46101</v>
      </c>
      <c r="D294" t="inlineStr">
        <is>
          <t>DALARNAS LÄN</t>
        </is>
      </c>
      <c r="E294" t="inlineStr">
        <is>
          <t>VANSBRO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60009-2025</t>
        </is>
      </c>
      <c r="B295" s="1" t="n">
        <v>45993.59385416667</v>
      </c>
      <c r="C295" s="1" t="n">
        <v>46101</v>
      </c>
      <c r="D295" t="inlineStr">
        <is>
          <t>DALARNAS LÄN</t>
        </is>
      </c>
      <c r="E295" t="inlineStr">
        <is>
          <t>VANSBRO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5420-2024</t>
        </is>
      </c>
      <c r="B296" s="1" t="n">
        <v>45331</v>
      </c>
      <c r="C296" s="1" t="n">
        <v>46101</v>
      </c>
      <c r="D296" t="inlineStr">
        <is>
          <t>DALARNAS LÄN</t>
        </is>
      </c>
      <c r="E296" t="inlineStr">
        <is>
          <t>VANSBRO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60477-2025</t>
        </is>
      </c>
      <c r="B297" s="1" t="n">
        <v>45995.58725694445</v>
      </c>
      <c r="C297" s="1" t="n">
        <v>46101</v>
      </c>
      <c r="D297" t="inlineStr">
        <is>
          <t>DALARNAS LÄN</t>
        </is>
      </c>
      <c r="E297" t="inlineStr">
        <is>
          <t>VANSBRO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60618-2025</t>
        </is>
      </c>
      <c r="B298" s="1" t="n">
        <v>45996.38019675926</v>
      </c>
      <c r="C298" s="1" t="n">
        <v>46101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50258-2024</t>
        </is>
      </c>
      <c r="B299" s="1" t="n">
        <v>45600.58436342593</v>
      </c>
      <c r="C299" s="1" t="n">
        <v>46101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45.8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61940-2024</t>
        </is>
      </c>
      <c r="B300" s="1" t="n">
        <v>45653</v>
      </c>
      <c r="C300" s="1" t="n">
        <v>46101</v>
      </c>
      <c r="D300" t="inlineStr">
        <is>
          <t>DALARNAS LÄN</t>
        </is>
      </c>
      <c r="E300" t="inlineStr">
        <is>
          <t>VANSBRO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51140-2024</t>
        </is>
      </c>
      <c r="B301" s="1" t="n">
        <v>45603.54407407407</v>
      </c>
      <c r="C301" s="1" t="n">
        <v>46101</v>
      </c>
      <c r="D301" t="inlineStr">
        <is>
          <t>DALARNAS LÄN</t>
        </is>
      </c>
      <c r="E301" t="inlineStr">
        <is>
          <t>VANSBRO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61598-2025</t>
        </is>
      </c>
      <c r="B302" s="1" t="n">
        <v>46002.35988425926</v>
      </c>
      <c r="C302" s="1" t="n">
        <v>46101</v>
      </c>
      <c r="D302" t="inlineStr">
        <is>
          <t>DALARNAS LÄN</t>
        </is>
      </c>
      <c r="E302" t="inlineStr">
        <is>
          <t>VANSBRO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2795-2025</t>
        </is>
      </c>
      <c r="B303" s="1" t="n">
        <v>45677.57335648148</v>
      </c>
      <c r="C303" s="1" t="n">
        <v>46101</v>
      </c>
      <c r="D303" t="inlineStr">
        <is>
          <t>DALARNAS LÄN</t>
        </is>
      </c>
      <c r="E303" t="inlineStr">
        <is>
          <t>VANSBRO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61397-2025</t>
        </is>
      </c>
      <c r="B304" s="1" t="n">
        <v>46001.47554398148</v>
      </c>
      <c r="C304" s="1" t="n">
        <v>46101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23899-2023</t>
        </is>
      </c>
      <c r="B305" s="1" t="n">
        <v>45078</v>
      </c>
      <c r="C305" s="1" t="n">
        <v>46101</v>
      </c>
      <c r="D305" t="inlineStr">
        <is>
          <t>DALARNAS LÄN</t>
        </is>
      </c>
      <c r="E305" t="inlineStr">
        <is>
          <t>VANSBRO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61653-2025</t>
        </is>
      </c>
      <c r="B306" s="1" t="n">
        <v>46002.4481712963</v>
      </c>
      <c r="C306" s="1" t="n">
        <v>46101</v>
      </c>
      <c r="D306" t="inlineStr">
        <is>
          <t>DALARNAS LÄN</t>
        </is>
      </c>
      <c r="E306" t="inlineStr">
        <is>
          <t>VANSBRO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11485-2024</t>
        </is>
      </c>
      <c r="B307" s="1" t="n">
        <v>45372</v>
      </c>
      <c r="C307" s="1" t="n">
        <v>46101</v>
      </c>
      <c r="D307" t="inlineStr">
        <is>
          <t>DALARNAS LÄN</t>
        </is>
      </c>
      <c r="E307" t="inlineStr">
        <is>
          <t>VANSBRO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60481-2024</t>
        </is>
      </c>
      <c r="B308" s="1" t="n">
        <v>45643.63615740741</v>
      </c>
      <c r="C308" s="1" t="n">
        <v>46101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36855-2022</t>
        </is>
      </c>
      <c r="B309" s="1" t="n">
        <v>44805</v>
      </c>
      <c r="C309" s="1" t="n">
        <v>46101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45608-2023</t>
        </is>
      </c>
      <c r="B310" s="1" t="n">
        <v>45194.64940972222</v>
      </c>
      <c r="C310" s="1" t="n">
        <v>46101</v>
      </c>
      <c r="D310" t="inlineStr">
        <is>
          <t>DALARNAS LÄN</t>
        </is>
      </c>
      <c r="E310" t="inlineStr">
        <is>
          <t>VANSBRO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13639-2022</t>
        </is>
      </c>
      <c r="B311" s="1" t="n">
        <v>44648.63498842593</v>
      </c>
      <c r="C311" s="1" t="n">
        <v>46101</v>
      </c>
      <c r="D311" t="inlineStr">
        <is>
          <t>DALARNAS LÄN</t>
        </is>
      </c>
      <c r="E311" t="inlineStr">
        <is>
          <t>VANSBRO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62953-2025</t>
        </is>
      </c>
      <c r="B312" s="1" t="n">
        <v>46009.45252314815</v>
      </c>
      <c r="C312" s="1" t="n">
        <v>46101</v>
      </c>
      <c r="D312" t="inlineStr">
        <is>
          <t>DALARNAS LÄN</t>
        </is>
      </c>
      <c r="E312" t="inlineStr">
        <is>
          <t>VANSBRO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921-2025</t>
        </is>
      </c>
      <c r="B313" s="1" t="n">
        <v>45665</v>
      </c>
      <c r="C313" s="1" t="n">
        <v>46101</v>
      </c>
      <c r="D313" t="inlineStr">
        <is>
          <t>DALARNAS LÄN</t>
        </is>
      </c>
      <c r="E313" t="inlineStr">
        <is>
          <t>VANSBRO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18306-2025</t>
        </is>
      </c>
      <c r="B314" s="1" t="n">
        <v>45762</v>
      </c>
      <c r="C314" s="1" t="n">
        <v>46101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56988-2023</t>
        </is>
      </c>
      <c r="B315" s="1" t="n">
        <v>45244.66481481482</v>
      </c>
      <c r="C315" s="1" t="n">
        <v>46101</v>
      </c>
      <c r="D315" t="inlineStr">
        <is>
          <t>DALARNAS LÄN</t>
        </is>
      </c>
      <c r="E315" t="inlineStr">
        <is>
          <t>VANSBRO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35699-2023</t>
        </is>
      </c>
      <c r="B316" s="1" t="n">
        <v>45147.65657407408</v>
      </c>
      <c r="C316" s="1" t="n">
        <v>46101</v>
      </c>
      <c r="D316" t="inlineStr">
        <is>
          <t>DALARNAS LÄN</t>
        </is>
      </c>
      <c r="E316" t="inlineStr">
        <is>
          <t>VANSBRO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7510-2026</t>
        </is>
      </c>
      <c r="B317" s="1" t="n">
        <v>46059.58263888889</v>
      </c>
      <c r="C317" s="1" t="n">
        <v>46101</v>
      </c>
      <c r="D317" t="inlineStr">
        <is>
          <t>DALARNAS LÄN</t>
        </is>
      </c>
      <c r="E317" t="inlineStr">
        <is>
          <t>VANSBRO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7779-2026</t>
        </is>
      </c>
      <c r="B318" s="1" t="n">
        <v>46062.57390046296</v>
      </c>
      <c r="C318" s="1" t="n">
        <v>46101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6643-2025</t>
        </is>
      </c>
      <c r="B319" s="1" t="n">
        <v>45700.38591435185</v>
      </c>
      <c r="C319" s="1" t="n">
        <v>46101</v>
      </c>
      <c r="D319" t="inlineStr">
        <is>
          <t>DALARNAS LÄN</t>
        </is>
      </c>
      <c r="E319" t="inlineStr">
        <is>
          <t>VANSBRO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64072-2025</t>
        </is>
      </c>
      <c r="B320" s="1" t="n">
        <v>46021</v>
      </c>
      <c r="C320" s="1" t="n">
        <v>46101</v>
      </c>
      <c r="D320" t="inlineStr">
        <is>
          <t>DALARNAS LÄN</t>
        </is>
      </c>
      <c r="E320" t="inlineStr">
        <is>
          <t>VANSBRO</t>
        </is>
      </c>
      <c r="G320" t="n">
        <v>19.1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8103-2026</t>
        </is>
      </c>
      <c r="B321" s="1" t="n">
        <v>46063.73574074074</v>
      </c>
      <c r="C321" s="1" t="n">
        <v>46101</v>
      </c>
      <c r="D321" t="inlineStr">
        <is>
          <t>DALARNAS LÄN</t>
        </is>
      </c>
      <c r="E321" t="inlineStr">
        <is>
          <t>VANSBRO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24827-2022</t>
        </is>
      </c>
      <c r="B322" s="1" t="n">
        <v>44728.4549537037</v>
      </c>
      <c r="C322" s="1" t="n">
        <v>46101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öst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24839-2022</t>
        </is>
      </c>
      <c r="B323" s="1" t="n">
        <v>44728</v>
      </c>
      <c r="C323" s="1" t="n">
        <v>46101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64071-2025</t>
        </is>
      </c>
      <c r="B324" s="1" t="n">
        <v>46021</v>
      </c>
      <c r="C324" s="1" t="n">
        <v>46101</v>
      </c>
      <c r="D324" t="inlineStr">
        <is>
          <t>DALARNAS LÄN</t>
        </is>
      </c>
      <c r="E324" t="inlineStr">
        <is>
          <t>VANSBRO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43254-2023</t>
        </is>
      </c>
      <c r="B325" s="1" t="n">
        <v>45183.49590277778</v>
      </c>
      <c r="C325" s="1" t="n">
        <v>46101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43258-2023</t>
        </is>
      </c>
      <c r="B326" s="1" t="n">
        <v>45183.49864583334</v>
      </c>
      <c r="C326" s="1" t="n">
        <v>46101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3258-2026</t>
        </is>
      </c>
      <c r="B327" s="1" t="n">
        <v>46041</v>
      </c>
      <c r="C327" s="1" t="n">
        <v>46101</v>
      </c>
      <c r="D327" t="inlineStr">
        <is>
          <t>DALARNAS LÄN</t>
        </is>
      </c>
      <c r="E327" t="inlineStr">
        <is>
          <t>VANSBRO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17628-2024</t>
        </is>
      </c>
      <c r="B328" s="1" t="n">
        <v>45418.31195601852</v>
      </c>
      <c r="C328" s="1" t="n">
        <v>46101</v>
      </c>
      <c r="D328" t="inlineStr">
        <is>
          <t>DALARNAS LÄN</t>
        </is>
      </c>
      <c r="E328" t="inlineStr">
        <is>
          <t>VANSBRO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392-2026</t>
        </is>
      </c>
      <c r="B329" s="1" t="n">
        <v>46028.45001157407</v>
      </c>
      <c r="C329" s="1" t="n">
        <v>46101</v>
      </c>
      <c r="D329" t="inlineStr">
        <is>
          <t>DALARNAS LÄN</t>
        </is>
      </c>
      <c r="E329" t="inlineStr">
        <is>
          <t>VANSBRO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56269-2023</t>
        </is>
      </c>
      <c r="B330" s="1" t="n">
        <v>45240.98564814815</v>
      </c>
      <c r="C330" s="1" t="n">
        <v>46101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823-2025</t>
        </is>
      </c>
      <c r="B331" s="1" t="n">
        <v>45665.56862268518</v>
      </c>
      <c r="C331" s="1" t="n">
        <v>46101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446-2026</t>
        </is>
      </c>
      <c r="B332" s="1" t="n">
        <v>46029</v>
      </c>
      <c r="C332" s="1" t="n">
        <v>46101</v>
      </c>
      <c r="D332" t="inlineStr">
        <is>
          <t>DALARNAS LÄN</t>
        </is>
      </c>
      <c r="E332" t="inlineStr">
        <is>
          <t>VANSBRO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25496-2024</t>
        </is>
      </c>
      <c r="B333" s="1" t="n">
        <v>45463.47873842593</v>
      </c>
      <c r="C333" s="1" t="n">
        <v>46101</v>
      </c>
      <c r="D333" t="inlineStr">
        <is>
          <t>DALARNAS LÄN</t>
        </is>
      </c>
      <c r="E333" t="inlineStr">
        <is>
          <t>VANSBRO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9417-2026</t>
        </is>
      </c>
      <c r="B334" s="1" t="n">
        <v>46071.43306712963</v>
      </c>
      <c r="C334" s="1" t="n">
        <v>46101</v>
      </c>
      <c r="D334" t="inlineStr">
        <is>
          <t>DALARNAS LÄN</t>
        </is>
      </c>
      <c r="E334" t="inlineStr">
        <is>
          <t>VANSBRO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40290-2023</t>
        </is>
      </c>
      <c r="B335" s="1" t="n">
        <v>45169</v>
      </c>
      <c r="C335" s="1" t="n">
        <v>46101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43658-2023</t>
        </is>
      </c>
      <c r="B336" s="1" t="n">
        <v>45187.34733796296</v>
      </c>
      <c r="C336" s="1" t="n">
        <v>46101</v>
      </c>
      <c r="D336" t="inlineStr">
        <is>
          <t>DALARNAS LÄN</t>
        </is>
      </c>
      <c r="E336" t="inlineStr">
        <is>
          <t>VANSBRO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2419-2026</t>
        </is>
      </c>
      <c r="B337" s="1" t="n">
        <v>46034</v>
      </c>
      <c r="C337" s="1" t="n">
        <v>46101</v>
      </c>
      <c r="D337" t="inlineStr">
        <is>
          <t>DALARNAS LÄN</t>
        </is>
      </c>
      <c r="E337" t="inlineStr">
        <is>
          <t>VANSBRO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50741-2022</t>
        </is>
      </c>
      <c r="B338" s="1" t="n">
        <v>44867.38975694445</v>
      </c>
      <c r="C338" s="1" t="n">
        <v>46101</v>
      </c>
      <c r="D338" t="inlineStr">
        <is>
          <t>DALARNAS LÄN</t>
        </is>
      </c>
      <c r="E338" t="inlineStr">
        <is>
          <t>VANSBRO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1694-2026</t>
        </is>
      </c>
      <c r="B339" s="1" t="n">
        <v>46034.59151620371</v>
      </c>
      <c r="C339" s="1" t="n">
        <v>46101</v>
      </c>
      <c r="D339" t="inlineStr">
        <is>
          <t>DALARNAS LÄN</t>
        </is>
      </c>
      <c r="E339" t="inlineStr">
        <is>
          <t>VANSBRO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5377-2024</t>
        </is>
      </c>
      <c r="B340" s="1" t="n">
        <v>45331.49379629629</v>
      </c>
      <c r="C340" s="1" t="n">
        <v>46101</v>
      </c>
      <c r="D340" t="inlineStr">
        <is>
          <t>DALARNAS LÄN</t>
        </is>
      </c>
      <c r="E340" t="inlineStr">
        <is>
          <t>VANSBRO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1472-2026</t>
        </is>
      </c>
      <c r="B341" s="1" t="n">
        <v>46033.80243055556</v>
      </c>
      <c r="C341" s="1" t="n">
        <v>46101</v>
      </c>
      <c r="D341" t="inlineStr">
        <is>
          <t>DALARNAS LÄN</t>
        </is>
      </c>
      <c r="E341" t="inlineStr">
        <is>
          <t>VANSBRO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1509-2026</t>
        </is>
      </c>
      <c r="B342" s="1" t="n">
        <v>46034</v>
      </c>
      <c r="C342" s="1" t="n">
        <v>46101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1155-2026</t>
        </is>
      </c>
      <c r="B343" s="1" t="n">
        <v>46031.31383101852</v>
      </c>
      <c r="C343" s="1" t="n">
        <v>46101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15088-2025</t>
        </is>
      </c>
      <c r="B344" s="1" t="n">
        <v>45744.32628472222</v>
      </c>
      <c r="C344" s="1" t="n">
        <v>46101</v>
      </c>
      <c r="D344" t="inlineStr">
        <is>
          <t>DALARNAS LÄN</t>
        </is>
      </c>
      <c r="E344" t="inlineStr">
        <is>
          <t>VANSBRO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12929-2025</t>
        </is>
      </c>
      <c r="B345" s="1" t="n">
        <v>45734.33065972223</v>
      </c>
      <c r="C345" s="1" t="n">
        <v>46101</v>
      </c>
      <c r="D345" t="inlineStr">
        <is>
          <t>DALARNAS LÄN</t>
        </is>
      </c>
      <c r="E345" t="inlineStr">
        <is>
          <t>VANSBRO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1821-2026</t>
        </is>
      </c>
      <c r="B346" s="1" t="n">
        <v>46035.36212962963</v>
      </c>
      <c r="C346" s="1" t="n">
        <v>46101</v>
      </c>
      <c r="D346" t="inlineStr">
        <is>
          <t>DALARNAS LÄN</t>
        </is>
      </c>
      <c r="E346" t="inlineStr">
        <is>
          <t>VANSBRO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50125-2023</t>
        </is>
      </c>
      <c r="B347" s="1" t="n">
        <v>45215.64871527778</v>
      </c>
      <c r="C347" s="1" t="n">
        <v>46101</v>
      </c>
      <c r="D347" t="inlineStr">
        <is>
          <t>DALARNAS LÄN</t>
        </is>
      </c>
      <c r="E347" t="inlineStr">
        <is>
          <t>VANSBRO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50141-2023</t>
        </is>
      </c>
      <c r="B348" s="1" t="n">
        <v>45215</v>
      </c>
      <c r="C348" s="1" t="n">
        <v>46101</v>
      </c>
      <c r="D348" t="inlineStr">
        <is>
          <t>DALARNAS LÄN</t>
        </is>
      </c>
      <c r="E348" t="inlineStr">
        <is>
          <t>VANSBRO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58009-2023</t>
        </is>
      </c>
      <c r="B349" s="1" t="n">
        <v>45247.61887731482</v>
      </c>
      <c r="C349" s="1" t="n">
        <v>46101</v>
      </c>
      <c r="D349" t="inlineStr">
        <is>
          <t>DALARNAS LÄN</t>
        </is>
      </c>
      <c r="E349" t="inlineStr">
        <is>
          <t>VANSBRO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2196-2026</t>
        </is>
      </c>
      <c r="B350" s="1" t="n">
        <v>46036.47221064815</v>
      </c>
      <c r="C350" s="1" t="n">
        <v>46101</v>
      </c>
      <c r="D350" t="inlineStr">
        <is>
          <t>DALARNAS LÄN</t>
        </is>
      </c>
      <c r="E350" t="inlineStr">
        <is>
          <t>VANSBRO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16827-2025</t>
        </is>
      </c>
      <c r="B351" s="1" t="n">
        <v>45754.65372685185</v>
      </c>
      <c r="C351" s="1" t="n">
        <v>46101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2188-2026</t>
        </is>
      </c>
      <c r="B352" s="1" t="n">
        <v>46036.46501157407</v>
      </c>
      <c r="C352" s="1" t="n">
        <v>46101</v>
      </c>
      <c r="D352" t="inlineStr">
        <is>
          <t>DALARNAS LÄN</t>
        </is>
      </c>
      <c r="E352" t="inlineStr">
        <is>
          <t>VANSBRO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59435-2023</t>
        </is>
      </c>
      <c r="B353" s="1" t="n">
        <v>45254.30815972222</v>
      </c>
      <c r="C353" s="1" t="n">
        <v>46101</v>
      </c>
      <c r="D353" t="inlineStr">
        <is>
          <t>DALARNAS LÄN</t>
        </is>
      </c>
      <c r="E353" t="inlineStr">
        <is>
          <t>VANSBRO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3843-2024</t>
        </is>
      </c>
      <c r="B354" s="1" t="n">
        <v>45322</v>
      </c>
      <c r="C354" s="1" t="n">
        <v>46101</v>
      </c>
      <c r="D354" t="inlineStr">
        <is>
          <t>DALARNAS LÄN</t>
        </is>
      </c>
      <c r="E354" t="inlineStr">
        <is>
          <t>VANSBRO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59600-2023</t>
        </is>
      </c>
      <c r="B355" s="1" t="n">
        <v>45254.62652777778</v>
      </c>
      <c r="C355" s="1" t="n">
        <v>46101</v>
      </c>
      <c r="D355" t="inlineStr">
        <is>
          <t>DALARNAS LÄN</t>
        </is>
      </c>
      <c r="E355" t="inlineStr">
        <is>
          <t>VANSBRO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21268-2024</t>
        </is>
      </c>
      <c r="B356" s="1" t="n">
        <v>45440.64032407408</v>
      </c>
      <c r="C356" s="1" t="n">
        <v>46101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19710-2025</t>
        </is>
      </c>
      <c r="B357" s="1" t="n">
        <v>45771.34391203704</v>
      </c>
      <c r="C357" s="1" t="n">
        <v>46101</v>
      </c>
      <c r="D357" t="inlineStr">
        <is>
          <t>DALARNAS LÄN</t>
        </is>
      </c>
      <c r="E357" t="inlineStr">
        <is>
          <t>VANSBRO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2443-2026</t>
        </is>
      </c>
      <c r="B358" s="1" t="n">
        <v>46037.31042824074</v>
      </c>
      <c r="C358" s="1" t="n">
        <v>46101</v>
      </c>
      <c r="D358" t="inlineStr">
        <is>
          <t>DALARNAS LÄN</t>
        </is>
      </c>
      <c r="E358" t="inlineStr">
        <is>
          <t>VANSBRO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2483-2026</t>
        </is>
      </c>
      <c r="B359" s="1" t="n">
        <v>46037.385625</v>
      </c>
      <c r="C359" s="1" t="n">
        <v>46101</v>
      </c>
      <c r="D359" t="inlineStr">
        <is>
          <t>DALARNAS LÄN</t>
        </is>
      </c>
      <c r="E359" t="inlineStr">
        <is>
          <t>VANSBRO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44930.47913194444</v>
      </c>
      <c r="C360" s="1" t="n">
        <v>46101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11007-2026</t>
        </is>
      </c>
      <c r="B361" s="1" t="n">
        <v>46079</v>
      </c>
      <c r="C361" s="1" t="n">
        <v>46101</v>
      </c>
      <c r="D361" t="inlineStr">
        <is>
          <t>DALARNAS LÄN</t>
        </is>
      </c>
      <c r="E361" t="inlineStr">
        <is>
          <t>VANSBRO</t>
        </is>
      </c>
      <c r="F361" t="inlineStr">
        <is>
          <t>Övriga statliga verk och myndigheter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2728-2026</t>
        </is>
      </c>
      <c r="B362" s="1" t="n">
        <v>46037.82216435186</v>
      </c>
      <c r="C362" s="1" t="n">
        <v>46101</v>
      </c>
      <c r="D362" t="inlineStr">
        <is>
          <t>DALARNAS LÄN</t>
        </is>
      </c>
      <c r="E362" t="inlineStr">
        <is>
          <t>VANSBRO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55078-2022</t>
        </is>
      </c>
      <c r="B363" s="1" t="n">
        <v>44886</v>
      </c>
      <c r="C363" s="1" t="n">
        <v>46101</v>
      </c>
      <c r="D363" t="inlineStr">
        <is>
          <t>DALARNAS LÄN</t>
        </is>
      </c>
      <c r="E363" t="inlineStr">
        <is>
          <t>VANSBRO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11603-2026</t>
        </is>
      </c>
      <c r="B364" s="1" t="n">
        <v>46084.43217592593</v>
      </c>
      <c r="C364" s="1" t="n">
        <v>46101</v>
      </c>
      <c r="D364" t="inlineStr">
        <is>
          <t>DALARNAS LÄN</t>
        </is>
      </c>
      <c r="E364" t="inlineStr">
        <is>
          <t>VANSBRO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3531-2026</t>
        </is>
      </c>
      <c r="B365" s="1" t="n">
        <v>46042.6171875</v>
      </c>
      <c r="C365" s="1" t="n">
        <v>46101</v>
      </c>
      <c r="D365" t="inlineStr">
        <is>
          <t>DALARNAS LÄN</t>
        </is>
      </c>
      <c r="E365" t="inlineStr">
        <is>
          <t>VANSBRO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3422-2026</t>
        </is>
      </c>
      <c r="B366" s="1" t="n">
        <v>46042.431875</v>
      </c>
      <c r="C366" s="1" t="n">
        <v>46101</v>
      </c>
      <c r="D366" t="inlineStr">
        <is>
          <t>DALARNAS LÄN</t>
        </is>
      </c>
      <c r="E366" t="inlineStr">
        <is>
          <t>VANSBRO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11611-2026</t>
        </is>
      </c>
      <c r="B367" s="1" t="n">
        <v>46084.44119212963</v>
      </c>
      <c r="C367" s="1" t="n">
        <v>46101</v>
      </c>
      <c r="D367" t="inlineStr">
        <is>
          <t>DALARNAS LÄN</t>
        </is>
      </c>
      <c r="E367" t="inlineStr">
        <is>
          <t>VANSBRO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11350-2026</t>
        </is>
      </c>
      <c r="B368" s="1" t="n">
        <v>46082.95100694444</v>
      </c>
      <c r="C368" s="1" t="n">
        <v>46101</v>
      </c>
      <c r="D368" t="inlineStr">
        <is>
          <t>DALARNAS LÄN</t>
        </is>
      </c>
      <c r="E368" t="inlineStr">
        <is>
          <t>VANSBRO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3363-2026</t>
        </is>
      </c>
      <c r="B369" s="1" t="n">
        <v>46042.33083333333</v>
      </c>
      <c r="C369" s="1" t="n">
        <v>46101</v>
      </c>
      <c r="D369" t="inlineStr">
        <is>
          <t>DALARNAS LÄN</t>
        </is>
      </c>
      <c r="E369" t="inlineStr">
        <is>
          <t>VANSBRO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15141-2025</t>
        </is>
      </c>
      <c r="B370" s="1" t="n">
        <v>45744.39063657408</v>
      </c>
      <c r="C370" s="1" t="n">
        <v>46101</v>
      </c>
      <c r="D370" t="inlineStr">
        <is>
          <t>DALARNAS LÄN</t>
        </is>
      </c>
      <c r="E370" t="inlineStr">
        <is>
          <t>VANSBRO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3060-2026</t>
        </is>
      </c>
      <c r="B371" s="1" t="n">
        <v>46039.77504629629</v>
      </c>
      <c r="C371" s="1" t="n">
        <v>46101</v>
      </c>
      <c r="D371" t="inlineStr">
        <is>
          <t>DALARNAS LÄN</t>
        </is>
      </c>
      <c r="E371" t="inlineStr">
        <is>
          <t>VANSBRO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3432-2026</t>
        </is>
      </c>
      <c r="B372" s="1" t="n">
        <v>46042.45846064815</v>
      </c>
      <c r="C372" s="1" t="n">
        <v>46101</v>
      </c>
      <c r="D372" t="inlineStr">
        <is>
          <t>DALARNAS LÄN</t>
        </is>
      </c>
      <c r="E372" t="inlineStr">
        <is>
          <t>VANSBRO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11351-2026</t>
        </is>
      </c>
      <c r="B373" s="1" t="n">
        <v>46082.96141203704</v>
      </c>
      <c r="C373" s="1" t="n">
        <v>46101</v>
      </c>
      <c r="D373" t="inlineStr">
        <is>
          <t>DALARNAS LÄN</t>
        </is>
      </c>
      <c r="E373" t="inlineStr">
        <is>
          <t>VANSBRO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11483-2026</t>
        </is>
      </c>
      <c r="B374" s="1" t="n">
        <v>46083.61561342593</v>
      </c>
      <c r="C374" s="1" t="n">
        <v>46101</v>
      </c>
      <c r="D374" t="inlineStr">
        <is>
          <t>DALARNAS LÄN</t>
        </is>
      </c>
      <c r="E374" t="inlineStr">
        <is>
          <t>VANSBRO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11349-2026</t>
        </is>
      </c>
      <c r="B375" s="1" t="n">
        <v>46082.94174768519</v>
      </c>
      <c r="C375" s="1" t="n">
        <v>46101</v>
      </c>
      <c r="D375" t="inlineStr">
        <is>
          <t>DALARNAS LÄN</t>
        </is>
      </c>
      <c r="E375" t="inlineStr">
        <is>
          <t>VANSBRO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11352-2026</t>
        </is>
      </c>
      <c r="B376" s="1" t="n">
        <v>46082.99267361111</v>
      </c>
      <c r="C376" s="1" t="n">
        <v>46101</v>
      </c>
      <c r="D376" t="inlineStr">
        <is>
          <t>DALARNAS LÄN</t>
        </is>
      </c>
      <c r="E376" t="inlineStr">
        <is>
          <t>VANSBRO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3428-2026</t>
        </is>
      </c>
      <c r="B377" s="1" t="n">
        <v>46042.45342592592</v>
      </c>
      <c r="C377" s="1" t="n">
        <v>46101</v>
      </c>
      <c r="D377" t="inlineStr">
        <is>
          <t>DALARNAS LÄN</t>
        </is>
      </c>
      <c r="E377" t="inlineStr">
        <is>
          <t>VANSBRO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49412-2024</t>
        </is>
      </c>
      <c r="B378" s="1" t="n">
        <v>45595.69030092593</v>
      </c>
      <c r="C378" s="1" t="n">
        <v>46101</v>
      </c>
      <c r="D378" t="inlineStr">
        <is>
          <t>DALARNAS LÄN</t>
        </is>
      </c>
      <c r="E378" t="inlineStr">
        <is>
          <t>VANSBRO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5255-2022</t>
        </is>
      </c>
      <c r="B379" s="1" t="n">
        <v>44594.55498842592</v>
      </c>
      <c r="C379" s="1" t="n">
        <v>46101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35757-2024</t>
        </is>
      </c>
      <c r="B380" s="1" t="n">
        <v>45532</v>
      </c>
      <c r="C380" s="1" t="n">
        <v>46101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20419-2025</t>
        </is>
      </c>
      <c r="B381" s="1" t="n">
        <v>45775.46444444444</v>
      </c>
      <c r="C381" s="1" t="n">
        <v>46101</v>
      </c>
      <c r="D381" t="inlineStr">
        <is>
          <t>DALARNAS LÄN</t>
        </is>
      </c>
      <c r="E381" t="inlineStr">
        <is>
          <t>VANSBRO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61717-2023</t>
        </is>
      </c>
      <c r="B382" s="1" t="n">
        <v>45265.67287037037</v>
      </c>
      <c r="C382" s="1" t="n">
        <v>46101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2938-2024</t>
        </is>
      </c>
      <c r="B383" s="1" t="n">
        <v>45315.61605324074</v>
      </c>
      <c r="C383" s="1" t="n">
        <v>46101</v>
      </c>
      <c r="D383" t="inlineStr">
        <is>
          <t>DALARNAS LÄN</t>
        </is>
      </c>
      <c r="E383" t="inlineStr">
        <is>
          <t>VANSBRO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11408-2025</t>
        </is>
      </c>
      <c r="B384" s="1" t="n">
        <v>45726.58685185185</v>
      </c>
      <c r="C384" s="1" t="n">
        <v>46101</v>
      </c>
      <c r="D384" t="inlineStr">
        <is>
          <t>DALARNAS LÄN</t>
        </is>
      </c>
      <c r="E384" t="inlineStr">
        <is>
          <t>VANSBRO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33837-2024</t>
        </is>
      </c>
      <c r="B385" s="1" t="n">
        <v>45520</v>
      </c>
      <c r="C385" s="1" t="n">
        <v>46101</v>
      </c>
      <c r="D385" t="inlineStr">
        <is>
          <t>DALARNAS LÄN</t>
        </is>
      </c>
      <c r="E385" t="inlineStr">
        <is>
          <t>VANSBRO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3854-2024</t>
        </is>
      </c>
      <c r="B386" s="1" t="n">
        <v>45322</v>
      </c>
      <c r="C386" s="1" t="n">
        <v>46101</v>
      </c>
      <c r="D386" t="inlineStr">
        <is>
          <t>DALARNAS LÄN</t>
        </is>
      </c>
      <c r="E386" t="inlineStr">
        <is>
          <t>VANSBRO</t>
        </is>
      </c>
      <c r="F386" t="inlineStr">
        <is>
          <t>Kyrkan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35537-2024</t>
        </is>
      </c>
      <c r="B387" s="1" t="n">
        <v>45531</v>
      </c>
      <c r="C387" s="1" t="n">
        <v>46101</v>
      </c>
      <c r="D387" t="inlineStr">
        <is>
          <t>DALARNAS LÄN</t>
        </is>
      </c>
      <c r="E387" t="inlineStr">
        <is>
          <t>VANSBRO</t>
        </is>
      </c>
      <c r="F387" t="inlineStr">
        <is>
          <t>Övriga statliga verk och myndigheter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61515-2022</t>
        </is>
      </c>
      <c r="B388" s="1" t="n">
        <v>44916</v>
      </c>
      <c r="C388" s="1" t="n">
        <v>46101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14057-2023</t>
        </is>
      </c>
      <c r="B389" s="1" t="n">
        <v>45008.82340277778</v>
      </c>
      <c r="C389" s="1" t="n">
        <v>46101</v>
      </c>
      <c r="D389" t="inlineStr">
        <is>
          <t>DALARNAS LÄN</t>
        </is>
      </c>
      <c r="E389" t="inlineStr">
        <is>
          <t>VANSBRO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3918-2026</t>
        </is>
      </c>
      <c r="B390" s="1" t="n">
        <v>46043.74402777778</v>
      </c>
      <c r="C390" s="1" t="n">
        <v>46101</v>
      </c>
      <c r="D390" t="inlineStr">
        <is>
          <t>DALARNAS LÄN</t>
        </is>
      </c>
      <c r="E390" t="inlineStr">
        <is>
          <t>VANSBRO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5581-2023</t>
        </is>
      </c>
      <c r="B391" s="1" t="n">
        <v>44960.50465277778</v>
      </c>
      <c r="C391" s="1" t="n">
        <v>46101</v>
      </c>
      <c r="D391" t="inlineStr">
        <is>
          <t>DALARNAS LÄN</t>
        </is>
      </c>
      <c r="E391" t="inlineStr">
        <is>
          <t>VANSBRO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45394-2023</t>
        </is>
      </c>
      <c r="B392" s="1" t="n">
        <v>45194</v>
      </c>
      <c r="C392" s="1" t="n">
        <v>46101</v>
      </c>
      <c r="D392" t="inlineStr">
        <is>
          <t>DALARNAS LÄN</t>
        </is>
      </c>
      <c r="E392" t="inlineStr">
        <is>
          <t>VANSBRO</t>
        </is>
      </c>
      <c r="G392" t="n">
        <v>19.7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4027-2026</t>
        </is>
      </c>
      <c r="B393" s="1" t="n">
        <v>46044.44141203703</v>
      </c>
      <c r="C393" s="1" t="n">
        <v>46101</v>
      </c>
      <c r="D393" t="inlineStr">
        <is>
          <t>DALARNAS LÄN</t>
        </is>
      </c>
      <c r="E393" t="inlineStr">
        <is>
          <t>VANSBRO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4790-2026</t>
        </is>
      </c>
      <c r="B394" s="1" t="n">
        <v>46048.56425925926</v>
      </c>
      <c r="C394" s="1" t="n">
        <v>46101</v>
      </c>
      <c r="D394" t="inlineStr">
        <is>
          <t>DALARNAS LÄN</t>
        </is>
      </c>
      <c r="E394" t="inlineStr">
        <is>
          <t>VANSBRO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41371-2022</t>
        </is>
      </c>
      <c r="B395" s="1" t="n">
        <v>44826.57543981481</v>
      </c>
      <c r="C395" s="1" t="n">
        <v>46101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7142-2023</t>
        </is>
      </c>
      <c r="B396" s="1" t="n">
        <v>44970.44603009259</v>
      </c>
      <c r="C396" s="1" t="n">
        <v>46101</v>
      </c>
      <c r="D396" t="inlineStr">
        <is>
          <t>DALARNAS LÄN</t>
        </is>
      </c>
      <c r="E396" t="inlineStr">
        <is>
          <t>VANSBRO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17807-2022</t>
        </is>
      </c>
      <c r="B397" s="1" t="n">
        <v>44673</v>
      </c>
      <c r="C397" s="1" t="n">
        <v>46101</v>
      </c>
      <c r="D397" t="inlineStr">
        <is>
          <t>DALARNAS LÄN</t>
        </is>
      </c>
      <c r="E397" t="inlineStr">
        <is>
          <t>VANSBRO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12475-2026</t>
        </is>
      </c>
      <c r="B398" s="1" t="n">
        <v>46090.55519675926</v>
      </c>
      <c r="C398" s="1" t="n">
        <v>46101</v>
      </c>
      <c r="D398" t="inlineStr">
        <is>
          <t>DALARNAS LÄN</t>
        </is>
      </c>
      <c r="E398" t="inlineStr">
        <is>
          <t>VANSBRO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54159-2022</t>
        </is>
      </c>
      <c r="B399" s="1" t="n">
        <v>44881</v>
      </c>
      <c r="C399" s="1" t="n">
        <v>46101</v>
      </c>
      <c r="D399" t="inlineStr">
        <is>
          <t>DALARNAS LÄN</t>
        </is>
      </c>
      <c r="E399" t="inlineStr">
        <is>
          <t>VANSBRO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22756-2024</t>
        </is>
      </c>
      <c r="B400" s="1" t="n">
        <v>45448.42597222222</v>
      </c>
      <c r="C400" s="1" t="n">
        <v>46101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5335-2026</t>
        </is>
      </c>
      <c r="B401" s="1" t="n">
        <v>46050.40844907407</v>
      </c>
      <c r="C401" s="1" t="n">
        <v>46101</v>
      </c>
      <c r="D401" t="inlineStr">
        <is>
          <t>DALARNAS LÄN</t>
        </is>
      </c>
      <c r="E401" t="inlineStr">
        <is>
          <t>VANSBRO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4970-2026</t>
        </is>
      </c>
      <c r="B402" s="1" t="n">
        <v>46049.34185185185</v>
      </c>
      <c r="C402" s="1" t="n">
        <v>46101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37878-2023</t>
        </is>
      </c>
      <c r="B403" s="1" t="n">
        <v>45160.43616898148</v>
      </c>
      <c r="C403" s="1" t="n">
        <v>46101</v>
      </c>
      <c r="D403" t="inlineStr">
        <is>
          <t>DALARNAS LÄN</t>
        </is>
      </c>
      <c r="E403" t="inlineStr">
        <is>
          <t>VANSBRO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4937-2026</t>
        </is>
      </c>
      <c r="B404" s="1" t="n">
        <v>46048.9335300926</v>
      </c>
      <c r="C404" s="1" t="n">
        <v>46101</v>
      </c>
      <c r="D404" t="inlineStr">
        <is>
          <t>DALARNAS LÄN</t>
        </is>
      </c>
      <c r="E404" t="inlineStr">
        <is>
          <t>VANSBRO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49635-2024</t>
        </is>
      </c>
      <c r="B405" s="1" t="n">
        <v>45596.5975</v>
      </c>
      <c r="C405" s="1" t="n">
        <v>46101</v>
      </c>
      <c r="D405" t="inlineStr">
        <is>
          <t>DALARNAS LÄN</t>
        </is>
      </c>
      <c r="E405" t="inlineStr">
        <is>
          <t>VANSBRO</t>
        </is>
      </c>
      <c r="F405" t="inlineStr">
        <is>
          <t>Övriga statliga verk och myndigheter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5080-2026</t>
        </is>
      </c>
      <c r="B406" s="1" t="n">
        <v>46049</v>
      </c>
      <c r="C406" s="1" t="n">
        <v>46101</v>
      </c>
      <c r="D406" t="inlineStr">
        <is>
          <t>DALARNAS LÄN</t>
        </is>
      </c>
      <c r="E406" t="inlineStr">
        <is>
          <t>VANSBRO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625-2023</t>
        </is>
      </c>
      <c r="B407" s="1" t="n">
        <v>44930.61575231481</v>
      </c>
      <c r="C407" s="1" t="n">
        <v>46101</v>
      </c>
      <c r="D407" t="inlineStr">
        <is>
          <t>DALARNAS LÄN</t>
        </is>
      </c>
      <c r="E407" t="inlineStr">
        <is>
          <t>VANSBRO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30342-2023</t>
        </is>
      </c>
      <c r="B408" s="1" t="n">
        <v>45111</v>
      </c>
      <c r="C408" s="1" t="n">
        <v>46101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4998-2026</t>
        </is>
      </c>
      <c r="B409" s="1" t="n">
        <v>46049.42231481482</v>
      </c>
      <c r="C409" s="1" t="n">
        <v>46101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49509-2024</t>
        </is>
      </c>
      <c r="B410" s="1" t="n">
        <v>45596.3786574074</v>
      </c>
      <c r="C410" s="1" t="n">
        <v>46101</v>
      </c>
      <c r="D410" t="inlineStr">
        <is>
          <t>DALARNAS LÄN</t>
        </is>
      </c>
      <c r="E410" t="inlineStr">
        <is>
          <t>VANSBRO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55942-2023</t>
        </is>
      </c>
      <c r="B411" s="1" t="n">
        <v>45240.30758101852</v>
      </c>
      <c r="C411" s="1" t="n">
        <v>46101</v>
      </c>
      <c r="D411" t="inlineStr">
        <is>
          <t>DALARNAS LÄN</t>
        </is>
      </c>
      <c r="E411" t="inlineStr">
        <is>
          <t>VANSBRO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56129-2023</t>
        </is>
      </c>
      <c r="B412" s="1" t="n">
        <v>45240.58174768519</v>
      </c>
      <c r="C412" s="1" t="n">
        <v>46101</v>
      </c>
      <c r="D412" t="inlineStr">
        <is>
          <t>DALARNAS LÄN</t>
        </is>
      </c>
      <c r="E412" t="inlineStr">
        <is>
          <t>VANSBRO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48005-2022</t>
        </is>
      </c>
      <c r="B413" s="1" t="n">
        <v>44855.65384259259</v>
      </c>
      <c r="C413" s="1" t="n">
        <v>46101</v>
      </c>
      <c r="D413" t="inlineStr">
        <is>
          <t>DALARNAS LÄN</t>
        </is>
      </c>
      <c r="E413" t="inlineStr">
        <is>
          <t>VANSBRO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34882-2022</t>
        </is>
      </c>
      <c r="B414" s="1" t="n">
        <v>44796.504375</v>
      </c>
      <c r="C414" s="1" t="n">
        <v>46101</v>
      </c>
      <c r="D414" t="inlineStr">
        <is>
          <t>DALARNAS LÄN</t>
        </is>
      </c>
      <c r="E414" t="inlineStr">
        <is>
          <t>VANSBRO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13495-2026</t>
        </is>
      </c>
      <c r="B415" s="1" t="n">
        <v>46094.58943287037</v>
      </c>
      <c r="C415" s="1" t="n">
        <v>46101</v>
      </c>
      <c r="D415" t="inlineStr">
        <is>
          <t>DALARNAS LÄN</t>
        </is>
      </c>
      <c r="E415" t="inlineStr">
        <is>
          <t>VANSBRO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49921-2023</t>
        </is>
      </c>
      <c r="B416" s="1" t="n">
        <v>45214.84159722222</v>
      </c>
      <c r="C416" s="1" t="n">
        <v>46101</v>
      </c>
      <c r="D416" t="inlineStr">
        <is>
          <t>DALARNAS LÄN</t>
        </is>
      </c>
      <c r="E416" t="inlineStr">
        <is>
          <t>VANSBRO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21117-2024</t>
        </is>
      </c>
      <c r="B417" s="1" t="n">
        <v>45440.31517361111</v>
      </c>
      <c r="C417" s="1" t="n">
        <v>46101</v>
      </c>
      <c r="D417" t="inlineStr">
        <is>
          <t>DALARNAS LÄN</t>
        </is>
      </c>
      <c r="E417" t="inlineStr">
        <is>
          <t>VANSBRO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13506-2026</t>
        </is>
      </c>
      <c r="B418" s="1" t="n">
        <v>46094.59888888889</v>
      </c>
      <c r="C418" s="1" t="n">
        <v>46101</v>
      </c>
      <c r="D418" t="inlineStr">
        <is>
          <t>DALARNAS LÄN</t>
        </is>
      </c>
      <c r="E418" t="inlineStr">
        <is>
          <t>VANSBRO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6076-2026</t>
        </is>
      </c>
      <c r="B419" s="1" t="n">
        <v>46052.66626157407</v>
      </c>
      <c r="C419" s="1" t="n">
        <v>46101</v>
      </c>
      <c r="D419" t="inlineStr">
        <is>
          <t>DALARNAS LÄN</t>
        </is>
      </c>
      <c r="E419" t="inlineStr">
        <is>
          <t>VANSBRO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5747-2026</t>
        </is>
      </c>
      <c r="B420" s="1" t="n">
        <v>46051.59634259259</v>
      </c>
      <c r="C420" s="1" t="n">
        <v>46101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5648-2026</t>
        </is>
      </c>
      <c r="B421" s="1" t="n">
        <v>46051.42921296296</v>
      </c>
      <c r="C421" s="1" t="n">
        <v>46101</v>
      </c>
      <c r="D421" t="inlineStr">
        <is>
          <t>DALARNAS LÄN</t>
        </is>
      </c>
      <c r="E421" t="inlineStr">
        <is>
          <t>VANSBRO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27089-2024</t>
        </is>
      </c>
      <c r="B422" s="1" t="n">
        <v>45471.48064814815</v>
      </c>
      <c r="C422" s="1" t="n">
        <v>46101</v>
      </c>
      <c r="D422" t="inlineStr">
        <is>
          <t>DALARNAS LÄN</t>
        </is>
      </c>
      <c r="E422" t="inlineStr">
        <is>
          <t>VANSBRO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5659-2026</t>
        </is>
      </c>
      <c r="B423" s="1" t="n">
        <v>46051.45114583334</v>
      </c>
      <c r="C423" s="1" t="n">
        <v>46101</v>
      </c>
      <c r="D423" t="inlineStr">
        <is>
          <t>DALARNAS LÄN</t>
        </is>
      </c>
      <c r="E423" t="inlineStr">
        <is>
          <t>VANSBRO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45356-2024</t>
        </is>
      </c>
      <c r="B424" s="1" t="n">
        <v>45576</v>
      </c>
      <c r="C424" s="1" t="n">
        <v>46101</v>
      </c>
      <c r="D424" t="inlineStr">
        <is>
          <t>DALARNAS LÄN</t>
        </is>
      </c>
      <c r="E424" t="inlineStr">
        <is>
          <t>VANSBRO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7764-2026</t>
        </is>
      </c>
      <c r="B425" s="1" t="n">
        <v>46062</v>
      </c>
      <c r="C425" s="1" t="n">
        <v>46101</v>
      </c>
      <c r="D425" t="inlineStr">
        <is>
          <t>DALARNAS LÄN</t>
        </is>
      </c>
      <c r="E425" t="inlineStr">
        <is>
          <t>VANSBRO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3482-2025</t>
        </is>
      </c>
      <c r="B426" s="1" t="n">
        <v>45680.54168981482</v>
      </c>
      <c r="C426" s="1" t="n">
        <v>46101</v>
      </c>
      <c r="D426" t="inlineStr">
        <is>
          <t>DALARNAS LÄN</t>
        </is>
      </c>
      <c r="E426" t="inlineStr">
        <is>
          <t>VANSBRO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4955-2025</t>
        </is>
      </c>
      <c r="B427" s="1" t="n">
        <v>45689.54017361111</v>
      </c>
      <c r="C427" s="1" t="n">
        <v>46101</v>
      </c>
      <c r="D427" t="inlineStr">
        <is>
          <t>DALARNAS LÄN</t>
        </is>
      </c>
      <c r="E427" t="inlineStr">
        <is>
          <t>VANSBRO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9296-2023</t>
        </is>
      </c>
      <c r="B428" s="1" t="n">
        <v>44980.64003472222</v>
      </c>
      <c r="C428" s="1" t="n">
        <v>46101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21418-2023</t>
        </is>
      </c>
      <c r="B429" s="1" t="n">
        <v>45063</v>
      </c>
      <c r="C429" s="1" t="n">
        <v>46101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7259-2026</t>
        </is>
      </c>
      <c r="B430" s="1" t="n">
        <v>46058.59936342593</v>
      </c>
      <c r="C430" s="1" t="n">
        <v>46101</v>
      </c>
      <c r="D430" t="inlineStr">
        <is>
          <t>DALARNAS LÄN</t>
        </is>
      </c>
      <c r="E430" t="inlineStr">
        <is>
          <t>VANSBRO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7236-2026</t>
        </is>
      </c>
      <c r="B431" s="1" t="n">
        <v>46058.58</v>
      </c>
      <c r="C431" s="1" t="n">
        <v>46101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7243-2026</t>
        </is>
      </c>
      <c r="B432" s="1" t="n">
        <v>46058.58513888889</v>
      </c>
      <c r="C432" s="1" t="n">
        <v>46101</v>
      </c>
      <c r="D432" t="inlineStr">
        <is>
          <t>DALARNAS LÄN</t>
        </is>
      </c>
      <c r="E432" t="inlineStr">
        <is>
          <t>VANSBRO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7014-2026</t>
        </is>
      </c>
      <c r="B433" s="1" t="n">
        <v>46057.64628472222</v>
      </c>
      <c r="C433" s="1" t="n">
        <v>46101</v>
      </c>
      <c r="D433" t="inlineStr">
        <is>
          <t>DALARNAS LÄN</t>
        </is>
      </c>
      <c r="E433" t="inlineStr">
        <is>
          <t>VANSBRO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14112-2026</t>
        </is>
      </c>
      <c r="B434" s="1" t="n">
        <v>46099.4256712963</v>
      </c>
      <c r="C434" s="1" t="n">
        <v>46101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55570-2023</t>
        </is>
      </c>
      <c r="B435" s="1" t="n">
        <v>45238.65434027778</v>
      </c>
      <c r="C435" s="1" t="n">
        <v>46101</v>
      </c>
      <c r="D435" t="inlineStr">
        <is>
          <t>DALARNAS LÄN</t>
        </is>
      </c>
      <c r="E435" t="inlineStr">
        <is>
          <t>VANSBRO</t>
        </is>
      </c>
      <c r="F435" t="inlineStr">
        <is>
          <t>Övriga statliga verk och myndigheter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757-2023</t>
        </is>
      </c>
      <c r="B436" s="1" t="n">
        <v>44931.36844907407</v>
      </c>
      <c r="C436" s="1" t="n">
        <v>46101</v>
      </c>
      <c r="D436" t="inlineStr">
        <is>
          <t>DALARNAS LÄN</t>
        </is>
      </c>
      <c r="E436" t="inlineStr">
        <is>
          <t>VANSBRO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7256-2026</t>
        </is>
      </c>
      <c r="B437" s="1" t="n">
        <v>46058.59798611111</v>
      </c>
      <c r="C437" s="1" t="n">
        <v>46101</v>
      </c>
      <c r="D437" t="inlineStr">
        <is>
          <t>DALARNAS LÄN</t>
        </is>
      </c>
      <c r="E437" t="inlineStr">
        <is>
          <t>VANSBRO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2832-2025</t>
        </is>
      </c>
      <c r="B438" s="1" t="n">
        <v>45677.63202546296</v>
      </c>
      <c r="C438" s="1" t="n">
        <v>46101</v>
      </c>
      <c r="D438" t="inlineStr">
        <is>
          <t>DALARNAS LÄN</t>
        </is>
      </c>
      <c r="E438" t="inlineStr">
        <is>
          <t>VANSBRO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7199-2026</t>
        </is>
      </c>
      <c r="B439" s="1" t="n">
        <v>46058.51758101852</v>
      </c>
      <c r="C439" s="1" t="n">
        <v>46101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53498-2024</t>
        </is>
      </c>
      <c r="B440" s="1" t="n">
        <v>45614.58354166667</v>
      </c>
      <c r="C440" s="1" t="n">
        <v>46101</v>
      </c>
      <c r="D440" t="inlineStr">
        <is>
          <t>DALARNAS LÄN</t>
        </is>
      </c>
      <c r="E440" t="inlineStr">
        <is>
          <t>VANSBRO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44995-2024</t>
        </is>
      </c>
      <c r="B441" s="1" t="n">
        <v>45575</v>
      </c>
      <c r="C441" s="1" t="n">
        <v>46101</v>
      </c>
      <c r="D441" t="inlineStr">
        <is>
          <t>DALARNAS LÄN</t>
        </is>
      </c>
      <c r="E441" t="inlineStr">
        <is>
          <t>VANSBRO</t>
        </is>
      </c>
      <c r="F441" t="inlineStr">
        <is>
          <t>Övriga statliga verk och myndigheter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893-2026</t>
        </is>
      </c>
      <c r="B442" s="1" t="n">
        <v>46030</v>
      </c>
      <c r="C442" s="1" t="n">
        <v>46101</v>
      </c>
      <c r="D442" t="inlineStr">
        <is>
          <t>DALARNAS LÄN</t>
        </is>
      </c>
      <c r="E442" t="inlineStr">
        <is>
          <t>VANSBRO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12013-2024</t>
        </is>
      </c>
      <c r="B443" s="1" t="n">
        <v>45377.34111111111</v>
      </c>
      <c r="C443" s="1" t="n">
        <v>46101</v>
      </c>
      <c r="D443" t="inlineStr">
        <is>
          <t>DALARNAS LÄN</t>
        </is>
      </c>
      <c r="E443" t="inlineStr">
        <is>
          <t>VANSBRO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54453-2024</t>
        </is>
      </c>
      <c r="B444" s="1" t="n">
        <v>45617.52883101852</v>
      </c>
      <c r="C444" s="1" t="n">
        <v>46101</v>
      </c>
      <c r="D444" t="inlineStr">
        <is>
          <t>DALARNAS LÄN</t>
        </is>
      </c>
      <c r="E444" t="inlineStr">
        <is>
          <t>VANSBRO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48111-2024</t>
        </is>
      </c>
      <c r="B445" s="1" t="n">
        <v>45589.62921296297</v>
      </c>
      <c r="C445" s="1" t="n">
        <v>46101</v>
      </c>
      <c r="D445" t="inlineStr">
        <is>
          <t>DALARNAS LÄN</t>
        </is>
      </c>
      <c r="E445" t="inlineStr">
        <is>
          <t>VANSBRO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9298-2023</t>
        </is>
      </c>
      <c r="B446" s="1" t="n">
        <v>44980.64266203704</v>
      </c>
      <c r="C446" s="1" t="n">
        <v>46101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2310-2023</t>
        </is>
      </c>
      <c r="B447" s="1" t="n">
        <v>44942</v>
      </c>
      <c r="C447" s="1" t="n">
        <v>46101</v>
      </c>
      <c r="D447" t="inlineStr">
        <is>
          <t>DALARNAS LÄN</t>
        </is>
      </c>
      <c r="E447" t="inlineStr">
        <is>
          <t>VANSBRO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40360-2023</t>
        </is>
      </c>
      <c r="B448" s="1" t="n">
        <v>45169.66387731482</v>
      </c>
      <c r="C448" s="1" t="n">
        <v>46101</v>
      </c>
      <c r="D448" t="inlineStr">
        <is>
          <t>DALARNAS LÄN</t>
        </is>
      </c>
      <c r="E448" t="inlineStr">
        <is>
          <t>VANSBRO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55267-2024</t>
        </is>
      </c>
      <c r="B449" s="1" t="n">
        <v>45621.60984953704</v>
      </c>
      <c r="C449" s="1" t="n">
        <v>46101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34738-2023</t>
        </is>
      </c>
      <c r="B450" s="1" t="n">
        <v>45141.37741898148</v>
      </c>
      <c r="C450" s="1" t="n">
        <v>46101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24077-2021</t>
        </is>
      </c>
      <c r="B451" s="1" t="n">
        <v>44336</v>
      </c>
      <c r="C451" s="1" t="n">
        <v>46101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öst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40382-2023</t>
        </is>
      </c>
      <c r="B452" s="1" t="n">
        <v>45169.86748842592</v>
      </c>
      <c r="C452" s="1" t="n">
        <v>46101</v>
      </c>
      <c r="D452" t="inlineStr">
        <is>
          <t>DALARNAS LÄN</t>
        </is>
      </c>
      <c r="E452" t="inlineStr">
        <is>
          <t>VANSBRO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40383-2023</t>
        </is>
      </c>
      <c r="B453" s="1" t="n">
        <v>45169.87157407407</v>
      </c>
      <c r="C453" s="1" t="n">
        <v>46101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13805-2025</t>
        </is>
      </c>
      <c r="B454" s="1" t="n">
        <v>45737.48921296297</v>
      </c>
      <c r="C454" s="1" t="n">
        <v>46101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34277-2022</t>
        </is>
      </c>
      <c r="B455" s="1" t="n">
        <v>44791</v>
      </c>
      <c r="C455" s="1" t="n">
        <v>46101</v>
      </c>
      <c r="D455" t="inlineStr">
        <is>
          <t>DALARNAS LÄN</t>
        </is>
      </c>
      <c r="E455" t="inlineStr">
        <is>
          <t>VANSBRO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380-2024</t>
        </is>
      </c>
      <c r="B456" s="1" t="n">
        <v>45296.36752314815</v>
      </c>
      <c r="C456" s="1" t="n">
        <v>46101</v>
      </c>
      <c r="D456" t="inlineStr">
        <is>
          <t>DALARNAS LÄN</t>
        </is>
      </c>
      <c r="E456" t="inlineStr">
        <is>
          <t>VANSBRO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53775-2024</t>
        </is>
      </c>
      <c r="B457" s="1" t="n">
        <v>45614</v>
      </c>
      <c r="C457" s="1" t="n">
        <v>46101</v>
      </c>
      <c r="D457" t="inlineStr">
        <is>
          <t>DALARNAS LÄN</t>
        </is>
      </c>
      <c r="E457" t="inlineStr">
        <is>
          <t>VANSBRO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17276-2021</t>
        </is>
      </c>
      <c r="B458" s="1" t="n">
        <v>44298.57814814815</v>
      </c>
      <c r="C458" s="1" t="n">
        <v>46101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8447-2022</t>
        </is>
      </c>
      <c r="B459" s="1" t="n">
        <v>44612</v>
      </c>
      <c r="C459" s="1" t="n">
        <v>46101</v>
      </c>
      <c r="D459" t="inlineStr">
        <is>
          <t>DALARNAS LÄN</t>
        </is>
      </c>
      <c r="E459" t="inlineStr">
        <is>
          <t>VANSBRO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57735-2024</t>
        </is>
      </c>
      <c r="B460" s="1" t="n">
        <v>45630.72998842593</v>
      </c>
      <c r="C460" s="1" t="n">
        <v>46101</v>
      </c>
      <c r="D460" t="inlineStr">
        <is>
          <t>DALARNAS LÄN</t>
        </is>
      </c>
      <c r="E460" t="inlineStr">
        <is>
          <t>VANSBRO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57737-2024</t>
        </is>
      </c>
      <c r="B461" s="1" t="n">
        <v>45630.74299768519</v>
      </c>
      <c r="C461" s="1" t="n">
        <v>46101</v>
      </c>
      <c r="D461" t="inlineStr">
        <is>
          <t>DALARNAS LÄN</t>
        </is>
      </c>
      <c r="E461" t="inlineStr">
        <is>
          <t>VANSBRO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35365-2022</t>
        </is>
      </c>
      <c r="B462" s="1" t="n">
        <v>44798</v>
      </c>
      <c r="C462" s="1" t="n">
        <v>46101</v>
      </c>
      <c r="D462" t="inlineStr">
        <is>
          <t>DALARNAS LÄN</t>
        </is>
      </c>
      <c r="E462" t="inlineStr">
        <is>
          <t>VANSBRO</t>
        </is>
      </c>
      <c r="F462" t="inlineStr">
        <is>
          <t>Kommuner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9437-2024</t>
        </is>
      </c>
      <c r="B463" s="1" t="n">
        <v>45359.4921875</v>
      </c>
      <c r="C463" s="1" t="n">
        <v>46101</v>
      </c>
      <c r="D463" t="inlineStr">
        <is>
          <t>DALARNAS LÄN</t>
        </is>
      </c>
      <c r="E463" t="inlineStr">
        <is>
          <t>VANSBRO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11598-2025</t>
        </is>
      </c>
      <c r="B464" s="1" t="n">
        <v>45727</v>
      </c>
      <c r="C464" s="1" t="n">
        <v>46101</v>
      </c>
      <c r="D464" t="inlineStr">
        <is>
          <t>DALARNAS LÄN</t>
        </is>
      </c>
      <c r="E464" t="inlineStr">
        <is>
          <t>VANSBRO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10886-2025</t>
        </is>
      </c>
      <c r="B465" s="1" t="n">
        <v>45722.6621875</v>
      </c>
      <c r="C465" s="1" t="n">
        <v>46101</v>
      </c>
      <c r="D465" t="inlineStr">
        <is>
          <t>DALARNAS LÄN</t>
        </is>
      </c>
      <c r="E465" t="inlineStr">
        <is>
          <t>VANSBRO</t>
        </is>
      </c>
      <c r="G465" t="n">
        <v>15.5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1140-2025</t>
        </is>
      </c>
      <c r="B466" s="1" t="n">
        <v>45666.70565972223</v>
      </c>
      <c r="C466" s="1" t="n">
        <v>46101</v>
      </c>
      <c r="D466" t="inlineStr">
        <is>
          <t>DALARNAS LÄN</t>
        </is>
      </c>
      <c r="E466" t="inlineStr">
        <is>
          <t>VANSBRO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33520-2024</t>
        </is>
      </c>
      <c r="B467" s="1" t="n">
        <v>45519.65722222222</v>
      </c>
      <c r="C467" s="1" t="n">
        <v>46101</v>
      </c>
      <c r="D467" t="inlineStr">
        <is>
          <t>DALARNAS LÄN</t>
        </is>
      </c>
      <c r="E467" t="inlineStr">
        <is>
          <t>VANSBRO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62398-2021</t>
        </is>
      </c>
      <c r="B468" s="1" t="n">
        <v>44503</v>
      </c>
      <c r="C468" s="1" t="n">
        <v>46101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22.1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23432-2024</t>
        </is>
      </c>
      <c r="B469" s="1" t="n">
        <v>45453.61982638889</v>
      </c>
      <c r="C469" s="1" t="n">
        <v>46101</v>
      </c>
      <c r="D469" t="inlineStr">
        <is>
          <t>DALARNAS LÄN</t>
        </is>
      </c>
      <c r="E469" t="inlineStr">
        <is>
          <t>VANSBRO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1050-2025</t>
        </is>
      </c>
      <c r="B470" s="1" t="n">
        <v>45666.56121527778</v>
      </c>
      <c r="C470" s="1" t="n">
        <v>46101</v>
      </c>
      <c r="D470" t="inlineStr">
        <is>
          <t>DALARNAS LÄN</t>
        </is>
      </c>
      <c r="E470" t="inlineStr">
        <is>
          <t>VANSBRO</t>
        </is>
      </c>
      <c r="F470" t="inlineStr">
        <is>
          <t>Övriga statliga verk och myndigheter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32471-2024</t>
        </is>
      </c>
      <c r="B471" s="1" t="n">
        <v>45513.28902777778</v>
      </c>
      <c r="C471" s="1" t="n">
        <v>46101</v>
      </c>
      <c r="D471" t="inlineStr">
        <is>
          <t>DALARNAS LÄN</t>
        </is>
      </c>
      <c r="E471" t="inlineStr">
        <is>
          <t>VANSBRO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16823-2025</t>
        </is>
      </c>
      <c r="B472" s="1" t="n">
        <v>45754.64412037037</v>
      </c>
      <c r="C472" s="1" t="n">
        <v>46101</v>
      </c>
      <c r="D472" t="inlineStr">
        <is>
          <t>DALARNAS LÄN</t>
        </is>
      </c>
      <c r="E472" t="inlineStr">
        <is>
          <t>VANSBRO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16828-2025</t>
        </is>
      </c>
      <c r="B473" s="1" t="n">
        <v>45754.65523148148</v>
      </c>
      <c r="C473" s="1" t="n">
        <v>46101</v>
      </c>
      <c r="D473" t="inlineStr">
        <is>
          <t>DALARNAS LÄN</t>
        </is>
      </c>
      <c r="E473" t="inlineStr">
        <is>
          <t>VANSBRO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8793-2025</t>
        </is>
      </c>
      <c r="B474" s="1" t="n">
        <v>45712.64303240741</v>
      </c>
      <c r="C474" s="1" t="n">
        <v>46101</v>
      </c>
      <c r="D474" t="inlineStr">
        <is>
          <t>DALARNAS LÄN</t>
        </is>
      </c>
      <c r="E474" t="inlineStr">
        <is>
          <t>VANSBRO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60036-2023</t>
        </is>
      </c>
      <c r="B475" s="1" t="n">
        <v>45258.3330787037</v>
      </c>
      <c r="C475" s="1" t="n">
        <v>46101</v>
      </c>
      <c r="D475" t="inlineStr">
        <is>
          <t>DALARNAS LÄN</t>
        </is>
      </c>
      <c r="E475" t="inlineStr">
        <is>
          <t>VANSBRO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2086-2024</t>
        </is>
      </c>
      <c r="B476" s="1" t="n">
        <v>45309</v>
      </c>
      <c r="C476" s="1" t="n">
        <v>46101</v>
      </c>
      <c r="D476" t="inlineStr">
        <is>
          <t>DALARNAS LÄN</t>
        </is>
      </c>
      <c r="E476" t="inlineStr">
        <is>
          <t>VANSBRO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18882-2025</t>
        </is>
      </c>
      <c r="B477" s="1" t="n">
        <v>45764</v>
      </c>
      <c r="C477" s="1" t="n">
        <v>46101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47824-2023</t>
        </is>
      </c>
      <c r="B478" s="1" t="n">
        <v>45204.35577546297</v>
      </c>
      <c r="C478" s="1" t="n">
        <v>46101</v>
      </c>
      <c r="D478" t="inlineStr">
        <is>
          <t>DALARNAS LÄN</t>
        </is>
      </c>
      <c r="E478" t="inlineStr">
        <is>
          <t>VANSBRO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16836-2025</t>
        </is>
      </c>
      <c r="B479" s="1" t="n">
        <v>45754.66570601852</v>
      </c>
      <c r="C479" s="1" t="n">
        <v>46101</v>
      </c>
      <c r="D479" t="inlineStr">
        <is>
          <t>DALARNAS LÄN</t>
        </is>
      </c>
      <c r="E479" t="inlineStr">
        <is>
          <t>VANSBRO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42824-2023</t>
        </is>
      </c>
      <c r="B480" s="1" t="n">
        <v>45182.36759259259</v>
      </c>
      <c r="C480" s="1" t="n">
        <v>46101</v>
      </c>
      <c r="D480" t="inlineStr">
        <is>
          <t>DALARNAS LÄN</t>
        </is>
      </c>
      <c r="E480" t="inlineStr">
        <is>
          <t>VANSBRO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56986-2023</t>
        </is>
      </c>
      <c r="B481" s="1" t="n">
        <v>45244</v>
      </c>
      <c r="C481" s="1" t="n">
        <v>46101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2190-2025</t>
        </is>
      </c>
      <c r="B482" s="1" t="n">
        <v>45673.36819444445</v>
      </c>
      <c r="C482" s="1" t="n">
        <v>46101</v>
      </c>
      <c r="D482" t="inlineStr">
        <is>
          <t>DALARNAS LÄN</t>
        </is>
      </c>
      <c r="E482" t="inlineStr">
        <is>
          <t>VANSBRO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8076-2025</t>
        </is>
      </c>
      <c r="B483" s="1" t="n">
        <v>45707.65648148148</v>
      </c>
      <c r="C483" s="1" t="n">
        <v>46101</v>
      </c>
      <c r="D483" t="inlineStr">
        <is>
          <t>DALARNAS LÄN</t>
        </is>
      </c>
      <c r="E483" t="inlineStr">
        <is>
          <t>VANSBRO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57906-2024</t>
        </is>
      </c>
      <c r="B484" s="1" t="n">
        <v>45631.49017361111</v>
      </c>
      <c r="C484" s="1" t="n">
        <v>46101</v>
      </c>
      <c r="D484" t="inlineStr">
        <is>
          <t>DALARNAS LÄN</t>
        </is>
      </c>
      <c r="E484" t="inlineStr">
        <is>
          <t>VANSBRO</t>
        </is>
      </c>
      <c r="G484" t="n">
        <v>11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20636-2025</t>
        </is>
      </c>
      <c r="B485" s="1" t="n">
        <v>45776</v>
      </c>
      <c r="C485" s="1" t="n">
        <v>46101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20669-2025</t>
        </is>
      </c>
      <c r="B486" s="1" t="n">
        <v>45776</v>
      </c>
      <c r="C486" s="1" t="n">
        <v>46101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42207-2021</t>
        </is>
      </c>
      <c r="B487" s="1" t="n">
        <v>44426</v>
      </c>
      <c r="C487" s="1" t="n">
        <v>46101</v>
      </c>
      <c r="D487" t="inlineStr">
        <is>
          <t>DALARNAS LÄN</t>
        </is>
      </c>
      <c r="E487" t="inlineStr">
        <is>
          <t>VANSBRO</t>
        </is>
      </c>
      <c r="G487" t="n">
        <v>25.5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29288-2024</t>
        </is>
      </c>
      <c r="B488" s="1" t="n">
        <v>45483.31819444444</v>
      </c>
      <c r="C488" s="1" t="n">
        <v>46101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21616-2025</t>
        </is>
      </c>
      <c r="B489" s="1" t="n">
        <v>45783.40085648148</v>
      </c>
      <c r="C489" s="1" t="n">
        <v>46101</v>
      </c>
      <c r="D489" t="inlineStr">
        <is>
          <t>DALARNAS LÄN</t>
        </is>
      </c>
      <c r="E489" t="inlineStr">
        <is>
          <t>VANSBRO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21647-2025</t>
        </is>
      </c>
      <c r="B490" s="1" t="n">
        <v>45783</v>
      </c>
      <c r="C490" s="1" t="n">
        <v>46101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33250-2024</t>
        </is>
      </c>
      <c r="B491" s="1" t="n">
        <v>45518.63627314815</v>
      </c>
      <c r="C491" s="1" t="n">
        <v>46101</v>
      </c>
      <c r="D491" t="inlineStr">
        <is>
          <t>DALARNAS LÄN</t>
        </is>
      </c>
      <c r="E491" t="inlineStr">
        <is>
          <t>VANSBRO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2558-2025</t>
        </is>
      </c>
      <c r="B492" s="1" t="n">
        <v>45674.65028935186</v>
      </c>
      <c r="C492" s="1" t="n">
        <v>46101</v>
      </c>
      <c r="D492" t="inlineStr">
        <is>
          <t>DALARNAS LÄN</t>
        </is>
      </c>
      <c r="E492" t="inlineStr">
        <is>
          <t>VANSBRO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21656-2025</t>
        </is>
      </c>
      <c r="B493" s="1" t="n">
        <v>45783.45273148148</v>
      </c>
      <c r="C493" s="1" t="n">
        <v>46101</v>
      </c>
      <c r="D493" t="inlineStr">
        <is>
          <t>DALARNAS LÄN</t>
        </is>
      </c>
      <c r="E493" t="inlineStr">
        <is>
          <t>VANSBRO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46466-2024</t>
        </is>
      </c>
      <c r="B494" s="1" t="n">
        <v>45582</v>
      </c>
      <c r="C494" s="1" t="n">
        <v>46101</v>
      </c>
      <c r="D494" t="inlineStr">
        <is>
          <t>DALARNAS LÄN</t>
        </is>
      </c>
      <c r="E494" t="inlineStr">
        <is>
          <t>VANSBRO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23085-2022</t>
        </is>
      </c>
      <c r="B495" s="1" t="n">
        <v>44719</v>
      </c>
      <c r="C495" s="1" t="n">
        <v>46101</v>
      </c>
      <c r="D495" t="inlineStr">
        <is>
          <t>DALARNAS LÄN</t>
        </is>
      </c>
      <c r="E495" t="inlineStr">
        <is>
          <t>VANSBRO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30544-2024</t>
        </is>
      </c>
      <c r="B496" s="1" t="n">
        <v>45492</v>
      </c>
      <c r="C496" s="1" t="n">
        <v>46101</v>
      </c>
      <c r="D496" t="inlineStr">
        <is>
          <t>DALARNAS LÄN</t>
        </is>
      </c>
      <c r="E496" t="inlineStr">
        <is>
          <t>VANSBRO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29411-2024</t>
        </is>
      </c>
      <c r="B497" s="1" t="n">
        <v>45483.67493055556</v>
      </c>
      <c r="C497" s="1" t="n">
        <v>46101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23792-2025</t>
        </is>
      </c>
      <c r="B498" s="1" t="n">
        <v>45793.54155092593</v>
      </c>
      <c r="C498" s="1" t="n">
        <v>46101</v>
      </c>
      <c r="D498" t="inlineStr">
        <is>
          <t>DALARNAS LÄN</t>
        </is>
      </c>
      <c r="E498" t="inlineStr">
        <is>
          <t>VANSBRO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23743-2025</t>
        </is>
      </c>
      <c r="B499" s="1" t="n">
        <v>45793</v>
      </c>
      <c r="C499" s="1" t="n">
        <v>46101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4760-2025</t>
        </is>
      </c>
      <c r="B500" s="1" t="n">
        <v>45688.47202546296</v>
      </c>
      <c r="C500" s="1" t="n">
        <v>46101</v>
      </c>
      <c r="D500" t="inlineStr">
        <is>
          <t>DALARNAS LÄN</t>
        </is>
      </c>
      <c r="E500" t="inlineStr">
        <is>
          <t>VANSBRO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35516-2024</t>
        </is>
      </c>
      <c r="B501" s="1" t="n">
        <v>45531.56623842593</v>
      </c>
      <c r="C501" s="1" t="n">
        <v>46101</v>
      </c>
      <c r="D501" t="inlineStr">
        <is>
          <t>DALARNAS LÄN</t>
        </is>
      </c>
      <c r="E501" t="inlineStr">
        <is>
          <t>VANSBRO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24522-2025</t>
        </is>
      </c>
      <c r="B502" s="1" t="n">
        <v>45798</v>
      </c>
      <c r="C502" s="1" t="n">
        <v>46101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25247-2025</t>
        </is>
      </c>
      <c r="B503" s="1" t="n">
        <v>45800.49591435185</v>
      </c>
      <c r="C503" s="1" t="n">
        <v>46101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25494-2025</t>
        </is>
      </c>
      <c r="B504" s="1" t="n">
        <v>45803.33614583333</v>
      </c>
      <c r="C504" s="1" t="n">
        <v>46101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26387-2025</t>
        </is>
      </c>
      <c r="B505" s="1" t="n">
        <v>45806.5102662037</v>
      </c>
      <c r="C505" s="1" t="n">
        <v>46101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26667-2025</t>
        </is>
      </c>
      <c r="B506" s="1" t="n">
        <v>45810.4090625</v>
      </c>
      <c r="C506" s="1" t="n">
        <v>46101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26508-2025</t>
        </is>
      </c>
      <c r="B507" s="1" t="n">
        <v>45807</v>
      </c>
      <c r="C507" s="1" t="n">
        <v>46101</v>
      </c>
      <c r="D507" t="inlineStr">
        <is>
          <t>DALARNAS LÄN</t>
        </is>
      </c>
      <c r="E507" t="inlineStr">
        <is>
          <t>VANSBRO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26510-2025</t>
        </is>
      </c>
      <c r="B508" s="1" t="n">
        <v>45807</v>
      </c>
      <c r="C508" s="1" t="n">
        <v>46101</v>
      </c>
      <c r="D508" t="inlineStr">
        <is>
          <t>DALARNAS LÄN</t>
        </is>
      </c>
      <c r="E508" t="inlineStr">
        <is>
          <t>VANSBRO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26689-2025</t>
        </is>
      </c>
      <c r="B509" s="1" t="n">
        <v>45810.43638888889</v>
      </c>
      <c r="C509" s="1" t="n">
        <v>46101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26990-2025</t>
        </is>
      </c>
      <c r="B510" s="1" t="n">
        <v>45811.51887731482</v>
      </c>
      <c r="C510" s="1" t="n">
        <v>46101</v>
      </c>
      <c r="D510" t="inlineStr">
        <is>
          <t>DALARNAS LÄN</t>
        </is>
      </c>
      <c r="E510" t="inlineStr">
        <is>
          <t>VANSBRO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26995-2025</t>
        </is>
      </c>
      <c r="B511" s="1" t="n">
        <v>45811.53903935185</v>
      </c>
      <c r="C511" s="1" t="n">
        <v>46101</v>
      </c>
      <c r="D511" t="inlineStr">
        <is>
          <t>DALARNAS LÄN</t>
        </is>
      </c>
      <c r="E511" t="inlineStr">
        <is>
          <t>VANSBRO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26997-2025</t>
        </is>
      </c>
      <c r="B512" s="1" t="n">
        <v>45811.54238425926</v>
      </c>
      <c r="C512" s="1" t="n">
        <v>46101</v>
      </c>
      <c r="D512" t="inlineStr">
        <is>
          <t>DALARNAS LÄN</t>
        </is>
      </c>
      <c r="E512" t="inlineStr">
        <is>
          <t>VANSBRO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27052-2025</t>
        </is>
      </c>
      <c r="B513" s="1" t="n">
        <v>45811.62408564815</v>
      </c>
      <c r="C513" s="1" t="n">
        <v>46101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27015-2025</t>
        </is>
      </c>
      <c r="B514" s="1" t="n">
        <v>45811.56743055556</v>
      </c>
      <c r="C514" s="1" t="n">
        <v>46101</v>
      </c>
      <c r="D514" t="inlineStr">
        <is>
          <t>DALARNAS LÄN</t>
        </is>
      </c>
      <c r="E514" t="inlineStr">
        <is>
          <t>VANSBRO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27124-2025</t>
        </is>
      </c>
      <c r="B515" s="1" t="n">
        <v>45811.81252314815</v>
      </c>
      <c r="C515" s="1" t="n">
        <v>46101</v>
      </c>
      <c r="D515" t="inlineStr">
        <is>
          <t>DALARNAS LÄN</t>
        </is>
      </c>
      <c r="E515" t="inlineStr">
        <is>
          <t>VANSBRO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27000-2025</t>
        </is>
      </c>
      <c r="B516" s="1" t="n">
        <v>45811.54483796296</v>
      </c>
      <c r="C516" s="1" t="n">
        <v>46101</v>
      </c>
      <c r="D516" t="inlineStr">
        <is>
          <t>DALARNAS LÄN</t>
        </is>
      </c>
      <c r="E516" t="inlineStr">
        <is>
          <t>VANSBRO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27504-2025</t>
        </is>
      </c>
      <c r="B517" s="1" t="n">
        <v>45813.42409722223</v>
      </c>
      <c r="C517" s="1" t="n">
        <v>46101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6050-2025</t>
        </is>
      </c>
      <c r="B518" s="1" t="n">
        <v>45695</v>
      </c>
      <c r="C518" s="1" t="n">
        <v>46101</v>
      </c>
      <c r="D518" t="inlineStr">
        <is>
          <t>DALARNAS LÄN</t>
        </is>
      </c>
      <c r="E518" t="inlineStr">
        <is>
          <t>VANSBRO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28007-2025</t>
        </is>
      </c>
      <c r="B519" s="1" t="n">
        <v>45817</v>
      </c>
      <c r="C519" s="1" t="n">
        <v>46101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27963-2025</t>
        </is>
      </c>
      <c r="B520" s="1" t="n">
        <v>45817.55212962963</v>
      </c>
      <c r="C520" s="1" t="n">
        <v>46101</v>
      </c>
      <c r="D520" t="inlineStr">
        <is>
          <t>DALARNAS LÄN</t>
        </is>
      </c>
      <c r="E520" t="inlineStr">
        <is>
          <t>VANSBRO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28010-2025</t>
        </is>
      </c>
      <c r="B521" s="1" t="n">
        <v>45817</v>
      </c>
      <c r="C521" s="1" t="n">
        <v>46101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28011-2025</t>
        </is>
      </c>
      <c r="B522" s="1" t="n">
        <v>45817.60616898148</v>
      </c>
      <c r="C522" s="1" t="n">
        <v>46101</v>
      </c>
      <c r="D522" t="inlineStr">
        <is>
          <t>DALARNAS LÄN</t>
        </is>
      </c>
      <c r="E522" t="inlineStr">
        <is>
          <t>VANSBRO</t>
        </is>
      </c>
      <c r="G522" t="n">
        <v>15.8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28469-2025</t>
        </is>
      </c>
      <c r="B523" s="1" t="n">
        <v>45819.42872685185</v>
      </c>
      <c r="C523" s="1" t="n">
        <v>46101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öst AB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28470-2025</t>
        </is>
      </c>
      <c r="B524" s="1" t="n">
        <v>45819.43546296296</v>
      </c>
      <c r="C524" s="1" t="n">
        <v>46101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29281-2025</t>
        </is>
      </c>
      <c r="B525" s="1" t="n">
        <v>45824.42596064815</v>
      </c>
      <c r="C525" s="1" t="n">
        <v>46101</v>
      </c>
      <c r="D525" t="inlineStr">
        <is>
          <t>DALARNAS LÄN</t>
        </is>
      </c>
      <c r="E525" t="inlineStr">
        <is>
          <t>VANSBRO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30133-2025</t>
        </is>
      </c>
      <c r="B526" s="1" t="n">
        <v>45826</v>
      </c>
      <c r="C526" s="1" t="n">
        <v>46101</v>
      </c>
      <c r="D526" t="inlineStr">
        <is>
          <t>DALARNAS LÄN</t>
        </is>
      </c>
      <c r="E526" t="inlineStr">
        <is>
          <t>VANSBRO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31191-2025</t>
        </is>
      </c>
      <c r="B527" s="1" t="n">
        <v>45832.68217592593</v>
      </c>
      <c r="C527" s="1" t="n">
        <v>46101</v>
      </c>
      <c r="D527" t="inlineStr">
        <is>
          <t>DALARNAS LÄN</t>
        </is>
      </c>
      <c r="E527" t="inlineStr">
        <is>
          <t>VANSBRO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31196-2025</t>
        </is>
      </c>
      <c r="B528" s="1" t="n">
        <v>45832.68709490741</v>
      </c>
      <c r="C528" s="1" t="n">
        <v>46101</v>
      </c>
      <c r="D528" t="inlineStr">
        <is>
          <t>DALARNAS LÄN</t>
        </is>
      </c>
      <c r="E528" t="inlineStr">
        <is>
          <t>VANSBRO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31198-2025</t>
        </is>
      </c>
      <c r="B529" s="1" t="n">
        <v>45832</v>
      </c>
      <c r="C529" s="1" t="n">
        <v>46101</v>
      </c>
      <c r="D529" t="inlineStr">
        <is>
          <t>DALARNAS LÄN</t>
        </is>
      </c>
      <c r="E529" t="inlineStr">
        <is>
          <t>VANSBRO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31125-2025</t>
        </is>
      </c>
      <c r="B530" s="1" t="n">
        <v>45832.62859953703</v>
      </c>
      <c r="C530" s="1" t="n">
        <v>46101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31499-2025</t>
        </is>
      </c>
      <c r="B531" s="1" t="n">
        <v>45833.5853125</v>
      </c>
      <c r="C531" s="1" t="n">
        <v>46101</v>
      </c>
      <c r="D531" t="inlineStr">
        <is>
          <t>DALARNAS LÄN</t>
        </is>
      </c>
      <c r="E531" t="inlineStr">
        <is>
          <t>VANSBRO</t>
        </is>
      </c>
      <c r="G531" t="n">
        <v>27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31329-2025</t>
        </is>
      </c>
      <c r="B532" s="1" t="n">
        <v>45833.41353009259</v>
      </c>
      <c r="C532" s="1" t="n">
        <v>46101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väst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31489-2025</t>
        </is>
      </c>
      <c r="B533" s="1" t="n">
        <v>45833</v>
      </c>
      <c r="C533" s="1" t="n">
        <v>46101</v>
      </c>
      <c r="D533" t="inlineStr">
        <is>
          <t>DALARNAS LÄN</t>
        </is>
      </c>
      <c r="E533" t="inlineStr">
        <is>
          <t>VANSBRO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31495-2025</t>
        </is>
      </c>
      <c r="B534" s="1" t="n">
        <v>45833.5831712963</v>
      </c>
      <c r="C534" s="1" t="n">
        <v>46101</v>
      </c>
      <c r="D534" t="inlineStr">
        <is>
          <t>DALARNAS LÄN</t>
        </is>
      </c>
      <c r="E534" t="inlineStr">
        <is>
          <t>VANSBRO</t>
        </is>
      </c>
      <c r="G534" t="n">
        <v>11.6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31516-2025</t>
        </is>
      </c>
      <c r="B535" s="1" t="n">
        <v>45833</v>
      </c>
      <c r="C535" s="1" t="n">
        <v>46101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31474-2025</t>
        </is>
      </c>
      <c r="B536" s="1" t="n">
        <v>45833</v>
      </c>
      <c r="C536" s="1" t="n">
        <v>46101</v>
      </c>
      <c r="D536" t="inlineStr">
        <is>
          <t>DALARNAS LÄN</t>
        </is>
      </c>
      <c r="E536" t="inlineStr">
        <is>
          <t>VANSBRO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31494-2025</t>
        </is>
      </c>
      <c r="B537" s="1" t="n">
        <v>45833</v>
      </c>
      <c r="C537" s="1" t="n">
        <v>46101</v>
      </c>
      <c r="D537" t="inlineStr">
        <is>
          <t>DALARNAS LÄN</t>
        </is>
      </c>
      <c r="E537" t="inlineStr">
        <is>
          <t>VANSBRO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32040-2025</t>
        </is>
      </c>
      <c r="B538" s="1" t="n">
        <v>45835.42917824074</v>
      </c>
      <c r="C538" s="1" t="n">
        <v>46101</v>
      </c>
      <c r="D538" t="inlineStr">
        <is>
          <t>DALARNAS LÄN</t>
        </is>
      </c>
      <c r="E538" t="inlineStr">
        <is>
          <t>VANSBRO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32150-2025</t>
        </is>
      </c>
      <c r="B539" s="1" t="n">
        <v>45835.53105324074</v>
      </c>
      <c r="C539" s="1" t="n">
        <v>46101</v>
      </c>
      <c r="D539" t="inlineStr">
        <is>
          <t>DALARNAS LÄN</t>
        </is>
      </c>
      <c r="E539" t="inlineStr">
        <is>
          <t>VANSBRO</t>
        </is>
      </c>
      <c r="F539" t="inlineStr">
        <is>
          <t>Övriga statliga verk och myndigheter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33109-2025</t>
        </is>
      </c>
      <c r="B540" s="1" t="n">
        <v>45840</v>
      </c>
      <c r="C540" s="1" t="n">
        <v>46101</v>
      </c>
      <c r="D540" t="inlineStr">
        <is>
          <t>DALARNAS LÄN</t>
        </is>
      </c>
      <c r="E540" t="inlineStr">
        <is>
          <t>VANSBRO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33036-2025</t>
        </is>
      </c>
      <c r="B541" s="1" t="n">
        <v>45840.39614583334</v>
      </c>
      <c r="C541" s="1" t="n">
        <v>46101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öst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33056-2025</t>
        </is>
      </c>
      <c r="B542" s="1" t="n">
        <v>45840</v>
      </c>
      <c r="C542" s="1" t="n">
        <v>46101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öst AB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33000-2025</t>
        </is>
      </c>
      <c r="B543" s="1" t="n">
        <v>45840.3518287037</v>
      </c>
      <c r="C543" s="1" t="n">
        <v>46101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33003-2025</t>
        </is>
      </c>
      <c r="B544" s="1" t="n">
        <v>45840.35265046296</v>
      </c>
      <c r="C544" s="1" t="n">
        <v>46101</v>
      </c>
      <c r="D544" t="inlineStr">
        <is>
          <t>DALARNAS LÄN</t>
        </is>
      </c>
      <c r="E544" t="inlineStr">
        <is>
          <t>VANSBRO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HYPERLINK("https://klasma.github.io/Logging_2021/knärot/A 33003-2025 karta knärot.png", "A 33003-2025")</f>
        <v/>
      </c>
      <c r="V544">
        <f>HYPERLINK("https://klasma.github.io/Logging_2021/klagomål/A 33003-2025 FSC-klagomål.docx", "A 33003-2025")</f>
        <v/>
      </c>
      <c r="W544">
        <f>HYPERLINK("https://klasma.github.io/Logging_2021/klagomålsmail/A 33003-2025 FSC-klagomål mail.docx", "A 33003-2025")</f>
        <v/>
      </c>
      <c r="X544">
        <f>HYPERLINK("https://klasma.github.io/Logging_2021/tillsyn/A 33003-2025 tillsynsbegäran.docx", "A 33003-2025")</f>
        <v/>
      </c>
      <c r="Y544">
        <f>HYPERLINK("https://klasma.github.io/Logging_2021/tillsynsmail/A 33003-2025 tillsynsbegäran mail.docx", "A 33003-2025")</f>
        <v/>
      </c>
    </row>
    <row r="545" ht="15" customHeight="1">
      <c r="A545" t="inlineStr">
        <is>
          <t>A 34440-2025</t>
        </is>
      </c>
      <c r="B545" s="1" t="n">
        <v>45846.69233796297</v>
      </c>
      <c r="C545" s="1" t="n">
        <v>46101</v>
      </c>
      <c r="D545" t="inlineStr">
        <is>
          <t>DALARNAS LÄN</t>
        </is>
      </c>
      <c r="E545" t="inlineStr">
        <is>
          <t>VANSBRO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34293-2025</t>
        </is>
      </c>
      <c r="B546" s="1" t="n">
        <v>45846.34346064815</v>
      </c>
      <c r="C546" s="1" t="n">
        <v>46101</v>
      </c>
      <c r="D546" t="inlineStr">
        <is>
          <t>DALARNAS LÄN</t>
        </is>
      </c>
      <c r="E546" t="inlineStr">
        <is>
          <t>VANSBRO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34303-2025</t>
        </is>
      </c>
      <c r="B547" s="1" t="n">
        <v>45846.35042824074</v>
      </c>
      <c r="C547" s="1" t="n">
        <v>46101</v>
      </c>
      <c r="D547" t="inlineStr">
        <is>
          <t>DALARNAS LÄN</t>
        </is>
      </c>
      <c r="E547" t="inlineStr">
        <is>
          <t>VANSBRO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34283-2025</t>
        </is>
      </c>
      <c r="B548" s="1" t="n">
        <v>45846.32387731481</v>
      </c>
      <c r="C548" s="1" t="n">
        <v>46101</v>
      </c>
      <c r="D548" t="inlineStr">
        <is>
          <t>DALARNAS LÄN</t>
        </is>
      </c>
      <c r="E548" t="inlineStr">
        <is>
          <t>VANSBRO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39609-2025</t>
        </is>
      </c>
      <c r="B549" s="1" t="n">
        <v>45890</v>
      </c>
      <c r="C549" s="1" t="n">
        <v>46101</v>
      </c>
      <c r="D549" t="inlineStr">
        <is>
          <t>DALARNAS LÄN</t>
        </is>
      </c>
      <c r="E549" t="inlineStr">
        <is>
          <t>VANSBRO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35284-2025</t>
        </is>
      </c>
      <c r="B550" s="1" t="n">
        <v>45854.36267361111</v>
      </c>
      <c r="C550" s="1" t="n">
        <v>46101</v>
      </c>
      <c r="D550" t="inlineStr">
        <is>
          <t>DALARNAS LÄN</t>
        </is>
      </c>
      <c r="E550" t="inlineStr">
        <is>
          <t>VANSBRO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2026-03-20T11:33:49Z</dcterms:created>
  <dcterms:modified xmlns:dcterms="http://purl.org/dc/terms/" xmlns:xsi="http://www.w3.org/2001/XMLSchema-instance" xsi:type="dcterms:W3CDTF">2026-03-20T11:33:50Z</dcterms:modified>
</cp:coreProperties>
</file>