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46297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46297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46297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46297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46297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46297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46297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46297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46297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46297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46297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46297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46297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46297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46297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46297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46297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46297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46297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11477-2026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46083</v>
      </c>
      <c r="E21" s="1" t="n">
        <v>46297</v>
      </c>
      <c r="F21" t="inlineStr">
        <is>
          <t>DALARNAS LÄN</t>
        </is>
      </c>
      <c r="G21" t="inlineStr">
        <is>
          <t>VANSBRO</t>
        </is>
      </c>
      <c r="I21" t="n">
        <v>14.5</v>
      </c>
      <c r="J21" t="n">
        <v>0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Dvärgbägarlav
Nordtagging
Vedskivlav</t>
        </is>
      </c>
      <c r="W21">
        <f>HYPERLINK("https://klasma.github.io/Logging_2021/artfynd/A 11477-2026 artfynd.xlsx", "A 11477-2026")</f>
        <v/>
      </c>
      <c r="X21">
        <f>HYPERLINK("https://klasma.github.io/Logging_2021/kartor/A 11477-2026 karta.png", "A 11477-2026")</f>
        <v/>
      </c>
      <c r="Y21">
        <f>HYPERLINK("https://klasma.github.io/Logging_2021/kartor_geotiff/A 11477-2026 georefererad karta.tif", "A 11477-2026")</f>
        <v/>
      </c>
      <c r="AA21">
        <f>HYPERLINK("https://klasma.github.io/Logging_2021/klagomål/A 11477-2026 FSC-klagomål.docx", "A 11477-2026")</f>
        <v/>
      </c>
      <c r="AB21">
        <f>HYPERLINK("https://klasma.github.io/Logging_2021/klagomålsmail/A 11477-2026 FSC-klagomål mail.docx", "A 11477-2026")</f>
        <v/>
      </c>
      <c r="AC21">
        <f>HYPERLINK("https://klasma.github.io/Logging_2021/tillsyn/A 11477-2026 tillsynsbegäran.docx", "A 11477-2026")</f>
        <v/>
      </c>
      <c r="AD21">
        <f>HYPERLINK("https://klasma.github.io/Logging_2021/tillsynsmail/A 11477-2026 tillsynsbegäran mail.docx", "A 11477-2026")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46297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46297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46297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46297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3854-2024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46297</v>
      </c>
      <c r="F26" t="inlineStr">
        <is>
          <t>DALARNAS LÄN</t>
        </is>
      </c>
      <c r="G26" t="inlineStr">
        <is>
          <t>VANSBRO</t>
        </is>
      </c>
      <c r="H26" t="inlineStr">
        <is>
          <t>Kyrkan</t>
        </is>
      </c>
      <c r="I26" t="n">
        <v>4.6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3</v>
      </c>
      <c r="V26" s="2" t="inlineStr">
        <is>
          <t>Garnlav
Tretåig hackspett
Björksplintborre
Utter</t>
        </is>
      </c>
      <c r="W26">
        <f>HYPERLINK("https://klasma.github.io/Logging_2021/artfynd/A 3854-2024 artfynd.xlsx", "A 3854-2024")</f>
        <v/>
      </c>
      <c r="X26">
        <f>HYPERLINK("https://klasma.github.io/Logging_2021/kartor/A 3854-2024 karta.png", "A 3854-2024")</f>
        <v/>
      </c>
      <c r="Y26">
        <f>HYPERLINK("https://klasma.github.io/Logging_2021/kartor_geotiff/A 3854-2024 georefererad karta.tif", "A 3854-2024")</f>
        <v/>
      </c>
      <c r="AA26">
        <f>HYPERLINK("https://klasma.github.io/Logging_2021/klagomål/A 3854-2024 FSC-klagomål.docx", "A 3854-2024")</f>
        <v/>
      </c>
      <c r="AB26">
        <f>HYPERLINK("https://klasma.github.io/Logging_2021/klagomålsmail/A 3854-2024 FSC-klagomål mail.docx", "A 3854-2024")</f>
        <v/>
      </c>
      <c r="AC26">
        <f>HYPERLINK("https://klasma.github.io/Logging_2021/tillsyn/A 3854-2024 tillsynsbegäran.docx", "A 3854-2024")</f>
        <v/>
      </c>
      <c r="AD26">
        <f>HYPERLINK("https://klasma.github.io/Logging_2021/tillsynsmail/A 3854-2024 tillsynsbegäran mail.docx", "A 3854-2024")</f>
        <v/>
      </c>
      <c r="AE26">
        <f>HYPERLINK("https://klasma.github.io/Logging_2021/fåglar/A 3854-2024 prioriterade fågelarter.docx", "A 3854-2024")</f>
        <v/>
      </c>
    </row>
    <row r="27" ht="15" customHeight="1">
      <c r="A27" t="inlineStr">
        <is>
          <t>A 27504-2025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46297</v>
      </c>
      <c r="F27" t="inlineStr">
        <is>
          <t>DALARNAS LÄN</t>
        </is>
      </c>
      <c r="G27" t="inlineStr">
        <is>
          <t>VANSBRO</t>
        </is>
      </c>
      <c r="H27" t="inlineStr">
        <is>
          <t>Bergvik skog väst AB</t>
        </is>
      </c>
      <c r="I27" t="n">
        <v>3.4</v>
      </c>
      <c r="J27" t="n">
        <v>0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Garnlav
Kortskaftad ärgspik
Vedticka</t>
        </is>
      </c>
      <c r="W27">
        <f>HYPERLINK("https://klasma.github.io/Logging_2021/artfynd/A 27504-2025 artfynd.xlsx", "A 27504-2025")</f>
        <v/>
      </c>
      <c r="X27">
        <f>HYPERLINK("https://klasma.github.io/Logging_2021/kartor/A 27504-2025 karta.png", "A 27504-2025")</f>
        <v/>
      </c>
      <c r="Y27">
        <f>HYPERLINK("https://klasma.github.io/Logging_2021/kartor_geotiff/A 27504-2025 georefererad karta.tif", "A 27504-2025")</f>
        <v/>
      </c>
      <c r="AA27">
        <f>HYPERLINK("https://klasma.github.io/Logging_2021/klagomål/A 27504-2025 FSC-klagomål.docx", "A 27504-2025")</f>
        <v/>
      </c>
      <c r="AB27">
        <f>HYPERLINK("https://klasma.github.io/Logging_2021/klagomålsmail/A 27504-2025 FSC-klagomål mail.docx", "A 27504-2025")</f>
        <v/>
      </c>
      <c r="AC27">
        <f>HYPERLINK("https://klasma.github.io/Logging_2021/tillsyn/A 27504-2025 tillsynsbegäran.docx", "A 27504-2025")</f>
        <v/>
      </c>
      <c r="AD27">
        <f>HYPERLINK("https://klasma.github.io/Logging_2021/tillsynsmail/A 27504-2025 tillsynsbegäran mail.docx", "A 27504-2025")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46297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46297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46297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46297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46297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46297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46297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46297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46297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3918-2026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46297</v>
      </c>
      <c r="F38" t="inlineStr">
        <is>
          <t>DALARNAS LÄN</t>
        </is>
      </c>
      <c r="G38" t="inlineStr">
        <is>
          <t>VANSBRO</t>
        </is>
      </c>
      <c r="I38" t="n">
        <v>6.2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Duvhök</t>
        </is>
      </c>
      <c r="W38">
        <f>HYPERLINK("https://klasma.github.io/Logging_2021/artfynd/A 3918-2026 artfynd.xlsx", "A 3918-2026")</f>
        <v/>
      </c>
      <c r="X38">
        <f>HYPERLINK("https://klasma.github.io/Logging_2021/kartor/A 3918-2026 karta.png", "A 3918-2026")</f>
        <v/>
      </c>
      <c r="Y38">
        <f>HYPERLINK("https://klasma.github.io/Logging_2021/kartor_geotiff/A 3918-2026 georefererad karta.tif", "A 3918-2026")</f>
        <v/>
      </c>
      <c r="AA38">
        <f>HYPERLINK("https://klasma.github.io/Logging_2021/klagomål/A 3918-2026 FSC-klagomål.docx", "A 3918-2026")</f>
        <v/>
      </c>
      <c r="AB38">
        <f>HYPERLINK("https://klasma.github.io/Logging_2021/klagomålsmail/A 3918-2026 FSC-klagomål mail.docx", "A 3918-2026")</f>
        <v/>
      </c>
      <c r="AC38">
        <f>HYPERLINK("https://klasma.github.io/Logging_2021/tillsyn/A 3918-2026 tillsynsbegäran.docx", "A 3918-2026")</f>
        <v/>
      </c>
      <c r="AD38">
        <f>HYPERLINK("https://klasma.github.io/Logging_2021/tillsynsmail/A 3918-2026 tillsynsbegäran mail.docx", "A 3918-2026")</f>
        <v/>
      </c>
      <c r="AE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46297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rörsvepemossa</t>
        </is>
      </c>
      <c r="W39">
        <f>HYPERLINK("https://klasma.github.io/Logging_2021/artfynd/A 5659-2026 artfynd.xlsx", "A 5659-2026")</f>
        <v/>
      </c>
      <c r="X39">
        <f>HYPERLINK("https://klasma.github.io/Logging_2021/kartor/A 5659-2026 karta.png", "A 5659-2026")</f>
        <v/>
      </c>
      <c r="Y39">
        <f>HYPERLINK("https://klasma.github.io/Logging_2021/kartor_geotiff/A 5659-2026 georefererad karta.tif", "A 5659-2026")</f>
        <v/>
      </c>
      <c r="Z39">
        <f>HYPERLINK("https://klasma.github.io/Logging_2021/knärot/A 5659-2026 karta knärot.png", "A 5659-2026")</f>
        <v/>
      </c>
      <c r="AA39">
        <f>HYPERLINK("https://klasma.github.io/Logging_2021/klagomål/A 5659-2026 FSC-klagomål.docx", "A 5659-2026")</f>
        <v/>
      </c>
      <c r="AB39">
        <f>HYPERLINK("https://klasma.github.io/Logging_2021/klagomålsmail/A 5659-2026 FSC-klagomål mail.docx", "A 5659-2026")</f>
        <v/>
      </c>
      <c r="AC39">
        <f>HYPERLINK("https://klasma.github.io/Logging_2021/tillsyn/A 5659-2026 tillsynsbegäran.docx", "A 5659-2026")</f>
        <v/>
      </c>
      <c r="AD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46297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46297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46297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46297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46297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46297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26756-2026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46297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11.4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HYPERLINK("https://klasma.github.io/Logging_2021/artfynd/A 26756-2026 artfynd.xlsx", "A 26756-2026")</f>
        <v/>
      </c>
      <c r="X46">
        <f>HYPERLINK("https://klasma.github.io/Logging_2021/kartor/A 26756-2026 karta.png", "A 26756-2026")</f>
        <v/>
      </c>
      <c r="Y46">
        <f>HYPERLINK("https://klasma.github.io/Logging_2021/kartor_geotiff/A 26756-2026 georefererad karta.tif", "A 26756-2026")</f>
        <v/>
      </c>
      <c r="AA46">
        <f>HYPERLINK("https://klasma.github.io/Logging_2021/klagomål/A 26756-2026 FSC-klagomål.docx", "A 26756-2026")</f>
        <v/>
      </c>
      <c r="AB46">
        <f>HYPERLINK("https://klasma.github.io/Logging_2021/klagomålsmail/A 26756-2026 FSC-klagomål mail.docx", "A 26756-2026")</f>
        <v/>
      </c>
      <c r="AC46">
        <f>HYPERLINK("https://klasma.github.io/Logging_2021/tillsyn/A 26756-2026 tillsynsbegäran.docx", "A 26756-2026")</f>
        <v/>
      </c>
      <c r="AD46">
        <f>HYPERLINK("https://klasma.github.io/Logging_2021/tillsynsmail/A 26756-2026 tillsynsbegäran mail.docx", "A 26756-2026")</f>
        <v/>
      </c>
      <c r="AE46">
        <f>HYPERLINK("https://klasma.github.io/Logging_2021/fåglar/A 26756-2026 prioriterade fågelarter.docx", "A 26756-2026")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46297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46297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46297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46297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46297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46297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46297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46297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46297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46297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46297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46297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46297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46297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46297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46297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46297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46297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46297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46297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46297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46297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46297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46297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46297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46297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46297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46297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46297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46297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46297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46297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46297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46297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46297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46297</v>
      </c>
      <c r="F82" t="inlineStr">
        <is>
          <t>DALARNAS LÄN</t>
        </is>
      </c>
      <c r="G82" t="inlineStr">
        <is>
          <t>VANSBRO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46297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46297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46297</v>
      </c>
      <c r="F85" t="inlineStr">
        <is>
          <t>DALARNAS LÄN</t>
        </is>
      </c>
      <c r="G85" t="inlineStr">
        <is>
          <t>VANSBRO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46297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46297</v>
      </c>
      <c r="F87" t="inlineStr">
        <is>
          <t>DALARNAS LÄN</t>
        </is>
      </c>
      <c r="G87" t="inlineStr">
        <is>
          <t>VANSBRO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46297</v>
      </c>
      <c r="F88" t="inlineStr">
        <is>
          <t>DALARNAS LÄN</t>
        </is>
      </c>
      <c r="G88" t="inlineStr">
        <is>
          <t>VANSBRO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45512</v>
      </c>
      <c r="E89" s="1" t="n">
        <v>46297</v>
      </c>
      <c r="F89" t="inlineStr">
        <is>
          <t>DALARNAS LÄN</t>
        </is>
      </c>
      <c r="G89" t="inlineStr">
        <is>
          <t>VANSBRO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29411-2024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46297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46297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49565-2022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44862</v>
      </c>
      <c r="E92" s="1" t="n">
        <v>46297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46297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46297</v>
      </c>
      <c r="F94" t="inlineStr">
        <is>
          <t>DALARNAS LÄN</t>
        </is>
      </c>
      <c r="G94" t="inlineStr">
        <is>
          <t>VANSBRO</t>
        </is>
      </c>
      <c r="H94" t="inlineStr">
        <is>
          <t>Övriga statliga verk och myndigheter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46297</v>
      </c>
      <c r="F95" t="inlineStr">
        <is>
          <t>DALARNAS LÄN</t>
        </is>
      </c>
      <c r="G95" t="inlineStr">
        <is>
          <t>VANSBRO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46297</v>
      </c>
      <c r="F96" t="inlineStr">
        <is>
          <t>DALARNAS LÄN</t>
        </is>
      </c>
      <c r="G96" t="inlineStr">
        <is>
          <t>VANSBRO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46297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46297</v>
      </c>
      <c r="F98" t="inlineStr">
        <is>
          <t>DALARNAS LÄN</t>
        </is>
      </c>
      <c r="G98" t="inlineStr">
        <is>
          <t>VANSBRO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46033</v>
      </c>
      <c r="E99" s="1" t="n">
        <v>46297</v>
      </c>
      <c r="F99" t="inlineStr">
        <is>
          <t>DALARNAS LÄN</t>
        </is>
      </c>
      <c r="G99" t="inlineStr">
        <is>
          <t>VANSBRO</t>
        </is>
      </c>
      <c r="I99" t="n">
        <v>9.9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46297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46297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46297</v>
      </c>
      <c r="F102" t="inlineStr">
        <is>
          <t>DALARNAS LÄN</t>
        </is>
      </c>
      <c r="G102" t="inlineStr">
        <is>
          <t>VANSBRO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46297</v>
      </c>
      <c r="F103" t="inlineStr">
        <is>
          <t>DALARNAS LÄN</t>
        </is>
      </c>
      <c r="G103" t="inlineStr">
        <is>
          <t>VANSBRO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46297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46297</v>
      </c>
      <c r="F105" t="inlineStr">
        <is>
          <t>DALARNAS LÄN</t>
        </is>
      </c>
      <c r="G105" t="inlineStr">
        <is>
          <t>VANSBRO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46297</v>
      </c>
      <c r="F106" t="inlineStr">
        <is>
          <t>DALARNAS LÄN</t>
        </is>
      </c>
      <c r="G106" t="inlineStr">
        <is>
          <t>VANSBRO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46297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46297</v>
      </c>
      <c r="F108" t="inlineStr">
        <is>
          <t>DALARNAS LÄN</t>
        </is>
      </c>
      <c r="G108" t="inlineStr">
        <is>
          <t>VANSBRO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46297</v>
      </c>
      <c r="F109" t="inlineStr">
        <is>
          <t>DALARNAS LÄN</t>
        </is>
      </c>
      <c r="G109" t="inlineStr">
        <is>
          <t>VANSBRO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46297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46297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46297</v>
      </c>
      <c r="F112" t="inlineStr">
        <is>
          <t>DALARNAS LÄN</t>
        </is>
      </c>
      <c r="G112" t="inlineStr">
        <is>
          <t>VANSBRO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46297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46050</v>
      </c>
      <c r="E114" s="1" t="n">
        <v>46297</v>
      </c>
      <c r="F114" t="inlineStr">
        <is>
          <t>DALARNAS LÄN</t>
        </is>
      </c>
      <c r="G114" t="inlineStr">
        <is>
          <t>VANSBRO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46297</v>
      </c>
      <c r="F115" t="inlineStr">
        <is>
          <t>DALARNAS LÄN</t>
        </is>
      </c>
      <c r="G115" t="inlineStr">
        <is>
          <t>VANSBRO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46297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46297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46297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46049</v>
      </c>
      <c r="E119" s="1" t="n">
        <v>46297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46297</v>
      </c>
      <c r="F120" t="inlineStr">
        <is>
          <t>DALARNAS LÄN</t>
        </is>
      </c>
      <c r="G120" t="inlineStr">
        <is>
          <t>VANSBRO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46297</v>
      </c>
      <c r="F121" t="inlineStr">
        <is>
          <t>DALARNAS LÄN</t>
        </is>
      </c>
      <c r="G121" t="inlineStr">
        <is>
          <t>VANSBRO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46297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46297</v>
      </c>
      <c r="F123" t="inlineStr">
        <is>
          <t>DALARNAS LÄN</t>
        </is>
      </c>
      <c r="G123" t="inlineStr">
        <is>
          <t>VANSBRO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41290-2023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46297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46297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60848-2024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46297</v>
      </c>
      <c r="F126" t="inlineStr">
        <is>
          <t>DALARNAS LÄN</t>
        </is>
      </c>
      <c r="G126" t="inlineStr">
        <is>
          <t>VANSBRO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46297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46058</v>
      </c>
      <c r="E128" s="1" t="n">
        <v>46297</v>
      </c>
      <c r="F128" t="inlineStr">
        <is>
          <t>DALARNAS LÄN</t>
        </is>
      </c>
      <c r="G128" t="inlineStr">
        <is>
          <t>VANSBRO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46058</v>
      </c>
      <c r="E129" s="1" t="n">
        <v>46297</v>
      </c>
      <c r="F129" t="inlineStr">
        <is>
          <t>DALARNAS LÄN</t>
        </is>
      </c>
      <c r="G129" t="inlineStr">
        <is>
          <t>VANSBRO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46297</v>
      </c>
      <c r="F130" t="inlineStr">
        <is>
          <t>DALARNAS LÄN</t>
        </is>
      </c>
      <c r="G130" t="inlineStr">
        <is>
          <t>VANSBRO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46297</v>
      </c>
      <c r="F131" t="inlineStr">
        <is>
          <t>DALARNAS LÄN</t>
        </is>
      </c>
      <c r="G131" t="inlineStr">
        <is>
          <t>VANSBRO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46297</v>
      </c>
      <c r="F132" t="inlineStr">
        <is>
          <t>DALARNAS LÄN</t>
        </is>
      </c>
      <c r="G132" t="inlineStr">
        <is>
          <t>VANSBRO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46297</v>
      </c>
      <c r="F133" t="inlineStr">
        <is>
          <t>DALARNAS LÄN</t>
        </is>
      </c>
      <c r="G133" t="inlineStr">
        <is>
          <t>VANSBRO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46297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46297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17.6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46297</v>
      </c>
      <c r="F136" t="inlineStr">
        <is>
          <t>DALARNAS LÄN</t>
        </is>
      </c>
      <c r="G136" t="inlineStr">
        <is>
          <t>VANSBRO</t>
        </is>
      </c>
      <c r="I136" t="n">
        <v>15.1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45491</v>
      </c>
      <c r="E137" s="1" t="n">
        <v>46297</v>
      </c>
      <c r="F137" t="inlineStr">
        <is>
          <t>DALARNAS LÄN</t>
        </is>
      </c>
      <c r="G137" t="inlineStr">
        <is>
          <t>VANSBRO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1140-2025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45666</v>
      </c>
      <c r="E138" s="1" t="n">
        <v>46297</v>
      </c>
      <c r="F138" t="inlineStr">
        <is>
          <t>DALARNAS LÄN</t>
        </is>
      </c>
      <c r="G138" t="inlineStr">
        <is>
          <t>VANSBRO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46297</v>
      </c>
      <c r="F139" t="inlineStr">
        <is>
          <t>DALARNAS LÄN</t>
        </is>
      </c>
      <c r="G139" t="inlineStr">
        <is>
          <t>VANSBRO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46297</v>
      </c>
      <c r="F140" t="inlineStr">
        <is>
          <t>DALARNAS LÄN</t>
        </is>
      </c>
      <c r="G140" t="inlineStr">
        <is>
          <t>VANSBRO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46297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46297</v>
      </c>
      <c r="F142" t="inlineStr">
        <is>
          <t>DALARNAS LÄN</t>
        </is>
      </c>
      <c r="G142" t="inlineStr">
        <is>
          <t>VANSBRO</t>
        </is>
      </c>
      <c r="H142" t="inlineStr">
        <is>
          <t>Övriga statliga verk och myndigheter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46297</v>
      </c>
      <c r="F143" t="inlineStr">
        <is>
          <t>DALARNAS LÄN</t>
        </is>
      </c>
      <c r="G143" t="inlineStr">
        <is>
          <t>VANSBRO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46297</v>
      </c>
      <c r="F144" t="inlineStr">
        <is>
          <t>DALARNAS LÄN</t>
        </is>
      </c>
      <c r="G144" t="inlineStr">
        <is>
          <t>VANSBRO</t>
        </is>
      </c>
      <c r="I144" t="n">
        <v>19.1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46297</v>
      </c>
      <c r="F145" t="inlineStr">
        <is>
          <t>DALARNAS LÄN</t>
        </is>
      </c>
      <c r="G145" t="inlineStr">
        <is>
          <t>VANSBRO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46297</v>
      </c>
      <c r="F146" t="inlineStr">
        <is>
          <t>DALARNAS LÄN</t>
        </is>
      </c>
      <c r="G146" t="inlineStr">
        <is>
          <t>VANSBRO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46297</v>
      </c>
      <c r="F147" t="inlineStr">
        <is>
          <t>DALARNAS LÄN</t>
        </is>
      </c>
      <c r="G147" t="inlineStr">
        <is>
          <t>VANSBRO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46297</v>
      </c>
      <c r="F148" t="inlineStr">
        <is>
          <t>DALARNAS LÄN</t>
        </is>
      </c>
      <c r="G148" t="inlineStr">
        <is>
          <t>VANSBRO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46297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46082</v>
      </c>
      <c r="E150" s="1" t="n">
        <v>46297</v>
      </c>
      <c r="F150" t="inlineStr">
        <is>
          <t>DALARNAS LÄN</t>
        </is>
      </c>
      <c r="G150" t="inlineStr">
        <is>
          <t>VANSBRO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45183</v>
      </c>
      <c r="E151" s="1" t="n">
        <v>46297</v>
      </c>
      <c r="F151" t="inlineStr">
        <is>
          <t>DALARNAS LÄN</t>
        </is>
      </c>
      <c r="G151" t="inlineStr">
        <is>
          <t>VANSBRO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46082</v>
      </c>
      <c r="E152" s="1" t="n">
        <v>46297</v>
      </c>
      <c r="F152" t="inlineStr">
        <is>
          <t>DALARNAS LÄN</t>
        </is>
      </c>
      <c r="G152" t="inlineStr">
        <is>
          <t>VANSBRO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46297</v>
      </c>
      <c r="F153" t="inlineStr">
        <is>
          <t>DALARNAS LÄN</t>
        </is>
      </c>
      <c r="G153" t="inlineStr">
        <is>
          <t>VANSBRO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46297</v>
      </c>
      <c r="F154" t="inlineStr">
        <is>
          <t>DALARNAS LÄN</t>
        </is>
      </c>
      <c r="G154" t="inlineStr">
        <is>
          <t>VANSBRO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45937</v>
      </c>
      <c r="E155" s="1" t="n">
        <v>46297</v>
      </c>
      <c r="F155" t="inlineStr">
        <is>
          <t>DALARNAS LÄN</t>
        </is>
      </c>
      <c r="G155" t="inlineStr">
        <is>
          <t>VANSBRO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46297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46297</v>
      </c>
      <c r="F157" t="inlineStr">
        <is>
          <t>DALARNAS LÄN</t>
        </is>
      </c>
      <c r="G157" t="inlineStr">
        <is>
          <t>VANSBRO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46297</v>
      </c>
      <c r="F158" t="inlineStr">
        <is>
          <t>DALARNAS LÄN</t>
        </is>
      </c>
      <c r="G158" t="inlineStr">
        <is>
          <t>VANSBRO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46297</v>
      </c>
      <c r="F159" t="inlineStr">
        <is>
          <t>DALARNAS LÄN</t>
        </is>
      </c>
      <c r="G159" t="inlineStr">
        <is>
          <t>VANSBRO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46297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45689</v>
      </c>
      <c r="E161" s="1" t="n">
        <v>46297</v>
      </c>
      <c r="F161" t="inlineStr">
        <is>
          <t>DALARNAS LÄN</t>
        </is>
      </c>
      <c r="G161" t="inlineStr">
        <is>
          <t>VANSBRO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46297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45807</v>
      </c>
      <c r="E163" s="1" t="n">
        <v>46297</v>
      </c>
      <c r="F163" t="inlineStr">
        <is>
          <t>DALARNAS LÄN</t>
        </is>
      </c>
      <c r="G163" t="inlineStr">
        <is>
          <t>VANSBRO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46297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46297</v>
      </c>
      <c r="F165" t="inlineStr">
        <is>
          <t>DALARNAS LÄN</t>
        </is>
      </c>
      <c r="G165" t="inlineStr">
        <is>
          <t>VANSBRO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46297</v>
      </c>
      <c r="F166" t="inlineStr">
        <is>
          <t>DALARNAS LÄN</t>
        </is>
      </c>
      <c r="G166" t="inlineStr">
        <is>
          <t>VANSBRO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46297</v>
      </c>
      <c r="F167" t="inlineStr">
        <is>
          <t>DALARNAS LÄN</t>
        </is>
      </c>
      <c r="G167" t="inlineStr">
        <is>
          <t>VANSBRO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46297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46297</v>
      </c>
      <c r="F169" t="inlineStr">
        <is>
          <t>DALARNAS LÄN</t>
        </is>
      </c>
      <c r="G169" t="inlineStr">
        <is>
          <t>VANSBRO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46297</v>
      </c>
      <c r="F170" t="inlineStr">
        <is>
          <t>DALARNAS LÄN</t>
        </is>
      </c>
      <c r="G170" t="inlineStr">
        <is>
          <t>VANSBRO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46297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46297</v>
      </c>
      <c r="F172" t="inlineStr">
        <is>
          <t>DALARNAS LÄN</t>
        </is>
      </c>
      <c r="G172" t="inlineStr">
        <is>
          <t>VANSBRO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46297</v>
      </c>
      <c r="F173" t="inlineStr">
        <is>
          <t>DALARNAS LÄN</t>
        </is>
      </c>
      <c r="G173" t="inlineStr">
        <is>
          <t>VANSBRO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20189-2025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45772</v>
      </c>
      <c r="E174" s="1" t="n">
        <v>46297</v>
      </c>
      <c r="F174" t="inlineStr">
        <is>
          <t>DALARNAS LÄN</t>
        </is>
      </c>
      <c r="G174" t="inlineStr">
        <is>
          <t>VANSBRO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46297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46297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46297</v>
      </c>
      <c r="F177" t="inlineStr">
        <is>
          <t>DALARNAS LÄN</t>
        </is>
      </c>
      <c r="G177" t="inlineStr">
        <is>
          <t>VANSBRO</t>
        </is>
      </c>
      <c r="I177" t="n">
        <v>12.6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45498</v>
      </c>
      <c r="E178" s="1" t="n">
        <v>46297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45956</v>
      </c>
      <c r="E179" s="1" t="n">
        <v>46297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46297</v>
      </c>
      <c r="F180" t="inlineStr">
        <is>
          <t>DALARNAS LÄN</t>
        </is>
      </c>
      <c r="G180" t="inlineStr">
        <is>
          <t>VANSBRO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45956</v>
      </c>
      <c r="E181" s="1" t="n">
        <v>46297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46297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46297</v>
      </c>
      <c r="F183" t="inlineStr">
        <is>
          <t>DALARNAS LÄN</t>
        </is>
      </c>
      <c r="G183" t="inlineStr">
        <is>
          <t>VANSBRO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46297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46297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46297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46297</v>
      </c>
      <c r="F187" t="inlineStr">
        <is>
          <t>DALARNAS LÄN</t>
        </is>
      </c>
      <c r="G187" t="inlineStr">
        <is>
          <t>VANSBRO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46297</v>
      </c>
      <c r="F188" t="inlineStr">
        <is>
          <t>DALARNAS LÄN</t>
        </is>
      </c>
      <c r="G188" t="inlineStr">
        <is>
          <t>VANSBRO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46297</v>
      </c>
      <c r="F189" t="inlineStr">
        <is>
          <t>DALARNAS LÄN</t>
        </is>
      </c>
      <c r="G189" t="inlineStr">
        <is>
          <t>VANSBRO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46297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46297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44701</v>
      </c>
      <c r="E192" s="1" t="n">
        <v>46297</v>
      </c>
      <c r="F192" t="inlineStr">
        <is>
          <t>DALARNAS LÄN</t>
        </is>
      </c>
      <c r="G192" t="inlineStr">
        <is>
          <t>VANSBRO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46297</v>
      </c>
      <c r="F193" t="inlineStr">
        <is>
          <t>DALARNAS LÄN</t>
        </is>
      </c>
      <c r="G193" t="inlineStr">
        <is>
          <t>VANSBRO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46297</v>
      </c>
      <c r="F194" t="inlineStr">
        <is>
          <t>DALARNAS LÄN</t>
        </is>
      </c>
      <c r="G194" t="inlineStr">
        <is>
          <t>VANSBRO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46297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46108</v>
      </c>
      <c r="E196" s="1" t="n">
        <v>46297</v>
      </c>
      <c r="F196" t="inlineStr">
        <is>
          <t>DALARNAS LÄN</t>
        </is>
      </c>
      <c r="G196" t="inlineStr">
        <is>
          <t>VANSBRO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46297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46114</v>
      </c>
      <c r="E198" s="1" t="n">
        <v>46297</v>
      </c>
      <c r="F198" t="inlineStr">
        <is>
          <t>DALARNAS LÄN</t>
        </is>
      </c>
      <c r="G198" t="inlineStr">
        <is>
          <t>VANSBRO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46297</v>
      </c>
      <c r="F199" t="inlineStr">
        <is>
          <t>DALARNAS LÄN</t>
        </is>
      </c>
      <c r="G199" t="inlineStr">
        <is>
          <t>VANSBRO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46297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46119</v>
      </c>
      <c r="E201" s="1" t="n">
        <v>46297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45772</v>
      </c>
      <c r="E202" s="1" t="n">
        <v>46297</v>
      </c>
      <c r="F202" t="inlineStr">
        <is>
          <t>DALARNAS LÄN</t>
        </is>
      </c>
      <c r="G202" t="inlineStr">
        <is>
          <t>VANSBRO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46297</v>
      </c>
      <c r="F203" t="inlineStr">
        <is>
          <t>DALARNAS LÄN</t>
        </is>
      </c>
      <c r="G203" t="inlineStr">
        <is>
          <t>VANSBRO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46297</v>
      </c>
      <c r="F204" t="inlineStr">
        <is>
          <t>DALARNAS LÄN</t>
        </is>
      </c>
      <c r="G204" t="inlineStr">
        <is>
          <t>VANSBRO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46297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46297</v>
      </c>
      <c r="F206" t="inlineStr">
        <is>
          <t>DALARNAS LÄN</t>
        </is>
      </c>
      <c r="G206" t="inlineStr">
        <is>
          <t>VANSBRO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46120</v>
      </c>
      <c r="E207" s="1" t="n">
        <v>46297</v>
      </c>
      <c r="F207" t="inlineStr">
        <is>
          <t>DALARNAS LÄN</t>
        </is>
      </c>
      <c r="G207" t="inlineStr">
        <is>
          <t>VANSBRO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46120</v>
      </c>
      <c r="E208" s="1" t="n">
        <v>46297</v>
      </c>
      <c r="F208" t="inlineStr">
        <is>
          <t>DALARNAS LÄN</t>
        </is>
      </c>
      <c r="G208" t="inlineStr">
        <is>
          <t>VANSBRO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46297</v>
      </c>
      <c r="F209" t="inlineStr">
        <is>
          <t>DALARNAS LÄN</t>
        </is>
      </c>
      <c r="G209" t="inlineStr">
        <is>
          <t>VANSBRO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46297</v>
      </c>
      <c r="F210" t="inlineStr">
        <is>
          <t>DALARNAS LÄN</t>
        </is>
      </c>
      <c r="G210" t="inlineStr">
        <is>
          <t>VANSBRO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45689</v>
      </c>
      <c r="E211" s="1" t="n">
        <v>46297</v>
      </c>
      <c r="F211" t="inlineStr">
        <is>
          <t>DALARNAS LÄN</t>
        </is>
      </c>
      <c r="G211" t="inlineStr">
        <is>
          <t>VANSBRO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46297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46124</v>
      </c>
      <c r="E213" s="1" t="n">
        <v>46297</v>
      </c>
      <c r="F213" t="inlineStr">
        <is>
          <t>DALARNAS LÄN</t>
        </is>
      </c>
      <c r="G213" t="inlineStr">
        <is>
          <t>VANSBRO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46297</v>
      </c>
      <c r="F214" t="inlineStr">
        <is>
          <t>DALARNAS LÄN</t>
        </is>
      </c>
      <c r="G214" t="inlineStr">
        <is>
          <t>VANSBRO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46297</v>
      </c>
      <c r="F215" t="inlineStr">
        <is>
          <t>DALARNAS LÄN</t>
        </is>
      </c>
      <c r="G215" t="inlineStr">
        <is>
          <t>VANSBRO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46297</v>
      </c>
      <c r="F216" t="inlineStr">
        <is>
          <t>DALARNAS LÄN</t>
        </is>
      </c>
      <c r="G216" t="inlineStr">
        <is>
          <t>VANSBRO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46297</v>
      </c>
      <c r="F217" t="inlineStr">
        <is>
          <t>DALARNAS LÄN</t>
        </is>
      </c>
      <c r="G217" t="inlineStr">
        <is>
          <t>VANSBRO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46297</v>
      </c>
      <c r="F218" t="inlineStr">
        <is>
          <t>DALARNAS LÄN</t>
        </is>
      </c>
      <c r="G218" t="inlineStr">
        <is>
          <t>VANSBRO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46127</v>
      </c>
      <c r="E219" s="1" t="n">
        <v>46297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46297</v>
      </c>
      <c r="F220" t="inlineStr">
        <is>
          <t>DALARNAS LÄN</t>
        </is>
      </c>
      <c r="G220" t="inlineStr">
        <is>
          <t>VANSBRO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46297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46297</v>
      </c>
      <c r="F222" t="inlineStr">
        <is>
          <t>DALARNAS LÄN</t>
        </is>
      </c>
      <c r="G222" t="inlineStr">
        <is>
          <t>VANSBRO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46297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45481</v>
      </c>
      <c r="E224" s="1" t="n">
        <v>46297</v>
      </c>
      <c r="F224" t="inlineStr">
        <is>
          <t>DALARNAS LÄN</t>
        </is>
      </c>
      <c r="G224" t="inlineStr">
        <is>
          <t>VANSBRO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46297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öst AB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46297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46297</v>
      </c>
      <c r="F227" t="inlineStr">
        <is>
          <t>DALARNAS LÄN</t>
        </is>
      </c>
      <c r="G227" t="inlineStr">
        <is>
          <t>VANSBRO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46297</v>
      </c>
      <c r="F228" t="inlineStr">
        <is>
          <t>DALARNAS LÄN</t>
        </is>
      </c>
      <c r="G228" t="inlineStr">
        <is>
          <t>VANSBRO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46297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46297</v>
      </c>
      <c r="F230" t="inlineStr">
        <is>
          <t>DALARNAS LÄN</t>
        </is>
      </c>
      <c r="G230" t="inlineStr">
        <is>
          <t>VANSBRO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46297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46297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46297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45631</v>
      </c>
      <c r="E234" s="1" t="n">
        <v>46297</v>
      </c>
      <c r="F234" t="inlineStr">
        <is>
          <t>DALARNAS LÄN</t>
        </is>
      </c>
      <c r="G234" t="inlineStr">
        <is>
          <t>VANSBRO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46297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51396-2022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44869</v>
      </c>
      <c r="E236" s="1" t="n">
        <v>46297</v>
      </c>
      <c r="F236" t="inlineStr">
        <is>
          <t>DALARNAS LÄN</t>
        </is>
      </c>
      <c r="G236" t="inlineStr">
        <is>
          <t>VANSBRO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46297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45806</v>
      </c>
      <c r="E238" s="1" t="n">
        <v>46297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46297</v>
      </c>
      <c r="F239" t="inlineStr">
        <is>
          <t>DALARNAS LÄN</t>
        </is>
      </c>
      <c r="G239" t="inlineStr">
        <is>
          <t>VANSBRO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46297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46297</v>
      </c>
      <c r="F241" t="inlineStr">
        <is>
          <t>DALARNAS LÄN</t>
        </is>
      </c>
      <c r="G241" t="inlineStr">
        <is>
          <t>VANSBRO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46297</v>
      </c>
      <c r="F242" t="inlineStr">
        <is>
          <t>DALARNAS LÄN</t>
        </is>
      </c>
      <c r="G242" t="inlineStr">
        <is>
          <t>VANSBRO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46297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46297</v>
      </c>
      <c r="F244" t="inlineStr">
        <is>
          <t>DALARNAS LÄN</t>
        </is>
      </c>
      <c r="G244" t="inlineStr">
        <is>
          <t>VANSBRO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46297</v>
      </c>
      <c r="F245" t="inlineStr">
        <is>
          <t>DALARNAS LÄN</t>
        </is>
      </c>
      <c r="G245" t="inlineStr">
        <is>
          <t>VANSBRO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46297</v>
      </c>
      <c r="F246" t="inlineStr">
        <is>
          <t>DALARNAS LÄN</t>
        </is>
      </c>
      <c r="G246" t="inlineStr">
        <is>
          <t>VANSBRO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46297</v>
      </c>
      <c r="F247" t="inlineStr">
        <is>
          <t>DALARNAS LÄN</t>
        </is>
      </c>
      <c r="G247" t="inlineStr">
        <is>
          <t>VANSBRO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45440</v>
      </c>
      <c r="E248" s="1" t="n">
        <v>46297</v>
      </c>
      <c r="F248" t="inlineStr">
        <is>
          <t>DALARNAS LÄN</t>
        </is>
      </c>
      <c r="G248" t="inlineStr">
        <is>
          <t>VANSBRO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46297</v>
      </c>
      <c r="F249" t="inlineStr">
        <is>
          <t>DALARNAS LÄN</t>
        </is>
      </c>
      <c r="G249" t="inlineStr">
        <is>
          <t>VANSBRO</t>
        </is>
      </c>
      <c r="H249" t="inlineStr">
        <is>
          <t>Övriga statliga verk och myndigheter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46297</v>
      </c>
      <c r="F250" t="inlineStr">
        <is>
          <t>DALARNAS LÄN</t>
        </is>
      </c>
      <c r="G250" t="inlineStr">
        <is>
          <t>VANSBRO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46297</v>
      </c>
      <c r="F251" t="inlineStr">
        <is>
          <t>DALARNAS LÄN</t>
        </is>
      </c>
      <c r="G251" t="inlineStr">
        <is>
          <t>VANSBRO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4680-2023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44957</v>
      </c>
      <c r="E252" s="1" t="n">
        <v>46297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öst AB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46297</v>
      </c>
      <c r="F253" t="inlineStr">
        <is>
          <t>DALARNAS LÄN</t>
        </is>
      </c>
      <c r="G253" t="inlineStr">
        <is>
          <t>VANSBRO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46297</v>
      </c>
      <c r="F254" t="inlineStr">
        <is>
          <t>DALARNAS LÄN</t>
        </is>
      </c>
      <c r="G254" t="inlineStr">
        <is>
          <t>VANSBRO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46297</v>
      </c>
      <c r="F255" t="inlineStr">
        <is>
          <t>DALARNAS LÄN</t>
        </is>
      </c>
      <c r="G255" t="inlineStr">
        <is>
          <t>VANSBRO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46297</v>
      </c>
      <c r="F256" t="inlineStr">
        <is>
          <t>DALARNAS LÄN</t>
        </is>
      </c>
      <c r="G256" t="inlineStr">
        <is>
          <t>VANSBRO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46297</v>
      </c>
      <c r="F257" t="inlineStr">
        <is>
          <t>DALARNAS LÄN</t>
        </is>
      </c>
      <c r="G257" t="inlineStr">
        <is>
          <t>VANSBRO</t>
        </is>
      </c>
      <c r="I257" t="n">
        <v>27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45833</v>
      </c>
      <c r="E258" s="1" t="n">
        <v>46297</v>
      </c>
      <c r="F258" t="inlineStr">
        <is>
          <t>DALARNAS LÄN</t>
        </is>
      </c>
      <c r="G258" t="inlineStr">
        <is>
          <t>VANSBRO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45530</v>
      </c>
      <c r="E259" s="1" t="n">
        <v>46297</v>
      </c>
      <c r="F259" t="inlineStr">
        <is>
          <t>DALARNAS LÄN</t>
        </is>
      </c>
      <c r="G259" t="inlineStr">
        <is>
          <t>VANSBRO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46297</v>
      </c>
      <c r="F260" t="inlineStr">
        <is>
          <t>DALARNAS LÄN</t>
        </is>
      </c>
      <c r="G260" t="inlineStr">
        <is>
          <t>VANSBRO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45763</v>
      </c>
      <c r="E261" s="1" t="n">
        <v>46297</v>
      </c>
      <c r="F261" t="inlineStr">
        <is>
          <t>DALARNAS LÄN</t>
        </is>
      </c>
      <c r="G261" t="inlineStr">
        <is>
          <t>VANSBRO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46297</v>
      </c>
      <c r="F262" t="inlineStr">
        <is>
          <t>DALARNAS LÄN</t>
        </is>
      </c>
      <c r="G262" t="inlineStr">
        <is>
          <t>VANSBRO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46297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46297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46297</v>
      </c>
      <c r="F265" t="inlineStr">
        <is>
          <t>DALARNAS LÄN</t>
        </is>
      </c>
      <c r="G265" t="inlineStr">
        <is>
          <t>VANSBRO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46297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45854</v>
      </c>
      <c r="E267" s="1" t="n">
        <v>46297</v>
      </c>
      <c r="F267" t="inlineStr">
        <is>
          <t>DALARNAS LÄN</t>
        </is>
      </c>
      <c r="G267" t="inlineStr">
        <is>
          <t>VANSBRO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35782-2025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45860</v>
      </c>
      <c r="E268" s="1" t="n">
        <v>46297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46297</v>
      </c>
      <c r="F269" t="inlineStr">
        <is>
          <t>DALARNAS LÄN</t>
        </is>
      </c>
      <c r="G269" t="inlineStr">
        <is>
          <t>VANSBRO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46297</v>
      </c>
      <c r="F270" t="inlineStr">
        <is>
          <t>DALARNAS LÄN</t>
        </is>
      </c>
      <c r="G270" t="inlineStr">
        <is>
          <t>VANSBRO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45868</v>
      </c>
      <c r="E271" s="1" t="n">
        <v>46297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öst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46297</v>
      </c>
      <c r="F272" t="inlineStr">
        <is>
          <t>DALARNAS LÄN</t>
        </is>
      </c>
      <c r="G272" t="inlineStr">
        <is>
          <t>VANSBRO</t>
        </is>
      </c>
      <c r="I272" t="n">
        <v>13.9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46297</v>
      </c>
      <c r="F273" t="inlineStr">
        <is>
          <t>DALARNAS LÄN</t>
        </is>
      </c>
      <c r="G273" t="inlineStr">
        <is>
          <t>VANSBRO</t>
        </is>
      </c>
      <c r="H273" t="inlineStr">
        <is>
          <t>Kommuner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49819-2025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45940</v>
      </c>
      <c r="E274" s="1" t="n">
        <v>46297</v>
      </c>
      <c r="F274" t="inlineStr">
        <is>
          <t>DALARNAS LÄN</t>
        </is>
      </c>
      <c r="G274" t="inlineStr">
        <is>
          <t>VANSBRO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45876</v>
      </c>
      <c r="E275" s="1" t="n">
        <v>46297</v>
      </c>
      <c r="F275" t="inlineStr">
        <is>
          <t>DALARNAS LÄN</t>
        </is>
      </c>
      <c r="G275" t="inlineStr">
        <is>
          <t>VANSBRO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45876</v>
      </c>
      <c r="E276" s="1" t="n">
        <v>46297</v>
      </c>
      <c r="F276" t="inlineStr">
        <is>
          <t>DALARNAS LÄN</t>
        </is>
      </c>
      <c r="G276" t="inlineStr">
        <is>
          <t>VANSBRO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46297</v>
      </c>
      <c r="F277" t="inlineStr">
        <is>
          <t>DALARNAS LÄN</t>
        </is>
      </c>
      <c r="G277" t="inlineStr">
        <is>
          <t>VANSBRO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45689</v>
      </c>
      <c r="E278" s="1" t="n">
        <v>46297</v>
      </c>
      <c r="F278" t="inlineStr">
        <is>
          <t>DALARNAS LÄN</t>
        </is>
      </c>
      <c r="G278" t="inlineStr">
        <is>
          <t>VANSBRO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45689</v>
      </c>
      <c r="E279" s="1" t="n">
        <v>46297</v>
      </c>
      <c r="F279" t="inlineStr">
        <is>
          <t>DALARNAS LÄN</t>
        </is>
      </c>
      <c r="G279" t="inlineStr">
        <is>
          <t>VANSBRO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46297</v>
      </c>
      <c r="F280" t="inlineStr">
        <is>
          <t>DALARNAS LÄN</t>
        </is>
      </c>
      <c r="G280" t="inlineStr">
        <is>
          <t>VANSBRO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46297</v>
      </c>
      <c r="F281" t="inlineStr">
        <is>
          <t>DALARNAS LÄN</t>
        </is>
      </c>
      <c r="G281" t="inlineStr">
        <is>
          <t>VANSBRO</t>
        </is>
      </c>
      <c r="I281" t="n">
        <v>15.8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46297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öst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46297</v>
      </c>
      <c r="F283" t="inlineStr">
        <is>
          <t>DALARNAS LÄN</t>
        </is>
      </c>
      <c r="G283" t="inlineStr">
        <is>
          <t>VANSBRO</t>
        </is>
      </c>
      <c r="H283" t="inlineStr">
        <is>
          <t>Övriga statliga verk och myndigheter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8694-2023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44972</v>
      </c>
      <c r="E284" s="1" t="n">
        <v>46297</v>
      </c>
      <c r="F284" t="inlineStr">
        <is>
          <t>DALARNAS LÄN</t>
        </is>
      </c>
      <c r="G284" t="inlineStr">
        <is>
          <t>VANSBRO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46297</v>
      </c>
      <c r="F285" t="inlineStr">
        <is>
          <t>DALARNAS LÄN</t>
        </is>
      </c>
      <c r="G285" t="inlineStr">
        <is>
          <t>VANSBRO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46297</v>
      </c>
      <c r="F286" t="inlineStr">
        <is>
          <t>DALARNAS LÄN</t>
        </is>
      </c>
      <c r="G286" t="inlineStr">
        <is>
          <t>VANSBRO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46149</v>
      </c>
      <c r="E287" s="1" t="n">
        <v>46297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45350</v>
      </c>
      <c r="E288" s="1" t="n">
        <v>46297</v>
      </c>
      <c r="F288" t="inlineStr">
        <is>
          <t>DALARNAS LÄN</t>
        </is>
      </c>
      <c r="G288" t="inlineStr">
        <is>
          <t>VANSBRO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45222</v>
      </c>
      <c r="E289" s="1" t="n">
        <v>46297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22379-2026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46297</v>
      </c>
      <c r="F290" t="inlineStr">
        <is>
          <t>DALARNAS LÄN</t>
        </is>
      </c>
      <c r="G290" t="inlineStr">
        <is>
          <t>VANSBRO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46297</v>
      </c>
      <c r="F291" t="inlineStr">
        <is>
          <t>DALARNAS LÄN</t>
        </is>
      </c>
      <c r="G291" t="inlineStr">
        <is>
          <t>VANSBRO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46297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44960</v>
      </c>
      <c r="E293" s="1" t="n">
        <v>46297</v>
      </c>
      <c r="F293" t="inlineStr">
        <is>
          <t>DALARNAS LÄN</t>
        </is>
      </c>
      <c r="G293" t="inlineStr">
        <is>
          <t>VANSBRO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46297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46297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60031-2022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44909</v>
      </c>
      <c r="E296" s="1" t="n">
        <v>46297</v>
      </c>
      <c r="F296" t="inlineStr">
        <is>
          <t>DALARNAS LÄN</t>
        </is>
      </c>
      <c r="G296" t="inlineStr">
        <is>
          <t>VANSBRO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46297</v>
      </c>
      <c r="F297" t="inlineStr">
        <is>
          <t>DALARNAS LÄN</t>
        </is>
      </c>
      <c r="G297" t="inlineStr">
        <is>
          <t>VANSBRO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45331</v>
      </c>
      <c r="E298" s="1" t="n">
        <v>46297</v>
      </c>
      <c r="F298" t="inlineStr">
        <is>
          <t>DALARNAS LÄN</t>
        </is>
      </c>
      <c r="G298" t="inlineStr">
        <is>
          <t>VANSBRO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46297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46297</v>
      </c>
      <c r="F300" t="inlineStr">
        <is>
          <t>DALARNAS LÄN</t>
        </is>
      </c>
      <c r="G300" t="inlineStr">
        <is>
          <t>VANSBRO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35299-2024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45530</v>
      </c>
      <c r="E301" s="1" t="n">
        <v>46297</v>
      </c>
      <c r="F301" t="inlineStr">
        <is>
          <t>DALARNAS LÄN</t>
        </is>
      </c>
      <c r="G301" t="inlineStr">
        <is>
          <t>VANSBRO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46297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45002</v>
      </c>
      <c r="E303" s="1" t="n">
        <v>46297</v>
      </c>
      <c r="F303" t="inlineStr">
        <is>
          <t>DALARNAS LÄN</t>
        </is>
      </c>
      <c r="G303" t="inlineStr">
        <is>
          <t>VANSBRO</t>
        </is>
      </c>
      <c r="H303" t="inlineStr">
        <is>
          <t>Övriga statliga verk och myndigheter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44925</v>
      </c>
      <c r="E304" s="1" t="n">
        <v>46297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46297</v>
      </c>
      <c r="F305" t="inlineStr">
        <is>
          <t>DALARNAS LÄN</t>
        </is>
      </c>
      <c r="G305" t="inlineStr">
        <is>
          <t>VANSBRO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46297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46297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46168</v>
      </c>
      <c r="E308" s="1" t="n">
        <v>46297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46169</v>
      </c>
      <c r="E309" s="1" t="n">
        <v>46297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46297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45331</v>
      </c>
      <c r="E311" s="1" t="n">
        <v>46297</v>
      </c>
      <c r="F311" t="inlineStr">
        <is>
          <t>DALARNAS LÄN</t>
        </is>
      </c>
      <c r="G311" t="inlineStr">
        <is>
          <t>VANSBRO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46297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46297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45.8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46297</v>
      </c>
      <c r="F314" t="inlineStr">
        <is>
          <t>DALARNAS LÄN</t>
        </is>
      </c>
      <c r="G314" t="inlineStr">
        <is>
          <t>VANSBRO</t>
        </is>
      </c>
      <c r="H314" t="inlineStr">
        <is>
          <t>Övriga statliga verk och myndigheter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46297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46190</v>
      </c>
      <c r="E316" s="1" t="n">
        <v>46297</v>
      </c>
      <c r="F316" t="inlineStr">
        <is>
          <t>DALARNAS LÄN</t>
        </is>
      </c>
      <c r="G316" t="inlineStr">
        <is>
          <t>VANSBRO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46297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45078</v>
      </c>
      <c r="E318" s="1" t="n">
        <v>46297</v>
      </c>
      <c r="F318" t="inlineStr">
        <is>
          <t>DALARNAS LÄN</t>
        </is>
      </c>
      <c r="G318" t="inlineStr">
        <is>
          <t>VANSBRO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46297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11485-2024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45372</v>
      </c>
      <c r="E320" s="1" t="n">
        <v>46297</v>
      </c>
      <c r="F320" t="inlineStr">
        <is>
          <t>DALARNAS LÄN</t>
        </is>
      </c>
      <c r="G320" t="inlineStr">
        <is>
          <t>VANSBRO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46297</v>
      </c>
      <c r="F321" t="inlineStr">
        <is>
          <t>DALARNAS LÄN</t>
        </is>
      </c>
      <c r="G321" t="inlineStr">
        <is>
          <t>VANSBRO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46297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27117-2026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46297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46297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46297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46297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46297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45608-2023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45194</v>
      </c>
      <c r="E328" s="1" t="n">
        <v>46297</v>
      </c>
      <c r="F328" t="inlineStr">
        <is>
          <t>DALARNAS LÄN</t>
        </is>
      </c>
      <c r="G328" t="inlineStr">
        <is>
          <t>VANSBRO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46297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46297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44648</v>
      </c>
      <c r="E331" s="1" t="n">
        <v>46297</v>
      </c>
      <c r="F331" t="inlineStr">
        <is>
          <t>DALARNAS LÄN</t>
        </is>
      </c>
      <c r="G331" t="inlineStr">
        <is>
          <t>VANSBRO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46297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45665</v>
      </c>
      <c r="E333" s="1" t="n">
        <v>46297</v>
      </c>
      <c r="F333" t="inlineStr">
        <is>
          <t>DALARNAS LÄN</t>
        </is>
      </c>
      <c r="G333" t="inlineStr">
        <is>
          <t>VANSBRO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46297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45244</v>
      </c>
      <c r="E335" s="1" t="n">
        <v>46297</v>
      </c>
      <c r="F335" t="inlineStr">
        <is>
          <t>DALARNAS LÄN</t>
        </is>
      </c>
      <c r="G335" t="inlineStr">
        <is>
          <t>VANSBRO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46297</v>
      </c>
      <c r="F336" t="inlineStr">
        <is>
          <t>DALARNAS LÄN</t>
        </is>
      </c>
      <c r="G336" t="inlineStr">
        <is>
          <t>VANSBRO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46297</v>
      </c>
      <c r="F337" t="inlineStr">
        <is>
          <t>DALARNAS LÄN</t>
        </is>
      </c>
      <c r="G337" t="inlineStr">
        <is>
          <t>VANSBRO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46203</v>
      </c>
      <c r="E338" s="1" t="n">
        <v>46297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öst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29174-2026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46202</v>
      </c>
      <c r="E339" s="1" t="n">
        <v>46297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46297</v>
      </c>
      <c r="F340" t="inlineStr">
        <is>
          <t>DALARNAS LÄN</t>
        </is>
      </c>
      <c r="G340" t="inlineStr">
        <is>
          <t>VANSBRO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46297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46204</v>
      </c>
      <c r="E342" s="1" t="n">
        <v>46297</v>
      </c>
      <c r="F342" t="inlineStr">
        <is>
          <t>DALARNAS LÄN</t>
        </is>
      </c>
      <c r="G342" t="inlineStr">
        <is>
          <t>VANSBRO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46297</v>
      </c>
      <c r="F343" t="inlineStr">
        <is>
          <t>DALARNAS LÄN</t>
        </is>
      </c>
      <c r="G343" t="inlineStr">
        <is>
          <t>VANSBRO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24827-2022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44728</v>
      </c>
      <c r="E344" s="1" t="n">
        <v>46297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44728</v>
      </c>
      <c r="E345" s="1" t="n">
        <v>46297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öst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46204</v>
      </c>
      <c r="E346" s="1" t="n">
        <v>46297</v>
      </c>
      <c r="F346" t="inlineStr">
        <is>
          <t>DALARNAS LÄN</t>
        </is>
      </c>
      <c r="G346" t="inlineStr">
        <is>
          <t>VANSBRO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46297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46297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46297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45665</v>
      </c>
      <c r="E350" s="1" t="n">
        <v>46297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46210</v>
      </c>
      <c r="E351" s="1" t="n">
        <v>46297</v>
      </c>
      <c r="F351" t="inlineStr">
        <is>
          <t>DALARNAS LÄN</t>
        </is>
      </c>
      <c r="G351" t="inlineStr">
        <is>
          <t>VANSBRO</t>
        </is>
      </c>
      <c r="H351" t="inlineStr">
        <is>
          <t>Övriga statliga verk och myndigheter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46297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46297</v>
      </c>
      <c r="F353" t="inlineStr">
        <is>
          <t>DALARNAS LÄN</t>
        </is>
      </c>
      <c r="G353" t="inlineStr">
        <is>
          <t>VANSBRO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34583-2026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46255</v>
      </c>
      <c r="E354" s="1" t="n">
        <v>46297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46297</v>
      </c>
      <c r="F355" t="inlineStr">
        <is>
          <t>DALARNAS LÄN</t>
        </is>
      </c>
      <c r="G355" t="inlineStr">
        <is>
          <t>VANSBRO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45187</v>
      </c>
      <c r="E356" s="1" t="n">
        <v>46297</v>
      </c>
      <c r="F356" t="inlineStr">
        <is>
          <t>DALARNAS LÄN</t>
        </is>
      </c>
      <c r="G356" t="inlineStr">
        <is>
          <t>VANSBRO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46297</v>
      </c>
      <c r="F357" t="inlineStr">
        <is>
          <t>DALARNAS LÄN</t>
        </is>
      </c>
      <c r="G357" t="inlineStr">
        <is>
          <t>VANSBRO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46212</v>
      </c>
      <c r="E358" s="1" t="n">
        <v>46297</v>
      </c>
      <c r="F358" t="inlineStr">
        <is>
          <t>DALARNAS LÄN</t>
        </is>
      </c>
      <c r="G358" t="inlineStr">
        <is>
          <t>VANSBRO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46297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46212</v>
      </c>
      <c r="E360" s="1" t="n">
        <v>46297</v>
      </c>
      <c r="F360" t="inlineStr">
        <is>
          <t>DALARNAS LÄN</t>
        </is>
      </c>
      <c r="G360" t="inlineStr">
        <is>
          <t>VANSBRO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46259</v>
      </c>
      <c r="E361" s="1" t="n">
        <v>46297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45744</v>
      </c>
      <c r="E362" s="1" t="n">
        <v>46297</v>
      </c>
      <c r="F362" t="inlineStr">
        <is>
          <t>DALARNAS LÄN</t>
        </is>
      </c>
      <c r="G362" t="inlineStr">
        <is>
          <t>VANSBRO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46297</v>
      </c>
      <c r="F363" t="inlineStr">
        <is>
          <t>DALARNAS LÄN</t>
        </is>
      </c>
      <c r="G363" t="inlineStr">
        <is>
          <t>VANSBRO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46297</v>
      </c>
      <c r="F364" t="inlineStr">
        <is>
          <t>DALARNAS LÄN</t>
        </is>
      </c>
      <c r="G364" t="inlineStr">
        <is>
          <t>VANSBRO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46259</v>
      </c>
      <c r="E365" s="1" t="n">
        <v>46297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46261</v>
      </c>
      <c r="E366" s="1" t="n">
        <v>46297</v>
      </c>
      <c r="F366" t="inlineStr">
        <is>
          <t>DALARNAS LÄN</t>
        </is>
      </c>
      <c r="G366" t="inlineStr">
        <is>
          <t>VANSBRO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46297</v>
      </c>
      <c r="F367" t="inlineStr">
        <is>
          <t>DALARNAS LÄN</t>
        </is>
      </c>
      <c r="G367" t="inlineStr">
        <is>
          <t>VANSBRO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46262</v>
      </c>
      <c r="E368" s="1" t="n">
        <v>46297</v>
      </c>
      <c r="F368" t="inlineStr">
        <is>
          <t>DALARNAS LÄN</t>
        </is>
      </c>
      <c r="G368" t="inlineStr">
        <is>
          <t>VANSBRO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45254</v>
      </c>
      <c r="E369" s="1" t="n">
        <v>46297</v>
      </c>
      <c r="F369" t="inlineStr">
        <is>
          <t>DALARNAS LÄN</t>
        </is>
      </c>
      <c r="G369" t="inlineStr">
        <is>
          <t>VANSBRO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45322</v>
      </c>
      <c r="E370" s="1" t="n">
        <v>46297</v>
      </c>
      <c r="F370" t="inlineStr">
        <is>
          <t>DALARNAS LÄN</t>
        </is>
      </c>
      <c r="G370" t="inlineStr">
        <is>
          <t>VANSBRO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45254</v>
      </c>
      <c r="E371" s="1" t="n">
        <v>46297</v>
      </c>
      <c r="F371" t="inlineStr">
        <is>
          <t>DALARNAS LÄN</t>
        </is>
      </c>
      <c r="G371" t="inlineStr">
        <is>
          <t>VANSBRO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46265</v>
      </c>
      <c r="E372" s="1" t="n">
        <v>46297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46297</v>
      </c>
      <c r="F373" t="inlineStr">
        <is>
          <t>DALARNAS LÄN</t>
        </is>
      </c>
      <c r="G373" t="inlineStr">
        <is>
          <t>VANSBRO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46297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55078-2022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44886</v>
      </c>
      <c r="E375" s="1" t="n">
        <v>46297</v>
      </c>
      <c r="F375" t="inlineStr">
        <is>
          <t>DALARNAS LÄN</t>
        </is>
      </c>
      <c r="G375" t="inlineStr">
        <is>
          <t>VANSBRO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46297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36377-2026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46268</v>
      </c>
      <c r="E377" s="1" t="n">
        <v>46297</v>
      </c>
      <c r="F377" t="inlineStr">
        <is>
          <t>DALARNAS LÄN</t>
        </is>
      </c>
      <c r="G377" t="inlineStr">
        <is>
          <t>VANSBRO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46268</v>
      </c>
      <c r="E378" s="1" t="n">
        <v>46297</v>
      </c>
      <c r="F378" t="inlineStr">
        <is>
          <t>DALARNAS LÄN</t>
        </is>
      </c>
      <c r="G378" t="inlineStr">
        <is>
          <t>VANSBRO</t>
        </is>
      </c>
      <c r="H378" t="inlineStr">
        <is>
          <t>Kyrkan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46297</v>
      </c>
      <c r="F379" t="inlineStr">
        <is>
          <t>DALARNAS LÄN</t>
        </is>
      </c>
      <c r="G379" t="inlineStr">
        <is>
          <t>VANSBRO</t>
        </is>
      </c>
      <c r="H379" t="inlineStr">
        <is>
          <t>Kyrkan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46272</v>
      </c>
      <c r="E380" s="1" t="n">
        <v>46297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46297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46297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46231</v>
      </c>
      <c r="E383" s="1" t="n">
        <v>46297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46297</v>
      </c>
      <c r="F384" t="inlineStr">
        <is>
          <t>DALARNAS LÄN</t>
        </is>
      </c>
      <c r="G384" t="inlineStr">
        <is>
          <t>VANSBRO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46297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45265</v>
      </c>
      <c r="E386" s="1" t="n">
        <v>46297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46297</v>
      </c>
      <c r="F387" t="inlineStr">
        <is>
          <t>DALARNAS LÄN</t>
        </is>
      </c>
      <c r="G387" t="inlineStr">
        <is>
          <t>VANSBRO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11408-2025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45726</v>
      </c>
      <c r="E388" s="1" t="n">
        <v>46297</v>
      </c>
      <c r="F388" t="inlineStr">
        <is>
          <t>DALARNAS LÄN</t>
        </is>
      </c>
      <c r="G388" t="inlineStr">
        <is>
          <t>VANSBRO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46297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45520</v>
      </c>
      <c r="E390" s="1" t="n">
        <v>46297</v>
      </c>
      <c r="F390" t="inlineStr">
        <is>
          <t>DALARNAS LÄN</t>
        </is>
      </c>
      <c r="G390" t="inlineStr">
        <is>
          <t>VANSBRO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46297</v>
      </c>
      <c r="F391" t="inlineStr">
        <is>
          <t>DALARNAS LÄN</t>
        </is>
      </c>
      <c r="G391" t="inlineStr">
        <is>
          <t>VANSBRO</t>
        </is>
      </c>
      <c r="H391" t="inlineStr">
        <is>
          <t>Kyrkan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46276</v>
      </c>
      <c r="E392" s="1" t="n">
        <v>46297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46276</v>
      </c>
      <c r="E393" s="1" t="n">
        <v>46297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46297</v>
      </c>
      <c r="F394" t="inlineStr">
        <is>
          <t>DALARNAS LÄN</t>
        </is>
      </c>
      <c r="G394" t="inlineStr">
        <is>
          <t>VANSBRO</t>
        </is>
      </c>
      <c r="H394" t="inlineStr">
        <is>
          <t>Övriga statliga verk och myndigheter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61515-2022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44916</v>
      </c>
      <c r="E395" s="1" t="n">
        <v>46297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46297</v>
      </c>
      <c r="F396" t="inlineStr">
        <is>
          <t>DALARNAS LÄN</t>
        </is>
      </c>
      <c r="G396" t="inlineStr">
        <is>
          <t>VANSBRO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44960</v>
      </c>
      <c r="E397" s="1" t="n">
        <v>46297</v>
      </c>
      <c r="F397" t="inlineStr">
        <is>
          <t>DALARNAS LÄN</t>
        </is>
      </c>
      <c r="G397" t="inlineStr">
        <is>
          <t>VANSBRO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46275</v>
      </c>
      <c r="E398" s="1" t="n">
        <v>46297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37467-2026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46275</v>
      </c>
      <c r="E399" s="1" t="n">
        <v>46297</v>
      </c>
      <c r="F399" t="inlineStr">
        <is>
          <t>DALARNAS LÄN</t>
        </is>
      </c>
      <c r="G399" t="inlineStr">
        <is>
          <t>VANSBRO</t>
        </is>
      </c>
      <c r="H399" t="inlineStr">
        <is>
          <t>Kommuner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41371-2022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44826</v>
      </c>
      <c r="E400" s="1" t="n">
        <v>46297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46280</v>
      </c>
      <c r="E401" s="1" t="n">
        <v>46297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44970</v>
      </c>
      <c r="E402" s="1" t="n">
        <v>46297</v>
      </c>
      <c r="F402" t="inlineStr">
        <is>
          <t>DALARNAS LÄN</t>
        </is>
      </c>
      <c r="G402" t="inlineStr">
        <is>
          <t>VANSBRO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46297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44673</v>
      </c>
      <c r="E404" s="1" t="n">
        <v>46297</v>
      </c>
      <c r="F404" t="inlineStr">
        <is>
          <t>DALARNAS LÄN</t>
        </is>
      </c>
      <c r="G404" t="inlineStr">
        <is>
          <t>VANSBRO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54159-2022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44881</v>
      </c>
      <c r="E405" s="1" t="n">
        <v>46297</v>
      </c>
      <c r="F405" t="inlineStr">
        <is>
          <t>DALARNAS LÄN</t>
        </is>
      </c>
      <c r="G405" t="inlineStr">
        <is>
          <t>VANSBRO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45448</v>
      </c>
      <c r="E406" s="1" t="n">
        <v>46297</v>
      </c>
      <c r="F406" t="inlineStr">
        <is>
          <t>DALARNAS LÄN</t>
        </is>
      </c>
      <c r="G406" t="inlineStr">
        <is>
          <t>VANSBRO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46280</v>
      </c>
      <c r="E407" s="1" t="n">
        <v>46297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46280</v>
      </c>
      <c r="E408" s="1" t="n">
        <v>46297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44930</v>
      </c>
      <c r="E409" s="1" t="n">
        <v>46297</v>
      </c>
      <c r="F409" t="inlineStr">
        <is>
          <t>DALARNAS LÄN</t>
        </is>
      </c>
      <c r="G409" t="inlineStr">
        <is>
          <t>VANSBRO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38253-2026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46281</v>
      </c>
      <c r="E410" s="1" t="n">
        <v>46297</v>
      </c>
      <c r="F410" t="inlineStr">
        <is>
          <t>DALARNAS LÄN</t>
        </is>
      </c>
      <c r="G410" t="inlineStr">
        <is>
          <t>VANSBRO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46281</v>
      </c>
      <c r="E411" s="1" t="n">
        <v>46297</v>
      </c>
      <c r="F411" t="inlineStr">
        <is>
          <t>DALARNAS LÄN</t>
        </is>
      </c>
      <c r="G411" t="inlineStr">
        <is>
          <t>VANSBRO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45111</v>
      </c>
      <c r="E412" s="1" t="n">
        <v>46297</v>
      </c>
      <c r="F412" t="inlineStr">
        <is>
          <t>DALARNAS LÄN</t>
        </is>
      </c>
      <c r="G412" t="inlineStr">
        <is>
          <t>VANSBRO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46297</v>
      </c>
      <c r="F413" t="inlineStr">
        <is>
          <t>DALARNAS LÄN</t>
        </is>
      </c>
      <c r="G413" t="inlineStr">
        <is>
          <t>VANSBRO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49509-2024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45596</v>
      </c>
      <c r="E414" s="1" t="n">
        <v>46297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45240</v>
      </c>
      <c r="E415" s="1" t="n">
        <v>46297</v>
      </c>
      <c r="F415" t="inlineStr">
        <is>
          <t>DALARNAS LÄN</t>
        </is>
      </c>
      <c r="G415" t="inlineStr">
        <is>
          <t>VANSBRO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46297</v>
      </c>
      <c r="F416" t="inlineStr">
        <is>
          <t>DALARNAS LÄN</t>
        </is>
      </c>
      <c r="G416" t="inlineStr">
        <is>
          <t>VANSBRO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46297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48005-2022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46297</v>
      </c>
      <c r="F418" t="inlineStr">
        <is>
          <t>DALARNAS LÄN</t>
        </is>
      </c>
      <c r="G418" t="inlineStr">
        <is>
          <t>VANSBRO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34882-2022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46297</v>
      </c>
      <c r="F419" t="inlineStr">
        <is>
          <t>DALARNAS LÄN</t>
        </is>
      </c>
      <c r="G419" t="inlineStr">
        <is>
          <t>VANSBRO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32393-2026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46238</v>
      </c>
      <c r="E420" s="1" t="n">
        <v>46297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29.6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45214</v>
      </c>
      <c r="E421" s="1" t="n">
        <v>46297</v>
      </c>
      <c r="F421" t="inlineStr">
        <is>
          <t>DALARNAS LÄN</t>
        </is>
      </c>
      <c r="G421" t="inlineStr">
        <is>
          <t>VANSBRO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46297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45471</v>
      </c>
      <c r="E423" s="1" t="n">
        <v>46297</v>
      </c>
      <c r="F423" t="inlineStr">
        <is>
          <t>DALARNAS LÄN</t>
        </is>
      </c>
      <c r="G423" t="inlineStr">
        <is>
          <t>VANSBRO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46297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46297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45356-2024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45576</v>
      </c>
      <c r="E426" s="1" t="n">
        <v>46297</v>
      </c>
      <c r="F426" t="inlineStr">
        <is>
          <t>DALARNAS LÄN</t>
        </is>
      </c>
      <c r="G426" t="inlineStr">
        <is>
          <t>VANSBRO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39352-2026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46288</v>
      </c>
      <c r="E427" s="1" t="n">
        <v>46297</v>
      </c>
      <c r="F427" t="inlineStr">
        <is>
          <t>DALARNAS LÄN</t>
        </is>
      </c>
      <c r="G427" t="inlineStr">
        <is>
          <t>VANSBRO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45689</v>
      </c>
      <c r="E428" s="1" t="n">
        <v>46297</v>
      </c>
      <c r="F428" t="inlineStr">
        <is>
          <t>DALARNAS LÄN</t>
        </is>
      </c>
      <c r="G428" t="inlineStr">
        <is>
          <t>VANSBRO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44980</v>
      </c>
      <c r="E429" s="1" t="n">
        <v>46297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46297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45238</v>
      </c>
      <c r="E431" s="1" t="n">
        <v>46297</v>
      </c>
      <c r="F431" t="inlineStr">
        <is>
          <t>DALARNAS LÄN</t>
        </is>
      </c>
      <c r="G431" t="inlineStr">
        <is>
          <t>VANSBRO</t>
        </is>
      </c>
      <c r="H431" t="inlineStr">
        <is>
          <t>Övriga statliga verk och myndigheter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44931</v>
      </c>
      <c r="E432" s="1" t="n">
        <v>46297</v>
      </c>
      <c r="F432" t="inlineStr">
        <is>
          <t>DALARNAS LÄN</t>
        </is>
      </c>
      <c r="G432" t="inlineStr">
        <is>
          <t>VANSBRO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46289</v>
      </c>
      <c r="E433" s="1" t="n">
        <v>46297</v>
      </c>
      <c r="F433" t="inlineStr">
        <is>
          <t>DALARNAS LÄN</t>
        </is>
      </c>
      <c r="G433" t="inlineStr">
        <is>
          <t>VANSBRO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53498-2024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45614</v>
      </c>
      <c r="E434" s="1" t="n">
        <v>46297</v>
      </c>
      <c r="F434" t="inlineStr">
        <is>
          <t>DALARNAS LÄN</t>
        </is>
      </c>
      <c r="G434" t="inlineStr">
        <is>
          <t>VANSBRO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48111-2024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45589</v>
      </c>
      <c r="E435" s="1" t="n">
        <v>46297</v>
      </c>
      <c r="F435" t="inlineStr">
        <is>
          <t>DALARNAS LÄN</t>
        </is>
      </c>
      <c r="G435" t="inlineStr">
        <is>
          <t>VANSBRO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46297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46297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46297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46293</v>
      </c>
      <c r="E439" s="1" t="n">
        <v>46297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46297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46293</v>
      </c>
      <c r="E441" s="1" t="n">
        <v>46297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46294</v>
      </c>
      <c r="E442" s="1" t="n">
        <v>46297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40391-2026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46294</v>
      </c>
      <c r="E443" s="1" t="n">
        <v>46297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45141</v>
      </c>
      <c r="E444" s="1" t="n">
        <v>46297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46297</v>
      </c>
      <c r="F445" t="inlineStr">
        <is>
          <t>DALARNAS LÄN</t>
        </is>
      </c>
      <c r="G445" t="inlineStr">
        <is>
          <t>VANSBRO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40447-2026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46294</v>
      </c>
      <c r="E446" s="1" t="n">
        <v>46297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46297</v>
      </c>
      <c r="F447" t="inlineStr">
        <is>
          <t>DALARNAS LÄN</t>
        </is>
      </c>
      <c r="G447" t="inlineStr">
        <is>
          <t>VANSBRO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46252</v>
      </c>
      <c r="E448" s="1" t="n">
        <v>46297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46297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34277-2022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44791</v>
      </c>
      <c r="E450" s="1" t="n">
        <v>46297</v>
      </c>
      <c r="F450" t="inlineStr">
        <is>
          <t>DALARNAS LÄN</t>
        </is>
      </c>
      <c r="G450" t="inlineStr">
        <is>
          <t>VANSBRO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46297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46297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45296</v>
      </c>
      <c r="E453" s="1" t="n">
        <v>46297</v>
      </c>
      <c r="F453" t="inlineStr">
        <is>
          <t>DALARNAS LÄN</t>
        </is>
      </c>
      <c r="G453" t="inlineStr">
        <is>
          <t>VANSBRO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46252</v>
      </c>
      <c r="E454" s="1" t="n">
        <v>46297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46297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8447-2022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44612</v>
      </c>
      <c r="E456" s="1" t="n">
        <v>46297</v>
      </c>
      <c r="F456" t="inlineStr">
        <is>
          <t>DALARNAS LÄN</t>
        </is>
      </c>
      <c r="G456" t="inlineStr">
        <is>
          <t>VANSBRO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46297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12.1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46297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34374-2026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46297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44798</v>
      </c>
      <c r="E460" s="1" t="n">
        <v>46297</v>
      </c>
      <c r="F460" t="inlineStr">
        <is>
          <t>DALARNAS LÄN</t>
        </is>
      </c>
      <c r="G460" t="inlineStr">
        <is>
          <t>VANSBRO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46297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45722</v>
      </c>
      <c r="E462" s="1" t="n">
        <v>46297</v>
      </c>
      <c r="F462" t="inlineStr">
        <is>
          <t>DALARNAS LÄN</t>
        </is>
      </c>
      <c r="G462" t="inlineStr">
        <is>
          <t>VANSBRO</t>
        </is>
      </c>
      <c r="I462" t="n">
        <v>15.5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33520-2024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45519</v>
      </c>
      <c r="E463" s="1" t="n">
        <v>46297</v>
      </c>
      <c r="F463" t="inlineStr">
        <is>
          <t>DALARNAS LÄN</t>
        </is>
      </c>
      <c r="G463" t="inlineStr">
        <is>
          <t>VANSBRO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62398-2021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44503</v>
      </c>
      <c r="E464" s="1" t="n">
        <v>46297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22.1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45453</v>
      </c>
      <c r="E465" s="1" t="n">
        <v>46297</v>
      </c>
      <c r="F465" t="inlineStr">
        <is>
          <t>DALARNAS LÄN</t>
        </is>
      </c>
      <c r="G465" t="inlineStr">
        <is>
          <t>VANSBRO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45666</v>
      </c>
      <c r="E466" s="1" t="n">
        <v>46297</v>
      </c>
      <c r="F466" t="inlineStr">
        <is>
          <t>DALARNAS LÄN</t>
        </is>
      </c>
      <c r="G466" t="inlineStr">
        <is>
          <t>VANSBRO</t>
        </is>
      </c>
      <c r="H466" t="inlineStr">
        <is>
          <t>Övriga statliga verk och myndigheter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46297</v>
      </c>
      <c r="F467" t="inlineStr">
        <is>
          <t>DALARNAS LÄN</t>
        </is>
      </c>
      <c r="G467" t="inlineStr">
        <is>
          <t>VANSBRO</t>
        </is>
      </c>
      <c r="I467" t="n">
        <v>9.9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8793-2025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45712</v>
      </c>
      <c r="E468" s="1" t="n">
        <v>46297</v>
      </c>
      <c r="F468" t="inlineStr">
        <is>
          <t>DALARNAS LÄN</t>
        </is>
      </c>
      <c r="G468" t="inlineStr">
        <is>
          <t>VANSBRO</t>
        </is>
      </c>
      <c r="I468" t="n">
        <v>13.8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46297</v>
      </c>
      <c r="F469" t="inlineStr">
        <is>
          <t>DALARNAS LÄN</t>
        </is>
      </c>
      <c r="G469" t="inlineStr">
        <is>
          <t>VANSBRO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2086-2024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45309</v>
      </c>
      <c r="E470" s="1" t="n">
        <v>46297</v>
      </c>
      <c r="F470" t="inlineStr">
        <is>
          <t>DALARNAS LÄN</t>
        </is>
      </c>
      <c r="G470" t="inlineStr">
        <is>
          <t>VANSBRO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45764</v>
      </c>
      <c r="E471" s="1" t="n">
        <v>46297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46297</v>
      </c>
      <c r="F472" t="inlineStr">
        <is>
          <t>DALARNAS LÄN</t>
        </is>
      </c>
      <c r="G472" t="inlineStr">
        <is>
          <t>VANSBRO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45182</v>
      </c>
      <c r="E473" s="1" t="n">
        <v>46297</v>
      </c>
      <c r="F473" t="inlineStr">
        <is>
          <t>DALARNAS LÄN</t>
        </is>
      </c>
      <c r="G473" t="inlineStr">
        <is>
          <t>VANSBRO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46297</v>
      </c>
      <c r="F474" t="inlineStr">
        <is>
          <t>DALARNAS LÄN</t>
        </is>
      </c>
      <c r="G474" t="inlineStr">
        <is>
          <t>VANSBRO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45483</v>
      </c>
      <c r="E475" s="1" t="n">
        <v>46297</v>
      </c>
      <c r="F475" t="inlineStr">
        <is>
          <t>DALARNAS LÄN</t>
        </is>
      </c>
      <c r="G475" t="inlineStr">
        <is>
          <t>VANSBRO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21616-2025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46297</v>
      </c>
      <c r="F476" t="inlineStr">
        <is>
          <t>DALARNAS LÄN</t>
        </is>
      </c>
      <c r="G476" t="inlineStr">
        <is>
          <t>VANSBRO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45674</v>
      </c>
      <c r="E477" s="1" t="n">
        <v>46297</v>
      </c>
      <c r="F477" t="inlineStr">
        <is>
          <t>DALARNAS LÄN</t>
        </is>
      </c>
      <c r="G477" t="inlineStr">
        <is>
          <t>VANSBRO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45783</v>
      </c>
      <c r="E478" s="1" t="n">
        <v>46297</v>
      </c>
      <c r="F478" t="inlineStr">
        <is>
          <t>DALARNAS LÄN</t>
        </is>
      </c>
      <c r="G478" t="inlineStr">
        <is>
          <t>VANSBRO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44719</v>
      </c>
      <c r="E479" s="1" t="n">
        <v>46297</v>
      </c>
      <c r="F479" t="inlineStr">
        <is>
          <t>DALARNAS LÄN</t>
        </is>
      </c>
      <c r="G479" t="inlineStr">
        <is>
          <t>VANSBRO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45492</v>
      </c>
      <c r="E480" s="1" t="n">
        <v>46297</v>
      </c>
      <c r="F480" t="inlineStr">
        <is>
          <t>DALARNAS LÄN</t>
        </is>
      </c>
      <c r="G480" t="inlineStr">
        <is>
          <t>VANSBRO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1286-2024</t>
        </is>
      </c>
      <c r="B481" t="inlineStr">
        <is>
          <t>samrådsanmälan</t>
        </is>
      </c>
      <c r="C481" t="inlineStr">
        <is>
          <t>Skogsgödsling</t>
        </is>
      </c>
      <c r="D481" s="1" t="n">
        <v>45401</v>
      </c>
      <c r="E481" s="1" t="n">
        <v>46297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220.8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4782-2022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44802</v>
      </c>
      <c r="E482" s="1" t="n">
        <v>46297</v>
      </c>
      <c r="F482" t="inlineStr">
        <is>
          <t>DALARNAS LÄN</t>
        </is>
      </c>
      <c r="G482" t="inlineStr">
        <is>
          <t>VANSBRO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3514-2023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45208</v>
      </c>
      <c r="E483" s="1" t="n">
        <v>46297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37.8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409-2025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45699</v>
      </c>
      <c r="E484" s="1" t="n">
        <v>46297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277.1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91-2026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46035</v>
      </c>
      <c r="E485" s="1" t="n">
        <v>46297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153.5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747-2026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46089</v>
      </c>
      <c r="E486" s="1" t="n">
        <v>46297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82.40000000000001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2026-10-02T02:04:22Z</dcterms:created>
  <dcterms:modified xmlns:dcterms="http://purl.org/dc/terms/" xmlns:xsi="http://www.w3.org/2001/XMLSchema-instance" xsi:type="dcterms:W3CDTF">2026-10-02T02:04:23Z</dcterms:modified>
</cp:coreProperties>
</file>