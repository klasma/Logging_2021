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46304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46304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46304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46304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46304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46304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46304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46304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46304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46304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46304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46304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46304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46304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46304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46304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33003-2025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45840</v>
      </c>
      <c r="E22" s="1" t="n">
        <v>46304</v>
      </c>
      <c r="F22" t="inlineStr">
        <is>
          <t>DALARNAS LÄN</t>
        </is>
      </c>
      <c r="G22" t="inlineStr">
        <is>
          <t>VANSBRO</t>
        </is>
      </c>
      <c r="I22" t="n">
        <v>2.3</v>
      </c>
      <c r="J22" t="n">
        <v>2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12</v>
      </c>
      <c r="U22" t="n">
        <v>12</v>
      </c>
      <c r="V22" s="2" t="inlineStr">
        <is>
          <t>Garnlav
Knärot
Kolflarnlav
Tretåig hackspett</t>
        </is>
      </c>
      <c r="W22">
        <f>HYPERLINK("https://klasma.github.io/Logging_2021/artfynd/A 33003-2025 artfynd.xlsx", "A 33003-2025")</f>
        <v/>
      </c>
      <c r="X22">
        <f>HYPERLINK("https://klasma.github.io/Logging_2021/kartor/A 33003-2025 karta.png", "A 33003-2025")</f>
        <v/>
      </c>
      <c r="Y22">
        <f>HYPERLINK("https://klasma.github.io/Logging_2021/kartor_geotiff/A 33003-2025 georefererad karta.tif", "A 33003-2025")</f>
        <v/>
      </c>
      <c r="Z22">
        <f>HYPERLINK("https://klasma.github.io/Logging_2021/knärot/A 33003-2025 karta knärot.png", "A 33003-2025")</f>
        <v/>
      </c>
      <c r="AA22">
        <f>HYPERLINK("https://klasma.github.io/Logging_2021/klagomål/A 33003-2025 FSC-klagomål.docx", "A 33003-2025")</f>
        <v/>
      </c>
      <c r="AB22">
        <f>HYPERLINK("https://klasma.github.io/Logging_2021/klagomålsmail/A 33003-2025 FSC-klagomål mail.docx", "A 33003-2025")</f>
        <v/>
      </c>
      <c r="AC22">
        <f>HYPERLINK("https://klasma.github.io/Logging_2021/tillsyn/A 33003-2025 tillsynsbegäran.docx", "A 33003-2025")</f>
        <v/>
      </c>
      <c r="AD22">
        <f>HYPERLINK("https://klasma.github.io/Logging_2021/tillsynsmail/A 33003-2025 tillsynsbegäran mail.docx", "A 33003-2025")</f>
        <v/>
      </c>
      <c r="AE22">
        <f>HYPERLINK("https://klasma.github.io/Logging_2021/fåglar/A 33003-2025 prioriterade fågelarter.docx", "A 33003-2025")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46304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46304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46304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11477-2026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46083</v>
      </c>
      <c r="E26" s="1" t="n">
        <v>46304</v>
      </c>
      <c r="F26" t="inlineStr">
        <is>
          <t>DALARNAS LÄN</t>
        </is>
      </c>
      <c r="G26" t="inlineStr">
        <is>
          <t>VANSBRO</t>
        </is>
      </c>
      <c r="I26" t="n">
        <v>14.5</v>
      </c>
      <c r="J26" t="n">
        <v>0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4</v>
      </c>
      <c r="T26" t="n">
        <v>5</v>
      </c>
      <c r="U26" t="n">
        <v>0</v>
      </c>
      <c r="V26" s="2" t="inlineStr">
        <is>
          <t>Garnlav
Dvärgbägarlav
Nordtagging
Vedskivlav</t>
        </is>
      </c>
      <c r="W26">
        <f>HYPERLINK("https://klasma.github.io/Logging_2021/artfynd/A 11477-2026 artfynd.xlsx", "A 11477-2026")</f>
        <v/>
      </c>
      <c r="X26">
        <f>HYPERLINK("https://klasma.github.io/Logging_2021/kartor/A 11477-2026 karta.png", "A 11477-2026")</f>
        <v/>
      </c>
      <c r="Y26">
        <f>HYPERLINK("https://klasma.github.io/Logging_2021/kartor_geotiff/A 11477-2026 georefererad karta.tif", "A 11477-2026")</f>
        <v/>
      </c>
      <c r="AA26">
        <f>HYPERLINK("https://klasma.github.io/Logging_2021/klagomål/A 11477-2026 FSC-klagomål.docx", "A 11477-2026")</f>
        <v/>
      </c>
      <c r="AB26">
        <f>HYPERLINK("https://klasma.github.io/Logging_2021/klagomålsmail/A 11477-2026 FSC-klagomål mail.docx", "A 11477-2026")</f>
        <v/>
      </c>
      <c r="AC26">
        <f>HYPERLINK("https://klasma.github.io/Logging_2021/tillsyn/A 11477-2026 tillsynsbegäran.docx", "A 11477-2026")</f>
        <v/>
      </c>
      <c r="AD26">
        <f>HYPERLINK("https://klasma.github.io/Logging_2021/tillsynsmail/A 11477-2026 tillsynsbegäran mail.docx", "A 11477-2026")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46304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46304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46304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46304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41377-2026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46301</v>
      </c>
      <c r="E31" s="1" t="n">
        <v>46304</v>
      </c>
      <c r="F31" t="inlineStr">
        <is>
          <t>DALARNAS LÄN</t>
        </is>
      </c>
      <c r="G31" t="inlineStr">
        <is>
          <t>VANSBRO</t>
        </is>
      </c>
      <c r="I31" t="n">
        <v>0.6</v>
      </c>
      <c r="J31" t="n">
        <v>1</v>
      </c>
      <c r="K31" t="n">
        <v>0</v>
      </c>
      <c r="L31" t="n">
        <v>1</v>
      </c>
      <c r="M31" t="n">
        <v>2</v>
      </c>
      <c r="N31" t="n">
        <v>0</v>
      </c>
      <c r="O31" t="n">
        <v>0</v>
      </c>
      <c r="P31" t="n">
        <v>0</v>
      </c>
      <c r="Q31" t="n">
        <v>3</v>
      </c>
      <c r="R31" t="n">
        <v>2</v>
      </c>
      <c r="S31" t="n">
        <v>3</v>
      </c>
      <c r="T31" t="n">
        <v>4</v>
      </c>
      <c r="U31" t="n">
        <v>0</v>
      </c>
      <c r="V31" s="2" t="inlineStr">
        <is>
          <t>Garnlav
Knärot
Ullticka</t>
        </is>
      </c>
      <c r="W31">
        <f>HYPERLINK("https://klasma.github.io/Logging_2021/artfynd/A 41377-2026 artfynd.xlsx", "A 41377-2026")</f>
        <v/>
      </c>
      <c r="X31">
        <f>HYPERLINK("https://klasma.github.io/Logging_2021/kartor/A 41377-2026 karta.png", "A 41377-2026")</f>
        <v/>
      </c>
      <c r="Y31">
        <f>HYPERLINK("https://klasma.github.io/Logging_2021/kartor_geotiff/A 41377-2026 georefererad karta.tif", "A 41377-2026")</f>
        <v/>
      </c>
      <c r="Z31">
        <f>HYPERLINK("https://klasma.github.io/Logging_2021/knärot/A 41377-2026 karta knärot.png", "A 41377-2026")</f>
        <v/>
      </c>
      <c r="AA31">
        <f>HYPERLINK("https://klasma.github.io/Logging_2021/klagomål/A 41377-2026 FSC-klagomål.docx", "A 41377-2026")</f>
        <v/>
      </c>
      <c r="AB31">
        <f>HYPERLINK("https://klasma.github.io/Logging_2021/klagomålsmail/A 41377-2026 FSC-klagomål mail.docx", "A 41377-2026")</f>
        <v/>
      </c>
      <c r="AC31">
        <f>HYPERLINK("https://klasma.github.io/Logging_2021/tillsyn/A 41377-2026 tillsynsbegäran.docx", "A 41377-2026")</f>
        <v/>
      </c>
      <c r="AD31">
        <f>HYPERLINK("https://klasma.github.io/Logging_2021/tillsynsmail/A 41377-2026 tillsynsbegäran mail.docx", "A 41377-2026")</f>
        <v/>
      </c>
    </row>
    <row r="32" ht="15" customHeight="1">
      <c r="A32" t="inlineStr">
        <is>
          <t>A 41690-2026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46304</v>
      </c>
      <c r="F32" t="inlineStr">
        <is>
          <t>DALARNAS LÄN</t>
        </is>
      </c>
      <c r="G32" t="inlineStr">
        <is>
          <t>VANSBRO</t>
        </is>
      </c>
      <c r="I32" t="n">
        <v>2.4</v>
      </c>
      <c r="J32" t="n">
        <v>1</v>
      </c>
      <c r="K32" t="n">
        <v>0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Drillsnäppa
Ullticka
Älg</t>
        </is>
      </c>
      <c r="W32">
        <f>HYPERLINK("https://klasma.github.io/Logging_2021/artfynd/A 41690-2026 artfynd.xlsx", "A 41690-2026")</f>
        <v/>
      </c>
      <c r="X32">
        <f>HYPERLINK("https://klasma.github.io/Logging_2021/kartor/A 41690-2026 karta.png", "A 41690-2026")</f>
        <v/>
      </c>
      <c r="Y32">
        <f>HYPERLINK("https://klasma.github.io/Logging_2021/kartor_geotiff/A 41690-2026 georefererad karta.tif", "A 41690-2026")</f>
        <v/>
      </c>
      <c r="AA32">
        <f>HYPERLINK("https://klasma.github.io/Logging_2021/klagomål/A 41690-2026 FSC-klagomål.docx", "A 41690-2026")</f>
        <v/>
      </c>
      <c r="AB32">
        <f>HYPERLINK("https://klasma.github.io/Logging_2021/klagomålsmail/A 41690-2026 FSC-klagomål mail.docx", "A 41690-2026")</f>
        <v/>
      </c>
      <c r="AC32">
        <f>HYPERLINK("https://klasma.github.io/Logging_2021/tillsyn/A 41690-2026 tillsynsbegäran.docx", "A 41690-2026")</f>
        <v/>
      </c>
      <c r="AD32">
        <f>HYPERLINK("https://klasma.github.io/Logging_2021/tillsynsmail/A 41690-2026 tillsynsbegäran mail.docx", "A 41690-2026")</f>
        <v/>
      </c>
      <c r="AE32">
        <f>HYPERLINK("https://klasma.github.io/Logging_2021/fåglar/A 41690-2026 prioriterade fågelarter.docx", "A 41690-2026")</f>
        <v/>
      </c>
    </row>
    <row r="33" ht="15" customHeight="1">
      <c r="A33" t="inlineStr">
        <is>
          <t>A 33898-2022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44790</v>
      </c>
      <c r="E33" s="1" t="n">
        <v>46304</v>
      </c>
      <c r="F33" t="inlineStr">
        <is>
          <t>DALARNAS LÄN</t>
        </is>
      </c>
      <c r="G33" t="inlineStr">
        <is>
          <t>VANSBRO</t>
        </is>
      </c>
      <c r="I33" t="n">
        <v>2.8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2</v>
      </c>
      <c r="U33" t="n">
        <v>2</v>
      </c>
      <c r="V33" s="2" t="inlineStr">
        <is>
          <t>Knärot
Kungsfågel</t>
        </is>
      </c>
      <c r="W33">
        <f>HYPERLINK("https://klasma.github.io/Logging_2021/artfynd/A 33898-2022 artfynd.xlsx", "A 33898-2022")</f>
        <v/>
      </c>
      <c r="X33">
        <f>HYPERLINK("https://klasma.github.io/Logging_2021/kartor/A 33898-2022 karta.png", "A 33898-2022")</f>
        <v/>
      </c>
      <c r="Y33">
        <f>HYPERLINK("https://klasma.github.io/Logging_2021/kartor_geotiff/A 33898-2022 georefererad karta.tif", "A 33898-2022")</f>
        <v/>
      </c>
      <c r="Z33">
        <f>HYPERLINK("https://klasma.github.io/Logging_2021/knärot/A 33898-2022 karta knärot.png", "A 33898-2022")</f>
        <v/>
      </c>
      <c r="AA33">
        <f>HYPERLINK("https://klasma.github.io/Logging_2021/klagomål/A 33898-2022 FSC-klagomål.docx", "A 33898-2022")</f>
        <v/>
      </c>
      <c r="AB33">
        <f>HYPERLINK("https://klasma.github.io/Logging_2021/klagomålsmail/A 33898-2022 FSC-klagomål mail.docx", "A 33898-2022")</f>
        <v/>
      </c>
      <c r="AC33">
        <f>HYPERLINK("https://klasma.github.io/Logging_2021/tillsyn/A 33898-2022 tillsynsbegäran.docx", "A 33898-2022")</f>
        <v/>
      </c>
      <c r="AD33">
        <f>HYPERLINK("https://klasma.github.io/Logging_2021/tillsynsmail/A 33898-2022 tillsynsbegäran mail.docx", "A 33898-2022")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46304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46304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1691-2026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46034</v>
      </c>
      <c r="E36" s="1" t="n">
        <v>46304</v>
      </c>
      <c r="F36" t="inlineStr">
        <is>
          <t>DALARNAS LÄN</t>
        </is>
      </c>
      <c r="G36" t="inlineStr">
        <is>
          <t>VANSBRO</t>
        </is>
      </c>
      <c r="I36" t="n">
        <v>6.3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Motaggsvamp</t>
        </is>
      </c>
      <c r="W36">
        <f>HYPERLINK("https://klasma.github.io/Logging_2021/artfynd/A 1691-2026 artfynd.xlsx", "A 1691-2026")</f>
        <v/>
      </c>
      <c r="X36">
        <f>HYPERLINK("https://klasma.github.io/Logging_2021/kartor/A 1691-2026 karta.png", "A 1691-2026")</f>
        <v/>
      </c>
      <c r="Y36">
        <f>HYPERLINK("https://klasma.github.io/Logging_2021/kartor_geotiff/A 1691-2026 georefererad karta.tif", "A 1691-2026")</f>
        <v/>
      </c>
      <c r="AA36">
        <f>HYPERLINK("https://klasma.github.io/Logging_2021/klagomål/A 1691-2026 FSC-klagomål.docx", "A 1691-2026")</f>
        <v/>
      </c>
      <c r="AB36">
        <f>HYPERLINK("https://klasma.github.io/Logging_2021/klagomålsmail/A 1691-2026 FSC-klagomål mail.docx", "A 1691-2026")</f>
        <v/>
      </c>
      <c r="AC36">
        <f>HYPERLINK("https://klasma.github.io/Logging_2021/tillsyn/A 1691-2026 tillsynsbegäran.docx", "A 1691-2026")</f>
        <v/>
      </c>
      <c r="AD36">
        <f>HYPERLINK("https://klasma.github.io/Logging_2021/tillsynsmail/A 1691-2026 tillsynsbegäran mail.docx", "A 1691-2026")</f>
        <v/>
      </c>
    </row>
    <row r="37" ht="15" customHeight="1">
      <c r="A37" t="inlineStr">
        <is>
          <t>A 58009-2023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46304</v>
      </c>
      <c r="F37" t="inlineStr">
        <is>
          <t>DALARNAS LÄN</t>
        </is>
      </c>
      <c r="G37" t="inlineStr">
        <is>
          <t>VANSBRO</t>
        </is>
      </c>
      <c r="I37" t="n">
        <v>0.5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Sädesärla
Orre</t>
        </is>
      </c>
      <c r="W37">
        <f>HYPERLINK("https://klasma.github.io/Logging_2021/artfynd/A 58009-2023 artfynd.xlsx", "A 58009-2023")</f>
        <v/>
      </c>
      <c r="X37">
        <f>HYPERLINK("https://klasma.github.io/Logging_2021/kartor/A 58009-2023 karta.png", "A 58009-2023")</f>
        <v/>
      </c>
      <c r="Y37">
        <f>HYPERLINK("https://klasma.github.io/Logging_2021/kartor_geotiff/A 58009-2023 georefererad karta.tif", "A 58009-2023")</f>
        <v/>
      </c>
      <c r="AA37">
        <f>HYPERLINK("https://klasma.github.io/Logging_2021/klagomål/A 58009-2023 FSC-klagomål.docx", "A 58009-2023")</f>
        <v/>
      </c>
      <c r="AB37">
        <f>HYPERLINK("https://klasma.github.io/Logging_2021/klagomålsmail/A 58009-2023 FSC-klagomål mail.docx", "A 58009-2023")</f>
        <v/>
      </c>
      <c r="AC37">
        <f>HYPERLINK("https://klasma.github.io/Logging_2021/tillsyn/A 58009-2023 tillsynsbegäran.docx", "A 58009-2023")</f>
        <v/>
      </c>
      <c r="AD37">
        <f>HYPERLINK("https://klasma.github.io/Logging_2021/tillsynsmail/A 58009-2023 tillsynsbegäran mail.docx", "A 58009-2023")</f>
        <v/>
      </c>
      <c r="AE37">
        <f>HYPERLINK("https://klasma.github.io/Logging_2021/fåglar/A 58009-2023 prioriterade fågelarter.docx", "A 58009-2023")</f>
        <v/>
      </c>
    </row>
    <row r="38" ht="15" customHeight="1">
      <c r="A38" t="inlineStr">
        <is>
          <t>A 14475-2024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45394</v>
      </c>
      <c r="E38" s="1" t="n">
        <v>46304</v>
      </c>
      <c r="F38" t="inlineStr">
        <is>
          <t>DALARNAS LÄN</t>
        </is>
      </c>
      <c r="G38" t="inlineStr">
        <is>
          <t>VANSBRO</t>
        </is>
      </c>
      <c r="I38" t="n">
        <v>20.4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3</v>
      </c>
      <c r="U38" t="n">
        <v>3</v>
      </c>
      <c r="V38" s="2" t="inlineStr">
        <is>
          <t>Garnlav
Dropptaggsvamp</t>
        </is>
      </c>
      <c r="W38">
        <f>HYPERLINK("https://klasma.github.io/Logging_2021/artfynd/A 14475-2024 artfynd.xlsx", "A 14475-2024")</f>
        <v/>
      </c>
      <c r="X38">
        <f>HYPERLINK("https://klasma.github.io/Logging_2021/kartor/A 14475-2024 karta.png", "A 14475-2024")</f>
        <v/>
      </c>
      <c r="Y38">
        <f>HYPERLINK("https://klasma.github.io/Logging_2021/kartor_geotiff/A 14475-2024 georefererad karta.tif", "A 14475-2024")</f>
        <v/>
      </c>
      <c r="AA38">
        <f>HYPERLINK("https://klasma.github.io/Logging_2021/klagomål/A 14475-2024 FSC-klagomål.docx", "A 14475-2024")</f>
        <v/>
      </c>
      <c r="AB38">
        <f>HYPERLINK("https://klasma.github.io/Logging_2021/klagomålsmail/A 14475-2024 FSC-klagomål mail.docx", "A 14475-2024")</f>
        <v/>
      </c>
      <c r="AC38">
        <f>HYPERLINK("https://klasma.github.io/Logging_2021/tillsyn/A 14475-2024 tillsynsbegäran.docx", "A 14475-2024")</f>
        <v/>
      </c>
      <c r="AD38">
        <f>HYPERLINK("https://klasma.github.io/Logging_2021/tillsynsmail/A 14475-2024 tillsynsbegäran mail.docx", "A 14475-2024")</f>
        <v/>
      </c>
    </row>
    <row r="39" ht="15" customHeight="1">
      <c r="A39" t="inlineStr">
        <is>
          <t>A 33793-2026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46304</v>
      </c>
      <c r="F39" t="inlineStr">
        <is>
          <t>DALARNAS LÄN</t>
        </is>
      </c>
      <c r="G39" t="inlineStr">
        <is>
          <t>VANSBRO</t>
        </is>
      </c>
      <c r="H39" t="inlineStr">
        <is>
          <t>Bergvik skog öst AB</t>
        </is>
      </c>
      <c r="I39" t="n">
        <v>0.9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Nästlav</t>
        </is>
      </c>
      <c r="W39">
        <f>HYPERLINK("https://klasma.github.io/Logging_2021/artfynd/A 33793-2026 artfynd.xlsx", "A 33793-2026")</f>
        <v/>
      </c>
      <c r="X39">
        <f>HYPERLINK("https://klasma.github.io/Logging_2021/kartor/A 33793-2026 karta.png", "A 33793-2026")</f>
        <v/>
      </c>
      <c r="Y39">
        <f>HYPERLINK("https://klasma.github.io/Logging_2021/kartor_geotiff/A 33793-2026 georefererad karta.tif", "A 33793-2026")</f>
        <v/>
      </c>
      <c r="AA39">
        <f>HYPERLINK("https://klasma.github.io/Logging_2021/klagomål/A 33793-2026 FSC-klagomål.docx", "A 33793-2026")</f>
        <v/>
      </c>
      <c r="AB39">
        <f>HYPERLINK("https://klasma.github.io/Logging_2021/klagomålsmail/A 33793-2026 FSC-klagomål mail.docx", "A 33793-2026")</f>
        <v/>
      </c>
      <c r="AC39">
        <f>HYPERLINK("https://klasma.github.io/Logging_2021/tillsyn/A 33793-2026 tillsynsbegäran.docx", "A 33793-2026")</f>
        <v/>
      </c>
      <c r="AD39">
        <f>HYPERLINK("https://klasma.github.io/Logging_2021/tillsynsmail/A 33793-2026 tillsynsbegäran mail.docx", "A 33793-2026")</f>
        <v/>
      </c>
    </row>
    <row r="40" ht="15" customHeight="1">
      <c r="A40" t="inlineStr">
        <is>
          <t>A 32917-2025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45839</v>
      </c>
      <c r="E40" s="1" t="n">
        <v>46304</v>
      </c>
      <c r="F40" t="inlineStr">
        <is>
          <t>DALARNAS LÄN</t>
        </is>
      </c>
      <c r="G40" t="inlineStr">
        <is>
          <t>VANSBRO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2</v>
      </c>
      <c r="V40" s="2" t="inlineStr">
        <is>
          <t>Garnlav</t>
        </is>
      </c>
      <c r="W40">
        <f>HYPERLINK("https://klasma.github.io/Logging_2021/artfynd/A 32917-2025 artfynd.xlsx", "A 32917-2025")</f>
        <v/>
      </c>
      <c r="X40">
        <f>HYPERLINK("https://klasma.github.io/Logging_2021/kartor/A 32917-2025 karta.png", "A 32917-2025")</f>
        <v/>
      </c>
      <c r="Y40">
        <f>HYPERLINK("https://klasma.github.io/Logging_2021/kartor_geotiff/A 32917-2025 georefererad karta.tif", "A 32917-2025")</f>
        <v/>
      </c>
      <c r="AA40">
        <f>HYPERLINK("https://klasma.github.io/Logging_2021/klagomål/A 32917-2025 FSC-klagomål.docx", "A 32917-2025")</f>
        <v/>
      </c>
      <c r="AB40">
        <f>HYPERLINK("https://klasma.github.io/Logging_2021/klagomålsmail/A 32917-2025 FSC-klagomål mail.docx", "A 32917-2025")</f>
        <v/>
      </c>
      <c r="AC40">
        <f>HYPERLINK("https://klasma.github.io/Logging_2021/tillsyn/A 32917-2025 tillsynsbegäran.docx", "A 32917-2025")</f>
        <v/>
      </c>
      <c r="AD40">
        <f>HYPERLINK("https://klasma.github.io/Logging_2021/tillsynsmail/A 32917-2025 tillsynsbegäran mail.docx", "A 32917-2025")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46304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52675-2025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45956</v>
      </c>
      <c r="E42" s="1" t="n">
        <v>46304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4.5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Motaggsvamp</t>
        </is>
      </c>
      <c r="W42">
        <f>HYPERLINK("https://klasma.github.io/Logging_2021/artfynd/A 52675-2025 artfynd.xlsx", "A 52675-2025")</f>
        <v/>
      </c>
      <c r="X42">
        <f>HYPERLINK("https://klasma.github.io/Logging_2021/kartor/A 52675-2025 karta.png", "A 52675-2025")</f>
        <v/>
      </c>
      <c r="Y42">
        <f>HYPERLINK("https://klasma.github.io/Logging_2021/kartor_geotiff/A 52675-2025 georefererad karta.tif", "A 52675-2025")</f>
        <v/>
      </c>
      <c r="AA42">
        <f>HYPERLINK("https://klasma.github.io/Logging_2021/klagomål/A 52675-2025 FSC-klagomål.docx", "A 52675-2025")</f>
        <v/>
      </c>
      <c r="AB42">
        <f>HYPERLINK("https://klasma.github.io/Logging_2021/klagomålsmail/A 52675-2025 FSC-klagomål mail.docx", "A 52675-2025")</f>
        <v/>
      </c>
      <c r="AC42">
        <f>HYPERLINK("https://klasma.github.io/Logging_2021/tillsyn/A 52675-2025 tillsynsbegäran.docx", "A 52675-2025")</f>
        <v/>
      </c>
      <c r="AD42">
        <f>HYPERLINK("https://klasma.github.io/Logging_2021/tillsynsmail/A 52675-2025 tillsynsbegäran mail.docx", "A 52675-2025")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46304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3918-2026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46043</v>
      </c>
      <c r="E44" s="1" t="n">
        <v>46304</v>
      </c>
      <c r="F44" t="inlineStr">
        <is>
          <t>DALARNAS LÄN</t>
        </is>
      </c>
      <c r="G44" t="inlineStr">
        <is>
          <t>VANSBRO</t>
        </is>
      </c>
      <c r="I44" t="n">
        <v>6.2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Duvhök</t>
        </is>
      </c>
      <c r="W44">
        <f>HYPERLINK("https://klasma.github.io/Logging_2021/artfynd/A 3918-2026 artfynd.xlsx", "A 3918-2026")</f>
        <v/>
      </c>
      <c r="X44">
        <f>HYPERLINK("https://klasma.github.io/Logging_2021/kartor/A 3918-2026 karta.png", "A 3918-2026")</f>
        <v/>
      </c>
      <c r="Y44">
        <f>HYPERLINK("https://klasma.github.io/Logging_2021/kartor_geotiff/A 3918-2026 georefererad karta.tif", "A 3918-2026")</f>
        <v/>
      </c>
      <c r="AA44">
        <f>HYPERLINK("https://klasma.github.io/Logging_2021/klagomål/A 3918-2026 FSC-klagomål.docx", "A 3918-2026")</f>
        <v/>
      </c>
      <c r="AB44">
        <f>HYPERLINK("https://klasma.github.io/Logging_2021/klagomålsmail/A 3918-2026 FSC-klagomål mail.docx", "A 3918-2026")</f>
        <v/>
      </c>
      <c r="AC44">
        <f>HYPERLINK("https://klasma.github.io/Logging_2021/tillsyn/A 3918-2026 tillsynsbegäran.docx", "A 3918-2026")</f>
        <v/>
      </c>
      <c r="AD44">
        <f>HYPERLINK("https://klasma.github.io/Logging_2021/tillsynsmail/A 3918-2026 tillsynsbegäran mail.docx", "A 3918-2026")</f>
        <v/>
      </c>
      <c r="AE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46051</v>
      </c>
      <c r="E45" s="1" t="n">
        <v>46304</v>
      </c>
      <c r="F45" t="inlineStr">
        <is>
          <t>DALARNAS LÄN</t>
        </is>
      </c>
      <c r="G45" t="inlineStr">
        <is>
          <t>VANSBRO</t>
        </is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rörsvepemossa</t>
        </is>
      </c>
      <c r="W45">
        <f>HYPERLINK("https://klasma.github.io/Logging_2021/artfynd/A 5659-2026 artfynd.xlsx", "A 5659-2026")</f>
        <v/>
      </c>
      <c r="X45">
        <f>HYPERLINK("https://klasma.github.io/Logging_2021/kartor/A 5659-2026 karta.png", "A 5659-2026")</f>
        <v/>
      </c>
      <c r="Y45">
        <f>HYPERLINK("https://klasma.github.io/Logging_2021/kartor_geotiff/A 5659-2026 georefererad karta.tif", "A 5659-2026")</f>
        <v/>
      </c>
      <c r="Z45">
        <f>HYPERLINK("https://klasma.github.io/Logging_2021/knärot/A 5659-2026 karta knärot.png", "A 5659-2026")</f>
        <v/>
      </c>
      <c r="AA45">
        <f>HYPERLINK("https://klasma.github.io/Logging_2021/klagomål/A 5659-2026 FSC-klagomål.docx", "A 5659-2026")</f>
        <v/>
      </c>
      <c r="AB45">
        <f>HYPERLINK("https://klasma.github.io/Logging_2021/klagomålsmail/A 5659-2026 FSC-klagomål mail.docx", "A 5659-2026")</f>
        <v/>
      </c>
      <c r="AC45">
        <f>HYPERLINK("https://klasma.github.io/Logging_2021/tillsyn/A 5659-2026 tillsynsbegäran.docx", "A 5659-2026")</f>
        <v/>
      </c>
      <c r="AD45">
        <f>HYPERLINK("https://klasma.github.io/Logging_2021/tillsynsmail/A 5659-2026 tillsynsbegäran mail.docx", "A 5659-2026")</f>
        <v/>
      </c>
    </row>
    <row r="46" ht="15" customHeight="1">
      <c r="A46" t="inlineStr">
        <is>
          <t>A 37219-2024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45539</v>
      </c>
      <c r="E46" s="1" t="n">
        <v>46304</v>
      </c>
      <c r="F46" t="inlineStr">
        <is>
          <t>DALARNAS LÄN</t>
        </is>
      </c>
      <c r="G46" t="inlineStr">
        <is>
          <t>VANSBRO</t>
        </is>
      </c>
      <c r="I46" t="n">
        <v>5.3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Tjäder</t>
        </is>
      </c>
      <c r="W46">
        <f>HYPERLINK("https://klasma.github.io/Logging_2021/artfynd/A 37219-2024 artfynd.xlsx", "A 37219-2024")</f>
        <v/>
      </c>
      <c r="X46">
        <f>HYPERLINK("https://klasma.github.io/Logging_2021/kartor/A 37219-2024 karta.png", "A 37219-2024")</f>
        <v/>
      </c>
      <c r="Y46">
        <f>HYPERLINK("https://klasma.github.io/Logging_2021/kartor_geotiff/A 37219-2024 georefererad karta.tif", "A 37219-2024")</f>
        <v/>
      </c>
      <c r="AA46">
        <f>HYPERLINK("https://klasma.github.io/Logging_2021/klagomål/A 37219-2024 FSC-klagomål.docx", "A 37219-2024")</f>
        <v/>
      </c>
      <c r="AB46">
        <f>HYPERLINK("https://klasma.github.io/Logging_2021/klagomålsmail/A 37219-2024 FSC-klagomål mail.docx", "A 37219-2024")</f>
        <v/>
      </c>
      <c r="AC46">
        <f>HYPERLINK("https://klasma.github.io/Logging_2021/tillsyn/A 37219-2024 tillsynsbegäran.docx", "A 37219-2024")</f>
        <v/>
      </c>
      <c r="AD46">
        <f>HYPERLINK("https://klasma.github.io/Logging_2021/tillsynsmail/A 37219-2024 tillsynsbegäran mail.docx", "A 37219-2024")</f>
        <v/>
      </c>
      <c r="AE46">
        <f>HYPERLINK("https://klasma.github.io/Logging_2021/fåglar/A 37219-2024 prioriterade fågelarter.docx", "A 37219-2024")</f>
        <v/>
      </c>
    </row>
    <row r="47" ht="15" customHeight="1">
      <c r="A47" t="inlineStr">
        <is>
          <t>A 54453-2024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45617</v>
      </c>
      <c r="E47" s="1" t="n">
        <v>46304</v>
      </c>
      <c r="F47" t="inlineStr">
        <is>
          <t>DALARNAS LÄN</t>
        </is>
      </c>
      <c r="G47" t="inlineStr">
        <is>
          <t>VANSBRO</t>
        </is>
      </c>
      <c r="I47" t="n">
        <v>0.4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Skarp dropptaggsvamp</t>
        </is>
      </c>
      <c r="W47">
        <f>HYPERLINK("https://klasma.github.io/Logging_2021/artfynd/A 54453-2024 artfynd.xlsx", "A 54453-2024")</f>
        <v/>
      </c>
      <c r="X47">
        <f>HYPERLINK("https://klasma.github.io/Logging_2021/kartor/A 54453-2024 karta.png", "A 54453-2024")</f>
        <v/>
      </c>
      <c r="Y47">
        <f>HYPERLINK("https://klasma.github.io/Logging_2021/kartor_geotiff/A 54453-2024 georefererad karta.tif", "A 54453-2024")</f>
        <v/>
      </c>
      <c r="AA47">
        <f>HYPERLINK("https://klasma.github.io/Logging_2021/klagomål/A 54453-2024 FSC-klagomål.docx", "A 54453-2024")</f>
        <v/>
      </c>
      <c r="AB47">
        <f>HYPERLINK("https://klasma.github.io/Logging_2021/klagomålsmail/A 54453-2024 FSC-klagomål mail.docx", "A 54453-2024")</f>
        <v/>
      </c>
      <c r="AC47">
        <f>HYPERLINK("https://klasma.github.io/Logging_2021/tillsyn/A 54453-2024 tillsynsbegäran.docx", "A 54453-2024")</f>
        <v/>
      </c>
      <c r="AD47">
        <f>HYPERLINK("https://klasma.github.io/Logging_2021/tillsynsmail/A 54453-2024 tillsynsbegäran mail.docx", "A 54453-2024")</f>
        <v/>
      </c>
    </row>
    <row r="48" ht="15" customHeight="1">
      <c r="A48" t="inlineStr">
        <is>
          <t>A 26756-2026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46184</v>
      </c>
      <c r="E48" s="1" t="n">
        <v>46304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11.4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Talltita</t>
        </is>
      </c>
      <c r="W48">
        <f>HYPERLINK("https://klasma.github.io/Logging_2021/artfynd/A 26756-2026 artfynd.xlsx", "A 26756-2026")</f>
        <v/>
      </c>
      <c r="X48">
        <f>HYPERLINK("https://klasma.github.io/Logging_2021/kartor/A 26756-2026 karta.png", "A 26756-2026")</f>
        <v/>
      </c>
      <c r="Y48">
        <f>HYPERLINK("https://klasma.github.io/Logging_2021/kartor_geotiff/A 26756-2026 georefererad karta.tif", "A 26756-2026")</f>
        <v/>
      </c>
      <c r="AA48">
        <f>HYPERLINK("https://klasma.github.io/Logging_2021/klagomål/A 26756-2026 FSC-klagomål.docx", "A 26756-2026")</f>
        <v/>
      </c>
      <c r="AB48">
        <f>HYPERLINK("https://klasma.github.io/Logging_2021/klagomålsmail/A 26756-2026 FSC-klagomål mail.docx", "A 26756-2026")</f>
        <v/>
      </c>
      <c r="AC48">
        <f>HYPERLINK("https://klasma.github.io/Logging_2021/tillsyn/A 26756-2026 tillsynsbegäran.docx", "A 26756-2026")</f>
        <v/>
      </c>
      <c r="AD48">
        <f>HYPERLINK("https://klasma.github.io/Logging_2021/tillsynsmail/A 26756-2026 tillsynsbegäran mail.docx", "A 26756-2026")</f>
        <v/>
      </c>
      <c r="AE48">
        <f>HYPERLINK("https://klasma.github.io/Logging_2021/fåglar/A 26756-2026 prioriterade fågelarter.docx", "A 26756-2026")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46304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35533-2026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46262</v>
      </c>
      <c r="E50" s="1" t="n">
        <v>46304</v>
      </c>
      <c r="F50" t="inlineStr">
        <is>
          <t>DALARNAS LÄN</t>
        </is>
      </c>
      <c r="G50" t="inlineStr">
        <is>
          <t>VANSBRO</t>
        </is>
      </c>
      <c r="I50" t="n">
        <v>1.3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HYPERLINK("https://klasma.github.io/Logging_2021/artfynd/A 35533-2026 artfynd.xlsx", "A 35533-2026")</f>
        <v/>
      </c>
      <c r="X50">
        <f>HYPERLINK("https://klasma.github.io/Logging_2021/kartor/A 35533-2026 karta.png", "A 35533-2026")</f>
        <v/>
      </c>
      <c r="Y50">
        <f>HYPERLINK("https://klasma.github.io/Logging_2021/kartor_geotiff/A 35533-2026 georefererad karta.tif", "A 35533-2026")</f>
        <v/>
      </c>
      <c r="Z50">
        <f>HYPERLINK("https://klasma.github.io/Logging_2021/knärot/A 35533-2026 karta knärot.png", "A 35533-2026")</f>
        <v/>
      </c>
      <c r="AA50">
        <f>HYPERLINK("https://klasma.github.io/Logging_2021/klagomål/A 35533-2026 FSC-klagomål.docx", "A 35533-2026")</f>
        <v/>
      </c>
      <c r="AB50">
        <f>HYPERLINK("https://klasma.github.io/Logging_2021/klagomålsmail/A 35533-2026 FSC-klagomål mail.docx", "A 35533-2026")</f>
        <v/>
      </c>
      <c r="AC50">
        <f>HYPERLINK("https://klasma.github.io/Logging_2021/tillsyn/A 35533-2026 tillsynsbegäran.docx", "A 35533-2026")</f>
        <v/>
      </c>
      <c r="AD50">
        <f>HYPERLINK("https://klasma.github.io/Logging_2021/tillsynsmail/A 35533-2026 tillsynsbegäran mail.docx", "A 35533-2026")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46304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A 27052-2025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45811</v>
      </c>
      <c r="E52" s="1" t="n">
        <v>46304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HYPERLINK("https://klasma.github.io/Logging_2021/artfynd/A 27052-2025 artfynd.xlsx", "A 27052-2025")</f>
        <v/>
      </c>
      <c r="X52">
        <f>HYPERLINK("https://klasma.github.io/Logging_2021/kartor/A 27052-2025 karta.png", "A 27052-2025")</f>
        <v/>
      </c>
      <c r="Y52">
        <f>HYPERLINK("https://klasma.github.io/Logging_2021/kartor_geotiff/A 27052-2025 georefererad karta.tif", "A 27052-2025")</f>
        <v/>
      </c>
      <c r="AA52">
        <f>HYPERLINK("https://klasma.github.io/Logging_2021/klagomål/A 27052-2025 FSC-klagomål.docx", "A 27052-2025")</f>
        <v/>
      </c>
      <c r="AB52">
        <f>HYPERLINK("https://klasma.github.io/Logging_2021/klagomålsmail/A 27052-2025 FSC-klagomål mail.docx", "A 27052-2025")</f>
        <v/>
      </c>
      <c r="AC52">
        <f>HYPERLINK("https://klasma.github.io/Logging_2021/tillsyn/A 27052-2025 tillsynsbegäran.docx", "A 27052-2025")</f>
        <v/>
      </c>
      <c r="AD52">
        <f>HYPERLINK("https://klasma.github.io/Logging_2021/tillsynsmail/A 27052-2025 tillsynsbegäran mail.docx", "A 27052-2025")</f>
        <v/>
      </c>
      <c r="AE52">
        <f>HYPERLINK("https://klasma.github.io/Logging_2021/fåglar/A 27052-2025 prioriterade fågelarter.docx", "A 27052-2025")</f>
        <v/>
      </c>
    </row>
    <row r="53" ht="15" customHeight="1">
      <c r="A53" t="inlineStr">
        <is>
          <t>S 146-2023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44942</v>
      </c>
      <c r="E53" s="1" t="n">
        <v>46304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8.9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2</v>
      </c>
      <c r="U53" t="n">
        <v>0</v>
      </c>
      <c r="V53" s="2" t="inlineStr">
        <is>
          <t>Garnlav</t>
        </is>
      </c>
      <c r="W53">
        <f>HYPERLINK("https://klasma.github.io/Logging_2021/artfynd/S 146-2023 artfynd.xlsx", "S 146-2023")</f>
        <v/>
      </c>
      <c r="X53">
        <f>HYPERLINK("https://klasma.github.io/Logging_2021/kartor/S 146-2023 karta.png", "S 146-2023")</f>
        <v/>
      </c>
      <c r="Y53">
        <f>HYPERLINK("https://klasma.github.io/Logging_2021/kartor_geotiff/S 146-2023 georefererad karta.tif", "S 146-2023")</f>
        <v/>
      </c>
      <c r="AA53">
        <f>HYPERLINK("https://klasma.github.io/Logging_2021/klagomål/S 146-2023 FSC-klagomål.docx", "S 146-2023")</f>
        <v/>
      </c>
      <c r="AB53">
        <f>HYPERLINK("https://klasma.github.io/Logging_2021/klagomålsmail/S 146-2023 FSC-klagomål mail.docx", "S 146-2023")</f>
        <v/>
      </c>
      <c r="AC53">
        <f>HYPERLINK("https://klasma.github.io/Logging_2021/tillsyn/S 146-2023 tillsynsbegäran.docx", "S 146-2023")</f>
        <v/>
      </c>
      <c r="AD53">
        <f>HYPERLINK("https://klasma.github.io/Logging_2021/tillsynsmail/S 146-2023 tillsynsbegäran mail.docx", "S 146-2023")</f>
        <v/>
      </c>
    </row>
    <row r="54" ht="15" customHeight="1">
      <c r="A54" t="inlineStr">
        <is>
          <t>S 940-2024</t>
        </is>
      </c>
      <c r="B54" t="inlineStr">
        <is>
          <t>samrådsanmälan</t>
        </is>
      </c>
      <c r="C54" t="inlineStr">
        <is>
          <t>Skogsgödsling</t>
        </is>
      </c>
      <c r="D54" s="1" t="n">
        <v>45377</v>
      </c>
      <c r="E54" s="1" t="n">
        <v>46304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väst AB</t>
        </is>
      </c>
      <c r="I54" t="n">
        <v>158.9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HYPERLINK("https://klasma.github.io/Logging_2021/artfynd/S 940-2024 artfynd.xlsx", "S 940-2024")</f>
        <v/>
      </c>
      <c r="X54">
        <f>HYPERLINK("https://klasma.github.io/Logging_2021/kartor/S 940-2024 karta.png", "S 940-2024")</f>
        <v/>
      </c>
      <c r="Y54">
        <f>HYPERLINK("https://klasma.github.io/Logging_2021/kartor_geotiff/S 940-2024 georefererad karta.tif", "S 940-2024")</f>
        <v/>
      </c>
      <c r="AA54">
        <f>HYPERLINK("https://klasma.github.io/Logging_2021/klagomål/S 940-2024 FSC-klagomål.docx", "S 940-2024")</f>
        <v/>
      </c>
      <c r="AB54">
        <f>HYPERLINK("https://klasma.github.io/Logging_2021/klagomålsmail/S 940-2024 FSC-klagomål mail.docx", "S 940-2024")</f>
        <v/>
      </c>
      <c r="AC54">
        <f>HYPERLINK("https://klasma.github.io/Logging_2021/tillsyn/S 940-2024 tillsynsbegäran.docx", "S 940-2024")</f>
        <v/>
      </c>
      <c r="AD54">
        <f>HYPERLINK("https://klasma.github.io/Logging_2021/tillsynsmail/S 940-2024 tillsynsbegäran mail.docx", "S 940-2024")</f>
        <v/>
      </c>
    </row>
    <row r="55" ht="15" customHeight="1">
      <c r="A55" t="inlineStr">
        <is>
          <t>A 54023-2022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44881</v>
      </c>
      <c r="E55" s="1" t="n">
        <v>46304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öst AB</t>
        </is>
      </c>
      <c r="I55" t="n">
        <v>9.1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46304</v>
      </c>
      <c r="F56" t="inlineStr">
        <is>
          <t>DALARNAS LÄN</t>
        </is>
      </c>
      <c r="G56" t="inlineStr">
        <is>
          <t>VANSBRO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46304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42055-2022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46304</v>
      </c>
      <c r="F58" t="inlineStr">
        <is>
          <t>DALARNAS LÄN</t>
        </is>
      </c>
      <c r="G58" t="inlineStr">
        <is>
          <t>VANSBRO</t>
        </is>
      </c>
      <c r="H58" t="inlineStr">
        <is>
          <t>Bergvik skog väst AB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46304</v>
      </c>
      <c r="F59" t="inlineStr">
        <is>
          <t>DALARNAS LÄN</t>
        </is>
      </c>
      <c r="G59" t="inlineStr">
        <is>
          <t>VANSBRO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21752-2022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44708</v>
      </c>
      <c r="E60" s="1" t="n">
        <v>46304</v>
      </c>
      <c r="F60" t="inlineStr">
        <is>
          <t>DALARNAS LÄN</t>
        </is>
      </c>
      <c r="G60" t="inlineStr">
        <is>
          <t>VANSBRO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17804-2022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44673</v>
      </c>
      <c r="E61" s="1" t="n">
        <v>46304</v>
      </c>
      <c r="F61" t="inlineStr">
        <is>
          <t>DALARNAS LÄN</t>
        </is>
      </c>
      <c r="G61" t="inlineStr">
        <is>
          <t>VANSBRO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26690-2022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46304</v>
      </c>
      <c r="F62" t="inlineStr">
        <is>
          <t>DALARNAS LÄN</t>
        </is>
      </c>
      <c r="G62" t="inlineStr">
        <is>
          <t>VANSBRO</t>
        </is>
      </c>
      <c r="H62" t="inlineStr">
        <is>
          <t>Kyrkan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27465-2022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44742</v>
      </c>
      <c r="E63" s="1" t="n">
        <v>46304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44790</v>
      </c>
      <c r="E64" s="1" t="n">
        <v>46304</v>
      </c>
      <c r="F64" t="inlineStr">
        <is>
          <t>DALARNAS LÄN</t>
        </is>
      </c>
      <c r="G64" t="inlineStr">
        <is>
          <t>VANSBRO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46304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44880</v>
      </c>
      <c r="E66" s="1" t="n">
        <v>46304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44672</v>
      </c>
      <c r="E67" s="1" t="n">
        <v>46304</v>
      </c>
      <c r="F67" t="inlineStr">
        <is>
          <t>DALARNAS LÄN</t>
        </is>
      </c>
      <c r="G67" t="inlineStr">
        <is>
          <t>VANSBRO</t>
        </is>
      </c>
      <c r="H67" t="inlineStr">
        <is>
          <t>Kyrkan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26571-2022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46304</v>
      </c>
      <c r="F68" t="inlineStr">
        <is>
          <t>DALARNAS LÄN</t>
        </is>
      </c>
      <c r="G68" t="inlineStr">
        <is>
          <t>VANSBRO</t>
        </is>
      </c>
      <c r="H68" t="inlineStr">
        <is>
          <t>Kommuner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33917-2022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46304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46304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46304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46304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46304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46304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46304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46304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46304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46304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46304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46304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46304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45498</v>
      </c>
      <c r="E82" s="1" t="n">
        <v>46304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46304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21973-2024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45443</v>
      </c>
      <c r="E84" s="1" t="n">
        <v>46304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55078-2022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46304</v>
      </c>
      <c r="F85" t="inlineStr">
        <is>
          <t>DALARNAS LÄN</t>
        </is>
      </c>
      <c r="G85" t="inlineStr">
        <is>
          <t>VANSBRO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45141</v>
      </c>
      <c r="E86" s="1" t="n">
        <v>46304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54423-2024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46304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23899-2023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45078</v>
      </c>
      <c r="E88" s="1" t="n">
        <v>46304</v>
      </c>
      <c r="F88" t="inlineStr">
        <is>
          <t>DALARNAS LÄN</t>
        </is>
      </c>
      <c r="G88" t="inlineStr">
        <is>
          <t>VANSBRO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11408-2025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45726</v>
      </c>
      <c r="E89" s="1" t="n">
        <v>46304</v>
      </c>
      <c r="F89" t="inlineStr">
        <is>
          <t>DALARNAS LÄN</t>
        </is>
      </c>
      <c r="G89" t="inlineStr">
        <is>
          <t>VANSBRO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45608-2023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45194</v>
      </c>
      <c r="E90" s="1" t="n">
        <v>46304</v>
      </c>
      <c r="F90" t="inlineStr">
        <is>
          <t>DALARNAS LÄN</t>
        </is>
      </c>
      <c r="G90" t="inlineStr">
        <is>
          <t>VANSBRO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4680-2023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44957</v>
      </c>
      <c r="E91" s="1" t="n">
        <v>46304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öst AB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46304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46304</v>
      </c>
      <c r="F93" t="inlineStr">
        <is>
          <t>DALARNAS LÄN</t>
        </is>
      </c>
      <c r="G93" t="inlineStr">
        <is>
          <t>VANSBRO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41371-2022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46304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öst AB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46304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46304</v>
      </c>
      <c r="F96" t="inlineStr">
        <is>
          <t>DALARNAS LÄN</t>
        </is>
      </c>
      <c r="G96" t="inlineStr">
        <is>
          <t>VANSBRO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46304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59142-2024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45637</v>
      </c>
      <c r="E98" s="1" t="n">
        <v>46304</v>
      </c>
      <c r="F98" t="inlineStr">
        <is>
          <t>DALARNAS LÄN</t>
        </is>
      </c>
      <c r="G98" t="inlineStr">
        <is>
          <t>VANSBRO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46304</v>
      </c>
      <c r="F99" t="inlineStr">
        <is>
          <t>DALARNAS LÄN</t>
        </is>
      </c>
      <c r="G99" t="inlineStr">
        <is>
          <t>VANSBRO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45689</v>
      </c>
      <c r="E100" s="1" t="n">
        <v>46304</v>
      </c>
      <c r="F100" t="inlineStr">
        <is>
          <t>DALARNAS LÄN</t>
        </is>
      </c>
      <c r="G100" t="inlineStr">
        <is>
          <t>VANSBRO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32383-2024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45512</v>
      </c>
      <c r="E101" s="1" t="n">
        <v>46304</v>
      </c>
      <c r="F101" t="inlineStr">
        <is>
          <t>DALARNAS LÄN</t>
        </is>
      </c>
      <c r="G101" t="inlineStr">
        <is>
          <t>VANSBRO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45754</v>
      </c>
      <c r="E102" s="1" t="n">
        <v>46304</v>
      </c>
      <c r="F102" t="inlineStr">
        <is>
          <t>DALARNAS LÄN</t>
        </is>
      </c>
      <c r="G102" t="inlineStr">
        <is>
          <t>VANSBRO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44679-2023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45189</v>
      </c>
      <c r="E103" s="1" t="n">
        <v>46304</v>
      </c>
      <c r="F103" t="inlineStr">
        <is>
          <t>DALARNAS LÄN</t>
        </is>
      </c>
      <c r="G103" t="inlineStr">
        <is>
          <t>VANSBRO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46304</v>
      </c>
      <c r="F104" t="inlineStr">
        <is>
          <t>DALARNAS LÄN</t>
        </is>
      </c>
      <c r="G104" t="inlineStr">
        <is>
          <t>VANSBRO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4953-2025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45689</v>
      </c>
      <c r="E105" s="1" t="n">
        <v>46304</v>
      </c>
      <c r="F105" t="inlineStr">
        <is>
          <t>DALARNAS LÄN</t>
        </is>
      </c>
      <c r="G105" t="inlineStr">
        <is>
          <t>VANSBRO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35299-2024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45530</v>
      </c>
      <c r="E106" s="1" t="n">
        <v>46304</v>
      </c>
      <c r="F106" t="inlineStr">
        <is>
          <t>DALARNAS LÄN</t>
        </is>
      </c>
      <c r="G106" t="inlineStr">
        <is>
          <t>VANSBRO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62622-2022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44925</v>
      </c>
      <c r="E107" s="1" t="n">
        <v>46304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49565-2022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44862</v>
      </c>
      <c r="E108" s="1" t="n">
        <v>46304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väst AB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45111</v>
      </c>
      <c r="E109" s="1" t="n">
        <v>46304</v>
      </c>
      <c r="F109" t="inlineStr">
        <is>
          <t>DALARNAS LÄN</t>
        </is>
      </c>
      <c r="G109" t="inlineStr">
        <is>
          <t>VANSBRO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45356-2024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45576</v>
      </c>
      <c r="E110" s="1" t="n">
        <v>46304</v>
      </c>
      <c r="F110" t="inlineStr">
        <is>
          <t>DALARNAS LÄN</t>
        </is>
      </c>
      <c r="G110" t="inlineStr">
        <is>
          <t>VANSBRO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51601-2023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45222</v>
      </c>
      <c r="E111" s="1" t="n">
        <v>46304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24827-2022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44728</v>
      </c>
      <c r="E112" s="1" t="n">
        <v>46304</v>
      </c>
      <c r="F112" t="inlineStr">
        <is>
          <t>DALARNAS LÄN</t>
        </is>
      </c>
      <c r="G112" t="inlineStr">
        <is>
          <t>VANSBRO</t>
        </is>
      </c>
      <c r="H112" t="inlineStr">
        <is>
          <t>Bergvik skog öst AB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24839-2022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44728</v>
      </c>
      <c r="E113" s="1" t="n">
        <v>46304</v>
      </c>
      <c r="F113" t="inlineStr">
        <is>
          <t>DALARNAS LÄN</t>
        </is>
      </c>
      <c r="G113" t="inlineStr">
        <is>
          <t>VANSBRO</t>
        </is>
      </c>
      <c r="H113" t="inlineStr">
        <is>
          <t>Bergvik skog öst AB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33109-2025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45840</v>
      </c>
      <c r="E114" s="1" t="n">
        <v>46304</v>
      </c>
      <c r="F114" t="inlineStr">
        <is>
          <t>DALARNAS LÄN</t>
        </is>
      </c>
      <c r="G114" t="inlineStr">
        <is>
          <t>VANSBRO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33056-2025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45840</v>
      </c>
      <c r="E115" s="1" t="n">
        <v>46304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öst AB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33036-2025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46304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öst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15088-2025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45744</v>
      </c>
      <c r="E117" s="1" t="n">
        <v>46304</v>
      </c>
      <c r="F117" t="inlineStr">
        <is>
          <t>DALARNAS LÄN</t>
        </is>
      </c>
      <c r="G117" t="inlineStr">
        <is>
          <t>VANSBRO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60036-2023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46304</v>
      </c>
      <c r="F118" t="inlineStr">
        <is>
          <t>DALARNAS LÄN</t>
        </is>
      </c>
      <c r="G118" t="inlineStr">
        <is>
          <t>VANSBRO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38670-2025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45884</v>
      </c>
      <c r="E119" s="1" t="n">
        <v>46304</v>
      </c>
      <c r="F119" t="inlineStr">
        <is>
          <t>DALARNAS LÄN</t>
        </is>
      </c>
      <c r="G119" t="inlineStr">
        <is>
          <t>VANSBRO</t>
        </is>
      </c>
      <c r="H119" t="inlineStr">
        <is>
          <t>Bergvik skog väst AB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34440-2025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45846</v>
      </c>
      <c r="E120" s="1" t="n">
        <v>46304</v>
      </c>
      <c r="F120" t="inlineStr">
        <is>
          <t>DALARNAS LÄN</t>
        </is>
      </c>
      <c r="G120" t="inlineStr">
        <is>
          <t>VANSBRO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43258-2023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45183</v>
      </c>
      <c r="E121" s="1" t="n">
        <v>46304</v>
      </c>
      <c r="F121" t="inlineStr">
        <is>
          <t>DALARNAS LÄN</t>
        </is>
      </c>
      <c r="G121" t="inlineStr">
        <is>
          <t>VANSBRO</t>
        </is>
      </c>
      <c r="H121" t="inlineStr">
        <is>
          <t>Bergvik skog öst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12475-2026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46090</v>
      </c>
      <c r="E122" s="1" t="n">
        <v>46304</v>
      </c>
      <c r="F122" t="inlineStr">
        <is>
          <t>DALARNAS LÄN</t>
        </is>
      </c>
      <c r="G122" t="inlineStr">
        <is>
          <t>VANSBRO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45764</v>
      </c>
      <c r="E123" s="1" t="n">
        <v>46304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18882-2025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45764</v>
      </c>
      <c r="E124" s="1" t="n">
        <v>46304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35284-2025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45854</v>
      </c>
      <c r="E125" s="1" t="n">
        <v>46304</v>
      </c>
      <c r="F125" t="inlineStr">
        <is>
          <t>DALARNAS LÄN</t>
        </is>
      </c>
      <c r="G125" t="inlineStr">
        <is>
          <t>VANSBRO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17366-2025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45756</v>
      </c>
      <c r="E126" s="1" t="n">
        <v>46304</v>
      </c>
      <c r="F126" t="inlineStr">
        <is>
          <t>DALARNAS LÄN</t>
        </is>
      </c>
      <c r="G126" t="inlineStr">
        <is>
          <t>VANSBRO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35782-2025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45860</v>
      </c>
      <c r="E127" s="1" t="n">
        <v>46304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öst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39173-2025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45888</v>
      </c>
      <c r="E128" s="1" t="n">
        <v>46304</v>
      </c>
      <c r="F128" t="inlineStr">
        <is>
          <t>DALARNAS LÄN</t>
        </is>
      </c>
      <c r="G128" t="inlineStr">
        <is>
          <t>VANSBRO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39177-2025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45888</v>
      </c>
      <c r="E129" s="1" t="n">
        <v>46304</v>
      </c>
      <c r="F129" t="inlineStr">
        <is>
          <t>DALARNAS LÄN</t>
        </is>
      </c>
      <c r="G129" t="inlineStr">
        <is>
          <t>VANSBRO</t>
        </is>
      </c>
      <c r="I129" t="n">
        <v>6.1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45665</v>
      </c>
      <c r="E130" s="1" t="n">
        <v>46304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39179-2025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45888</v>
      </c>
      <c r="E131" s="1" t="n">
        <v>46304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39974-2022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46304</v>
      </c>
      <c r="F132" t="inlineStr">
        <is>
          <t>DALARNAS LÄN</t>
        </is>
      </c>
      <c r="G132" t="inlineStr">
        <is>
          <t>VANSBRO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16830-2025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45754</v>
      </c>
      <c r="E133" s="1" t="n">
        <v>46304</v>
      </c>
      <c r="F133" t="inlineStr">
        <is>
          <t>DALARNAS LÄN</t>
        </is>
      </c>
      <c r="G133" t="inlineStr">
        <is>
          <t>VANSBRO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35537-2024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45531</v>
      </c>
      <c r="E134" s="1" t="n">
        <v>46304</v>
      </c>
      <c r="F134" t="inlineStr">
        <is>
          <t>DALARNAS LÄN</t>
        </is>
      </c>
      <c r="G134" t="inlineStr">
        <is>
          <t>VANSBRO</t>
        </is>
      </c>
      <c r="H134" t="inlineStr">
        <is>
          <t>Övriga statliga verk och myndigheter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61653-2024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46304</v>
      </c>
      <c r="F135" t="inlineStr">
        <is>
          <t>DALARNAS LÄN</t>
        </is>
      </c>
      <c r="G135" t="inlineStr">
        <is>
          <t>VANSBRO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45890</v>
      </c>
      <c r="E136" s="1" t="n">
        <v>46304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väst AB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39490-2025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45890</v>
      </c>
      <c r="E137" s="1" t="n">
        <v>46304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36382-2025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45868</v>
      </c>
      <c r="E138" s="1" t="n">
        <v>46304</v>
      </c>
      <c r="F138" t="inlineStr">
        <is>
          <t>DALARNAS LÄN</t>
        </is>
      </c>
      <c r="G138" t="inlineStr">
        <is>
          <t>VANSBRO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45463</v>
      </c>
      <c r="E139" s="1" t="n">
        <v>46304</v>
      </c>
      <c r="F139" t="inlineStr">
        <is>
          <t>DALARNAS LÄN</t>
        </is>
      </c>
      <c r="G139" t="inlineStr">
        <is>
          <t>VANSBRO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40884-2025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45897</v>
      </c>
      <c r="E140" s="1" t="n">
        <v>46304</v>
      </c>
      <c r="F140" t="inlineStr">
        <is>
          <t>DALARNAS LÄN</t>
        </is>
      </c>
      <c r="G140" t="inlineStr">
        <is>
          <t>VANSBRO</t>
        </is>
      </c>
      <c r="H140" t="inlineStr">
        <is>
          <t>Bergvik skog öst AB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46304</v>
      </c>
      <c r="F141" t="inlineStr">
        <is>
          <t>DALARNAS LÄN</t>
        </is>
      </c>
      <c r="G141" t="inlineStr">
        <is>
          <t>VANSBRO</t>
        </is>
      </c>
      <c r="H141" t="inlineStr">
        <is>
          <t>Övriga statliga verk och myndigheter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37285-2025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45876</v>
      </c>
      <c r="E142" s="1" t="n">
        <v>46304</v>
      </c>
      <c r="F142" t="inlineStr">
        <is>
          <t>DALARNAS LÄN</t>
        </is>
      </c>
      <c r="G142" t="inlineStr">
        <is>
          <t>VANSBRO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45876</v>
      </c>
      <c r="E143" s="1" t="n">
        <v>46304</v>
      </c>
      <c r="F143" t="inlineStr">
        <is>
          <t>DALARNAS LÄN</t>
        </is>
      </c>
      <c r="G143" t="inlineStr">
        <is>
          <t>VANSBRO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13392-2026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46304</v>
      </c>
      <c r="F144" t="inlineStr">
        <is>
          <t>DALARNAS LÄN</t>
        </is>
      </c>
      <c r="G144" t="inlineStr">
        <is>
          <t>VANSBRO</t>
        </is>
      </c>
      <c r="H144" t="inlineStr">
        <is>
          <t>Bergvik skog väst AB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13495-2026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46304</v>
      </c>
      <c r="F145" t="inlineStr">
        <is>
          <t>DALARNAS LÄN</t>
        </is>
      </c>
      <c r="G145" t="inlineStr">
        <is>
          <t>VANSBRO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45532</v>
      </c>
      <c r="E146" s="1" t="n">
        <v>46304</v>
      </c>
      <c r="F146" t="inlineStr">
        <is>
          <t>DALARNAS LÄN</t>
        </is>
      </c>
      <c r="G146" t="inlineStr">
        <is>
          <t>VANSBRO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13403-2026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46094</v>
      </c>
      <c r="E147" s="1" t="n">
        <v>46304</v>
      </c>
      <c r="F147" t="inlineStr">
        <is>
          <t>DALARNAS LÄN</t>
        </is>
      </c>
      <c r="G147" t="inlineStr">
        <is>
          <t>VANSBRO</t>
        </is>
      </c>
      <c r="H147" t="inlineStr">
        <is>
          <t>Bergvik skog väst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46304</v>
      </c>
      <c r="F148" t="inlineStr">
        <is>
          <t>DALARNAS LÄN</t>
        </is>
      </c>
      <c r="G148" t="inlineStr">
        <is>
          <t>VANSBRO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55942-2023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45240</v>
      </c>
      <c r="E149" s="1" t="n">
        <v>46304</v>
      </c>
      <c r="F149" t="inlineStr">
        <is>
          <t>DALARNAS LÄN</t>
        </is>
      </c>
      <c r="G149" t="inlineStr">
        <is>
          <t>VANSBRO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13506-2026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46304</v>
      </c>
      <c r="F150" t="inlineStr">
        <is>
          <t>DALARNAS LÄN</t>
        </is>
      </c>
      <c r="G150" t="inlineStr">
        <is>
          <t>VANSBRO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44811</v>
      </c>
      <c r="E151" s="1" t="n">
        <v>46304</v>
      </c>
      <c r="F151" t="inlineStr">
        <is>
          <t>DALARNAS LÄN</t>
        </is>
      </c>
      <c r="G151" t="inlineStr">
        <is>
          <t>VANSBRO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43139-2025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45909</v>
      </c>
      <c r="E152" s="1" t="n">
        <v>46304</v>
      </c>
      <c r="F152" t="inlineStr">
        <is>
          <t>DALARNAS LÄN</t>
        </is>
      </c>
      <c r="G152" t="inlineStr">
        <is>
          <t>VANSBRO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59435-2023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45254</v>
      </c>
      <c r="E153" s="1" t="n">
        <v>46304</v>
      </c>
      <c r="F153" t="inlineStr">
        <is>
          <t>DALARNAS LÄN</t>
        </is>
      </c>
      <c r="G153" t="inlineStr">
        <is>
          <t>VANSBRO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14112-2026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46304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väst AB</t>
        </is>
      </c>
      <c r="I154" t="n">
        <v>5.8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21418-2023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45063</v>
      </c>
      <c r="E155" s="1" t="n">
        <v>46304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5019-2025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45691</v>
      </c>
      <c r="E156" s="1" t="n">
        <v>46304</v>
      </c>
      <c r="F156" t="inlineStr">
        <is>
          <t>DALARNAS LÄN</t>
        </is>
      </c>
      <c r="G156" t="inlineStr">
        <is>
          <t>VANSBRO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53839-2022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44880</v>
      </c>
      <c r="E157" s="1" t="n">
        <v>46304</v>
      </c>
      <c r="F157" t="inlineStr">
        <is>
          <t>DALARNAS LÄN</t>
        </is>
      </c>
      <c r="G157" t="inlineStr">
        <is>
          <t>VANSBRO</t>
        </is>
      </c>
      <c r="H157" t="inlineStr">
        <is>
          <t>Bergvik skog öst AB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45182</v>
      </c>
      <c r="E158" s="1" t="n">
        <v>46304</v>
      </c>
      <c r="F158" t="inlineStr">
        <is>
          <t>DALARNAS LÄN</t>
        </is>
      </c>
      <c r="G158" t="inlineStr">
        <is>
          <t>VANSBRO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12917-2026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46092</v>
      </c>
      <c r="E159" s="1" t="n">
        <v>46304</v>
      </c>
      <c r="F159" t="inlineStr">
        <is>
          <t>DALARNAS LÄN</t>
        </is>
      </c>
      <c r="G159" t="inlineStr">
        <is>
          <t>VANSBRO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21966-2024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45443</v>
      </c>
      <c r="E160" s="1" t="n">
        <v>46304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väst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4954-2025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45689</v>
      </c>
      <c r="E161" s="1" t="n">
        <v>46304</v>
      </c>
      <c r="F161" t="inlineStr">
        <is>
          <t>DALARNAS LÄN</t>
        </is>
      </c>
      <c r="G161" t="inlineStr">
        <is>
          <t>VANSBRO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48102-2025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45933</v>
      </c>
      <c r="E162" s="1" t="n">
        <v>46304</v>
      </c>
      <c r="F162" t="inlineStr">
        <is>
          <t>DALARNAS LÄN</t>
        </is>
      </c>
      <c r="G162" t="inlineStr">
        <is>
          <t>VANSBRO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45516</v>
      </c>
      <c r="E163" s="1" t="n">
        <v>46304</v>
      </c>
      <c r="F163" t="inlineStr">
        <is>
          <t>DALARNAS LÄN</t>
        </is>
      </c>
      <c r="G163" t="inlineStr">
        <is>
          <t>VANSBRO</t>
        </is>
      </c>
      <c r="I163" t="n">
        <v>7.1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35365-2022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44798</v>
      </c>
      <c r="E164" s="1" t="n">
        <v>46304</v>
      </c>
      <c r="F164" t="inlineStr">
        <is>
          <t>DALARNAS LÄN</t>
        </is>
      </c>
      <c r="G164" t="inlineStr">
        <is>
          <t>VANSBRO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46304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46304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49921-2023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45214</v>
      </c>
      <c r="E167" s="1" t="n">
        <v>46304</v>
      </c>
      <c r="F167" t="inlineStr">
        <is>
          <t>DALARNAS LÄN</t>
        </is>
      </c>
      <c r="G167" t="inlineStr">
        <is>
          <t>VANSBRO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46304</v>
      </c>
      <c r="F168" t="inlineStr">
        <is>
          <t>DALARNAS LÄN</t>
        </is>
      </c>
      <c r="G168" t="inlineStr">
        <is>
          <t>VANSBRO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48840-2025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45937</v>
      </c>
      <c r="E169" s="1" t="n">
        <v>46304</v>
      </c>
      <c r="F169" t="inlineStr">
        <is>
          <t>DALARNAS LÄN</t>
        </is>
      </c>
      <c r="G169" t="inlineStr">
        <is>
          <t>VANSBRO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16134-2026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46108</v>
      </c>
      <c r="E170" s="1" t="n">
        <v>46304</v>
      </c>
      <c r="F170" t="inlineStr">
        <is>
          <t>DALARNAS LÄN</t>
        </is>
      </c>
      <c r="G170" t="inlineStr">
        <is>
          <t>VANSBRO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45939</v>
      </c>
      <c r="E171" s="1" t="n">
        <v>46304</v>
      </c>
      <c r="F171" t="inlineStr">
        <is>
          <t>DALARNAS LÄN</t>
        </is>
      </c>
      <c r="G171" t="inlineStr">
        <is>
          <t>VANSBRO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45939</v>
      </c>
      <c r="E172" s="1" t="n">
        <v>46304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öst AB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49679-2025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45939</v>
      </c>
      <c r="E173" s="1" t="n">
        <v>46304</v>
      </c>
      <c r="F173" t="inlineStr">
        <is>
          <t>DALARNAS LÄN</t>
        </is>
      </c>
      <c r="G173" t="inlineStr">
        <is>
          <t>VANSBRO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49673-2025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45939</v>
      </c>
      <c r="E174" s="1" t="n">
        <v>46304</v>
      </c>
      <c r="F174" t="inlineStr">
        <is>
          <t>DALARNAS LÄN</t>
        </is>
      </c>
      <c r="G174" t="inlineStr">
        <is>
          <t>VANSBRO</t>
        </is>
      </c>
      <c r="I174" t="n">
        <v>2.8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54159-2022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46304</v>
      </c>
      <c r="F175" t="inlineStr">
        <is>
          <t>DALARNAS LÄN</t>
        </is>
      </c>
      <c r="G175" t="inlineStr">
        <is>
          <t>VANSBRO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16669-2026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46112</v>
      </c>
      <c r="E176" s="1" t="n">
        <v>46304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50622-2025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45945</v>
      </c>
      <c r="E177" s="1" t="n">
        <v>46304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väst AB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50258-2024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45600</v>
      </c>
      <c r="E178" s="1" t="n">
        <v>46304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öst AB</t>
        </is>
      </c>
      <c r="I178" t="n">
        <v>45.8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33837-2024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45520</v>
      </c>
      <c r="E179" s="1" t="n">
        <v>46304</v>
      </c>
      <c r="F179" t="inlineStr">
        <is>
          <t>DALARNAS LÄN</t>
        </is>
      </c>
      <c r="G179" t="inlineStr">
        <is>
          <t>VANSBRO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16952-2026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46114</v>
      </c>
      <c r="E180" s="1" t="n">
        <v>46304</v>
      </c>
      <c r="F180" t="inlineStr">
        <is>
          <t>DALARNAS LÄN</t>
        </is>
      </c>
      <c r="G180" t="inlineStr">
        <is>
          <t>VANSBRO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35943-2024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45533</v>
      </c>
      <c r="E181" s="1" t="n">
        <v>46304</v>
      </c>
      <c r="F181" t="inlineStr">
        <is>
          <t>DALARNAS LÄN</t>
        </is>
      </c>
      <c r="G181" t="inlineStr">
        <is>
          <t>VANSBRO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50687-2025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45945</v>
      </c>
      <c r="E182" s="1" t="n">
        <v>46304</v>
      </c>
      <c r="F182" t="inlineStr">
        <is>
          <t>DALARNAS LÄN</t>
        </is>
      </c>
      <c r="G182" t="inlineStr">
        <is>
          <t>VANSBRO</t>
        </is>
      </c>
      <c r="I182" t="n">
        <v>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51414-2025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45950</v>
      </c>
      <c r="E183" s="1" t="n">
        <v>46304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väst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921-2025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45665</v>
      </c>
      <c r="E184" s="1" t="n">
        <v>46304</v>
      </c>
      <c r="F184" t="inlineStr">
        <is>
          <t>DALARNAS LÄN</t>
        </is>
      </c>
      <c r="G184" t="inlineStr">
        <is>
          <t>VANSBRO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51855-2025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46304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16948-2026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46113</v>
      </c>
      <c r="E186" s="1" t="n">
        <v>46304</v>
      </c>
      <c r="F186" t="inlineStr">
        <is>
          <t>DALARNAS LÄN</t>
        </is>
      </c>
      <c r="G186" t="inlineStr">
        <is>
          <t>VANSBRO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17321-2026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46119</v>
      </c>
      <c r="E187" s="1" t="n">
        <v>46304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9296-2023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46304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52676-2025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45956</v>
      </c>
      <c r="E189" s="1" t="n">
        <v>46304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46304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23432-2024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45453</v>
      </c>
      <c r="E191" s="1" t="n">
        <v>46304</v>
      </c>
      <c r="F191" t="inlineStr">
        <is>
          <t>DALARNAS LÄN</t>
        </is>
      </c>
      <c r="G191" t="inlineStr">
        <is>
          <t>VANSBRO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52442-2025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45954</v>
      </c>
      <c r="E192" s="1" t="n">
        <v>46304</v>
      </c>
      <c r="F192" t="inlineStr">
        <is>
          <t>DALARNAS LÄN</t>
        </is>
      </c>
      <c r="G192" t="inlineStr">
        <is>
          <t>VANSBRO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17604-2026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46121</v>
      </c>
      <c r="E193" s="1" t="n">
        <v>46304</v>
      </c>
      <c r="F193" t="inlineStr">
        <is>
          <t>DALARNAS LÄN</t>
        </is>
      </c>
      <c r="G193" t="inlineStr">
        <is>
          <t>VANSBRO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46304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17551-2026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46120</v>
      </c>
      <c r="E195" s="1" t="n">
        <v>46304</v>
      </c>
      <c r="F195" t="inlineStr">
        <is>
          <t>DALARNAS LÄN</t>
        </is>
      </c>
      <c r="G195" t="inlineStr">
        <is>
          <t>VANSBRO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17613-2026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46304</v>
      </c>
      <c r="F196" t="inlineStr">
        <is>
          <t>DALARNAS LÄN</t>
        </is>
      </c>
      <c r="G196" t="inlineStr">
        <is>
          <t>VANSBRO</t>
        </is>
      </c>
      <c r="I196" t="n">
        <v>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17552-2026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46120</v>
      </c>
      <c r="E197" s="1" t="n">
        <v>46304</v>
      </c>
      <c r="F197" t="inlineStr">
        <is>
          <t>DALARNAS LÄN</t>
        </is>
      </c>
      <c r="G197" t="inlineStr">
        <is>
          <t>VANSBRO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17609-2026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46121</v>
      </c>
      <c r="E198" s="1" t="n">
        <v>46304</v>
      </c>
      <c r="F198" t="inlineStr">
        <is>
          <t>DALARNAS LÄN</t>
        </is>
      </c>
      <c r="G198" t="inlineStr">
        <is>
          <t>VANSBRO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53989-2025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45961</v>
      </c>
      <c r="E199" s="1" t="n">
        <v>46304</v>
      </c>
      <c r="F199" t="inlineStr">
        <is>
          <t>DALARNAS LÄN</t>
        </is>
      </c>
      <c r="G199" t="inlineStr">
        <is>
          <t>VANSBRO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17553-2026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46120</v>
      </c>
      <c r="E200" s="1" t="n">
        <v>46304</v>
      </c>
      <c r="F200" t="inlineStr">
        <is>
          <t>DALARNAS LÄN</t>
        </is>
      </c>
      <c r="G200" t="inlineStr">
        <is>
          <t>VANSBRO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54100-2025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46304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öst AB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54342-2025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46304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54579-2025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46304</v>
      </c>
      <c r="F203" t="inlineStr">
        <is>
          <t>DALARNAS LÄN</t>
        </is>
      </c>
      <c r="G203" t="inlineStr">
        <is>
          <t>VANSBRO</t>
        </is>
      </c>
      <c r="H203" t="inlineStr">
        <is>
          <t>Bergvik skog väst AB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46304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46124</v>
      </c>
      <c r="E205" s="1" t="n">
        <v>46304</v>
      </c>
      <c r="F205" t="inlineStr">
        <is>
          <t>DALARNAS LÄN</t>
        </is>
      </c>
      <c r="G205" t="inlineStr">
        <is>
          <t>VANSBRO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45238</v>
      </c>
      <c r="E206" s="1" t="n">
        <v>46304</v>
      </c>
      <c r="F206" t="inlineStr">
        <is>
          <t>DALARNAS LÄN</t>
        </is>
      </c>
      <c r="G206" t="inlineStr">
        <is>
          <t>VANSBRO</t>
        </is>
      </c>
      <c r="H206" t="inlineStr">
        <is>
          <t>Övriga statliga verk och myndigheter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54736-2025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46304</v>
      </c>
      <c r="F207" t="inlineStr">
        <is>
          <t>DALARNAS LÄN</t>
        </is>
      </c>
      <c r="G207" t="inlineStr">
        <is>
          <t>VANSBRO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7142-2023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46304</v>
      </c>
      <c r="F208" t="inlineStr">
        <is>
          <t>DALARNAS LÄN</t>
        </is>
      </c>
      <c r="G208" t="inlineStr">
        <is>
          <t>VANSBRO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46125</v>
      </c>
      <c r="E209" s="1" t="n">
        <v>46304</v>
      </c>
      <c r="F209" t="inlineStr">
        <is>
          <t>DALARNAS LÄN</t>
        </is>
      </c>
      <c r="G209" t="inlineStr">
        <is>
          <t>VANSBRO</t>
        </is>
      </c>
      <c r="I209" t="n">
        <v>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20189-2025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46304</v>
      </c>
      <c r="F210" t="inlineStr">
        <is>
          <t>DALARNAS LÄN</t>
        </is>
      </c>
      <c r="G210" t="inlineStr">
        <is>
          <t>VANSBRO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18717-2026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46128</v>
      </c>
      <c r="E211" s="1" t="n">
        <v>46304</v>
      </c>
      <c r="F211" t="inlineStr">
        <is>
          <t>DALARNAS LÄN</t>
        </is>
      </c>
      <c r="G211" t="inlineStr">
        <is>
          <t>VANSBRO</t>
        </is>
      </c>
      <c r="H211" t="inlineStr">
        <is>
          <t>Bergvik skog öst AB</t>
        </is>
      </c>
      <c r="I211" t="n">
        <v>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56043-2025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45973</v>
      </c>
      <c r="E212" s="1" t="n">
        <v>46304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55767-2025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45972</v>
      </c>
      <c r="E213" s="1" t="n">
        <v>46304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46128</v>
      </c>
      <c r="E214" s="1" t="n">
        <v>46304</v>
      </c>
      <c r="F214" t="inlineStr">
        <is>
          <t>DALARNAS LÄN</t>
        </is>
      </c>
      <c r="G214" t="inlineStr">
        <is>
          <t>VANSBRO</t>
        </is>
      </c>
      <c r="I214" t="n">
        <v>6.4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18580-2026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46304</v>
      </c>
      <c r="F215" t="inlineStr">
        <is>
          <t>DALARNAS LÄN</t>
        </is>
      </c>
      <c r="G215" t="inlineStr">
        <is>
          <t>VANSBRO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18586-2026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46304</v>
      </c>
      <c r="F216" t="inlineStr">
        <is>
          <t>DALARNAS LÄN</t>
        </is>
      </c>
      <c r="G216" t="inlineStr">
        <is>
          <t>VANSBRO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61663-2024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45646</v>
      </c>
      <c r="E217" s="1" t="n">
        <v>46304</v>
      </c>
      <c r="F217" t="inlineStr">
        <is>
          <t>DALARNAS LÄN</t>
        </is>
      </c>
      <c r="G217" t="inlineStr">
        <is>
          <t>VANSBRO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56280-2025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45974</v>
      </c>
      <c r="E218" s="1" t="n">
        <v>46304</v>
      </c>
      <c r="F218" t="inlineStr">
        <is>
          <t>DALARNAS LÄN</t>
        </is>
      </c>
      <c r="G218" t="inlineStr">
        <is>
          <t>VANSBRO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18588-2026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46127</v>
      </c>
      <c r="E219" s="1" t="n">
        <v>46304</v>
      </c>
      <c r="F219" t="inlineStr">
        <is>
          <t>DALARNAS LÄN</t>
        </is>
      </c>
      <c r="G219" t="inlineStr">
        <is>
          <t>VANSBRO</t>
        </is>
      </c>
      <c r="H219" t="inlineStr">
        <is>
          <t>Bergvik skog väst AB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18823-2026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46128</v>
      </c>
      <c r="E220" s="1" t="n">
        <v>46304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13.1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8694-2023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44972</v>
      </c>
      <c r="E221" s="1" t="n">
        <v>46304</v>
      </c>
      <c r="F221" t="inlineStr">
        <is>
          <t>DALARNAS LÄN</t>
        </is>
      </c>
      <c r="G221" t="inlineStr">
        <is>
          <t>VANSBRO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18577-2026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46304</v>
      </c>
      <c r="F222" t="inlineStr">
        <is>
          <t>DALARNAS LÄN</t>
        </is>
      </c>
      <c r="G222" t="inlineStr">
        <is>
          <t>VANSBRO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57255-2025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46304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57716-2025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46304</v>
      </c>
      <c r="F224" t="inlineStr">
        <is>
          <t>DALARNAS LÄN</t>
        </is>
      </c>
      <c r="G224" t="inlineStr">
        <is>
          <t>VANSBRO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20185-2025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45772</v>
      </c>
      <c r="E225" s="1" t="n">
        <v>46304</v>
      </c>
      <c r="F225" t="inlineStr">
        <is>
          <t>DALARNAS LÄN</t>
        </is>
      </c>
      <c r="G225" t="inlineStr">
        <is>
          <t>VANSBRO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33829-2024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45520</v>
      </c>
      <c r="E226" s="1" t="n">
        <v>46304</v>
      </c>
      <c r="F226" t="inlineStr">
        <is>
          <t>DALARNAS LÄN</t>
        </is>
      </c>
      <c r="G226" t="inlineStr">
        <is>
          <t>VANSBRO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50533-2024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45601</v>
      </c>
      <c r="E227" s="1" t="n">
        <v>46304</v>
      </c>
      <c r="F227" t="inlineStr">
        <is>
          <t>DALARNAS LÄN</t>
        </is>
      </c>
      <c r="G227" t="inlineStr">
        <is>
          <t>VANSBRO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58733-2025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45986</v>
      </c>
      <c r="E228" s="1" t="n">
        <v>46304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58874-2025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45987</v>
      </c>
      <c r="E229" s="1" t="n">
        <v>46304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väst AB</t>
        </is>
      </c>
      <c r="I229" t="n">
        <v>6.9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19809-2026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46135</v>
      </c>
      <c r="E230" s="1" t="n">
        <v>46304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9298-2023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44980</v>
      </c>
      <c r="E231" s="1" t="n">
        <v>46304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45817</v>
      </c>
      <c r="E232" s="1" t="n">
        <v>46304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väst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8447-2022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44612</v>
      </c>
      <c r="E233" s="1" t="n">
        <v>46304</v>
      </c>
      <c r="F233" t="inlineStr">
        <is>
          <t>DALARNAS LÄN</t>
        </is>
      </c>
      <c r="G233" t="inlineStr">
        <is>
          <t>VANSBRO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45691</v>
      </c>
      <c r="E234" s="1" t="n">
        <v>46304</v>
      </c>
      <c r="F234" t="inlineStr">
        <is>
          <t>DALARNAS LÄN</t>
        </is>
      </c>
      <c r="G234" t="inlineStr">
        <is>
          <t>VANSBRO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46304</v>
      </c>
      <c r="F235" t="inlineStr">
        <is>
          <t>DALARNAS LÄN</t>
        </is>
      </c>
      <c r="G235" t="inlineStr">
        <is>
          <t>VANSBRO</t>
        </is>
      </c>
      <c r="I235" t="n">
        <v>9.1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20208-2026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46304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öst AB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49819-2025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45940</v>
      </c>
      <c r="E237" s="1" t="n">
        <v>46304</v>
      </c>
      <c r="F237" t="inlineStr">
        <is>
          <t>DALARNAS LÄN</t>
        </is>
      </c>
      <c r="G237" t="inlineStr">
        <is>
          <t>VANSBRO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3843-2024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45322</v>
      </c>
      <c r="E238" s="1" t="n">
        <v>46304</v>
      </c>
      <c r="F238" t="inlineStr">
        <is>
          <t>DALARNAS LÄN</t>
        </is>
      </c>
      <c r="G238" t="inlineStr">
        <is>
          <t>VANSBRO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49509-2024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45596</v>
      </c>
      <c r="E239" s="1" t="n">
        <v>46304</v>
      </c>
      <c r="F239" t="inlineStr">
        <is>
          <t>DALARNAS LÄN</t>
        </is>
      </c>
      <c r="G239" t="inlineStr">
        <is>
          <t>VANSBRO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45309</v>
      </c>
      <c r="E240" s="1" t="n">
        <v>46304</v>
      </c>
      <c r="F240" t="inlineStr">
        <is>
          <t>DALARNAS LÄN</t>
        </is>
      </c>
      <c r="G240" t="inlineStr">
        <is>
          <t>VANSBRO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21117-2024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45440</v>
      </c>
      <c r="E241" s="1" t="n">
        <v>46304</v>
      </c>
      <c r="F241" t="inlineStr">
        <is>
          <t>DALARNAS LÄN</t>
        </is>
      </c>
      <c r="G241" t="inlineStr">
        <is>
          <t>VANSBRO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61598-2025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46002</v>
      </c>
      <c r="E242" s="1" t="n">
        <v>46304</v>
      </c>
      <c r="F242" t="inlineStr">
        <is>
          <t>DALARNAS LÄN</t>
        </is>
      </c>
      <c r="G242" t="inlineStr">
        <is>
          <t>VANSBRO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27000-2025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46304</v>
      </c>
      <c r="F243" t="inlineStr">
        <is>
          <t>DALARNAS LÄN</t>
        </is>
      </c>
      <c r="G243" t="inlineStr">
        <is>
          <t>VANSBRO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46304</v>
      </c>
      <c r="F244" t="inlineStr">
        <is>
          <t>DALARNAS LÄN</t>
        </is>
      </c>
      <c r="G244" t="inlineStr">
        <is>
          <t>VANSBRO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45776</v>
      </c>
      <c r="E245" s="1" t="n">
        <v>46304</v>
      </c>
      <c r="F245" t="inlineStr">
        <is>
          <t>DALARNAS LÄN</t>
        </is>
      </c>
      <c r="G245" t="inlineStr">
        <is>
          <t>VANSBRO</t>
        </is>
      </c>
      <c r="H245" t="inlineStr">
        <is>
          <t>Bergvik skog väst AB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40383-2023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45169</v>
      </c>
      <c r="E246" s="1" t="n">
        <v>46304</v>
      </c>
      <c r="F246" t="inlineStr">
        <is>
          <t>DALARNAS LÄN</t>
        </is>
      </c>
      <c r="G246" t="inlineStr">
        <is>
          <t>VANSBRO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27089-2024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45471</v>
      </c>
      <c r="E247" s="1" t="n">
        <v>46304</v>
      </c>
      <c r="F247" t="inlineStr">
        <is>
          <t>DALARNAS LÄN</t>
        </is>
      </c>
      <c r="G247" t="inlineStr">
        <is>
          <t>VANSBRO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45806</v>
      </c>
      <c r="E248" s="1" t="n">
        <v>46304</v>
      </c>
      <c r="F248" t="inlineStr">
        <is>
          <t>DALARNAS LÄN</t>
        </is>
      </c>
      <c r="G248" t="inlineStr">
        <is>
          <t>VANSBRO</t>
        </is>
      </c>
      <c r="H248" t="inlineStr">
        <is>
          <t>Bergvik skog väst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63816-2021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44509</v>
      </c>
      <c r="E249" s="1" t="n">
        <v>46304</v>
      </c>
      <c r="F249" t="inlineStr">
        <is>
          <t>DALARNAS LÄN</t>
        </is>
      </c>
      <c r="G249" t="inlineStr">
        <is>
          <t>VANSBRO</t>
        </is>
      </c>
      <c r="H249" t="inlineStr">
        <is>
          <t>Bergvik skog väst AB</t>
        </is>
      </c>
      <c r="I249" t="n">
        <v>17.6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8793-2025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46304</v>
      </c>
      <c r="F250" t="inlineStr">
        <is>
          <t>DALARNAS LÄN</t>
        </is>
      </c>
      <c r="G250" t="inlineStr">
        <is>
          <t>VANSBRO</t>
        </is>
      </c>
      <c r="I250" t="n">
        <v>13.8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51400-2024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45604</v>
      </c>
      <c r="E251" s="1" t="n">
        <v>46304</v>
      </c>
      <c r="F251" t="inlineStr">
        <is>
          <t>DALARNAS LÄN</t>
        </is>
      </c>
      <c r="G251" t="inlineStr">
        <is>
          <t>VANSBRO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5648-2026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46304</v>
      </c>
      <c r="F252" t="inlineStr">
        <is>
          <t>DALARNAS LÄN</t>
        </is>
      </c>
      <c r="G252" t="inlineStr">
        <is>
          <t>VANSBRO</t>
        </is>
      </c>
      <c r="I252" t="n">
        <v>13.9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6632-2023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44966</v>
      </c>
      <c r="E253" s="1" t="n">
        <v>46304</v>
      </c>
      <c r="F253" t="inlineStr">
        <is>
          <t>DALARNAS LÄN</t>
        </is>
      </c>
      <c r="G253" t="inlineStr">
        <is>
          <t>VANSBRO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45714</v>
      </c>
      <c r="E254" s="1" t="n">
        <v>46304</v>
      </c>
      <c r="F254" t="inlineStr">
        <is>
          <t>DALARNAS LÄN</t>
        </is>
      </c>
      <c r="G254" t="inlineStr">
        <is>
          <t>VANSBRO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28924-2024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45481</v>
      </c>
      <c r="E255" s="1" t="n">
        <v>46304</v>
      </c>
      <c r="F255" t="inlineStr">
        <is>
          <t>DALARNAS LÄN</t>
        </is>
      </c>
      <c r="G255" t="inlineStr">
        <is>
          <t>VANSBRO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1155-2026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46031</v>
      </c>
      <c r="E256" s="1" t="n">
        <v>46304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1472-2026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46033</v>
      </c>
      <c r="E257" s="1" t="n">
        <v>46304</v>
      </c>
      <c r="F257" t="inlineStr">
        <is>
          <t>DALARNAS LÄN</t>
        </is>
      </c>
      <c r="G257" t="inlineStr">
        <is>
          <t>VANSBRO</t>
        </is>
      </c>
      <c r="I257" t="n">
        <v>9.9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2419-2026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46034</v>
      </c>
      <c r="E258" s="1" t="n">
        <v>46304</v>
      </c>
      <c r="F258" t="inlineStr">
        <is>
          <t>DALARNAS LÄN</t>
        </is>
      </c>
      <c r="G258" t="inlineStr">
        <is>
          <t>VANSBRO</t>
        </is>
      </c>
      <c r="I258" t="n">
        <v>6.9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24384-2024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45457</v>
      </c>
      <c r="E259" s="1" t="n">
        <v>46304</v>
      </c>
      <c r="F259" t="inlineStr">
        <is>
          <t>DALARNAS LÄN</t>
        </is>
      </c>
      <c r="G259" t="inlineStr">
        <is>
          <t>VANSBRO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2196-2026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46036</v>
      </c>
      <c r="E260" s="1" t="n">
        <v>46304</v>
      </c>
      <c r="F260" t="inlineStr">
        <is>
          <t>DALARNAS LÄN</t>
        </is>
      </c>
      <c r="G260" t="inlineStr">
        <is>
          <t>VANSBRO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13062-2023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45002</v>
      </c>
      <c r="E261" s="1" t="n">
        <v>46304</v>
      </c>
      <c r="F261" t="inlineStr">
        <is>
          <t>DALARNAS LÄN</t>
        </is>
      </c>
      <c r="G261" t="inlineStr">
        <is>
          <t>VANSBRO</t>
        </is>
      </c>
      <c r="H261" t="inlineStr">
        <is>
          <t>Övriga statliga verk och myndigheter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46037</v>
      </c>
      <c r="E262" s="1" t="n">
        <v>46304</v>
      </c>
      <c r="F262" t="inlineStr">
        <is>
          <t>DALARNAS LÄN</t>
        </is>
      </c>
      <c r="G262" t="inlineStr">
        <is>
          <t>VANSBRO</t>
        </is>
      </c>
      <c r="I262" t="n">
        <v>6.5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3422-2026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46042</v>
      </c>
      <c r="E263" s="1" t="n">
        <v>46304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45614</v>
      </c>
      <c r="E264" s="1" t="n">
        <v>46304</v>
      </c>
      <c r="F264" t="inlineStr">
        <is>
          <t>DALARNAS LÄN</t>
        </is>
      </c>
      <c r="G264" t="inlineStr">
        <is>
          <t>VANSBRO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4027-2026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46304</v>
      </c>
      <c r="F265" t="inlineStr">
        <is>
          <t>DALARNAS LÄN</t>
        </is>
      </c>
      <c r="G265" t="inlineStr">
        <is>
          <t>VANSBRO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4998-2026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46304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väst AB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4937-2026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46304</v>
      </c>
      <c r="F267" t="inlineStr">
        <is>
          <t>DALARNAS LÄN</t>
        </is>
      </c>
      <c r="G267" t="inlineStr">
        <is>
          <t>VANSBRO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4970-2026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46049</v>
      </c>
      <c r="E268" s="1" t="n">
        <v>46304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43139-2023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45183</v>
      </c>
      <c r="E269" s="1" t="n">
        <v>46304</v>
      </c>
      <c r="F269" t="inlineStr">
        <is>
          <t>DALARNAS LÄN</t>
        </is>
      </c>
      <c r="G269" t="inlineStr">
        <is>
          <t>VANSBRO</t>
        </is>
      </c>
      <c r="I269" t="n">
        <v>6.4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46304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5335-2026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46050</v>
      </c>
      <c r="E271" s="1" t="n">
        <v>46304</v>
      </c>
      <c r="F271" t="inlineStr">
        <is>
          <t>DALARNAS LÄN</t>
        </is>
      </c>
      <c r="G271" t="inlineStr">
        <is>
          <t>VANSBRO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29492-2023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45106</v>
      </c>
      <c r="E272" s="1" t="n">
        <v>46304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46052</v>
      </c>
      <c r="E273" s="1" t="n">
        <v>46304</v>
      </c>
      <c r="F273" t="inlineStr">
        <is>
          <t>DALARNAS LÄN</t>
        </is>
      </c>
      <c r="G273" t="inlineStr">
        <is>
          <t>VANSBRO</t>
        </is>
      </c>
      <c r="I273" t="n">
        <v>8.5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62398-2021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44503</v>
      </c>
      <c r="E274" s="1" t="n">
        <v>46304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10013-2024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45363</v>
      </c>
      <c r="E275" s="1" t="n">
        <v>46304</v>
      </c>
      <c r="F275" t="inlineStr">
        <is>
          <t>DALARNAS LÄN</t>
        </is>
      </c>
      <c r="G275" t="inlineStr">
        <is>
          <t>VANSBRO</t>
        </is>
      </c>
      <c r="I275" t="n">
        <v>6.6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7014-2026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46304</v>
      </c>
      <c r="F276" t="inlineStr">
        <is>
          <t>DALARNAS LÄN</t>
        </is>
      </c>
      <c r="G276" t="inlineStr">
        <is>
          <t>VANSBRO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7259-2026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46058</v>
      </c>
      <c r="E277" s="1" t="n">
        <v>46304</v>
      </c>
      <c r="F277" t="inlineStr">
        <is>
          <t>DALARNAS LÄN</t>
        </is>
      </c>
      <c r="G277" t="inlineStr">
        <is>
          <t>VANSBRO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46466-2024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46304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2938-2024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45315</v>
      </c>
      <c r="E279" s="1" t="n">
        <v>46304</v>
      </c>
      <c r="F279" t="inlineStr">
        <is>
          <t>DALARNAS LÄN</t>
        </is>
      </c>
      <c r="G279" t="inlineStr">
        <is>
          <t>VANSBRO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7236-2026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46058</v>
      </c>
      <c r="E280" s="1" t="n">
        <v>46304</v>
      </c>
      <c r="F280" t="inlineStr">
        <is>
          <t>DALARNAS LÄN</t>
        </is>
      </c>
      <c r="G280" t="inlineStr">
        <is>
          <t>VANSBRO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28011-2025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45817</v>
      </c>
      <c r="E281" s="1" t="n">
        <v>46304</v>
      </c>
      <c r="F281" t="inlineStr">
        <is>
          <t>DALARNAS LÄN</t>
        </is>
      </c>
      <c r="G281" t="inlineStr">
        <is>
          <t>VANSBRO</t>
        </is>
      </c>
      <c r="I281" t="n">
        <v>15.8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48111-2024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45589</v>
      </c>
      <c r="E282" s="1" t="n">
        <v>46304</v>
      </c>
      <c r="F282" t="inlineStr">
        <is>
          <t>DALARNAS LÄN</t>
        </is>
      </c>
      <c r="G282" t="inlineStr">
        <is>
          <t>VANSBRO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46062</v>
      </c>
      <c r="E283" s="1" t="n">
        <v>46304</v>
      </c>
      <c r="F283" t="inlineStr">
        <is>
          <t>DALARNAS LÄN</t>
        </is>
      </c>
      <c r="G283" t="inlineStr">
        <is>
          <t>VANSBRO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3258-2026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46041</v>
      </c>
      <c r="E284" s="1" t="n">
        <v>46304</v>
      </c>
      <c r="F284" t="inlineStr">
        <is>
          <t>DALARNAS LÄN</t>
        </is>
      </c>
      <c r="G284" t="inlineStr">
        <is>
          <t>VANSBRO</t>
        </is>
      </c>
      <c r="I284" t="n">
        <v>15.1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44960</v>
      </c>
      <c r="E285" s="1" t="n">
        <v>46304</v>
      </c>
      <c r="F285" t="inlineStr">
        <is>
          <t>DALARNAS LÄN</t>
        </is>
      </c>
      <c r="G285" t="inlineStr">
        <is>
          <t>VANSBRO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46141</v>
      </c>
      <c r="E286" s="1" t="n">
        <v>46304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6.7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1140-2025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45666</v>
      </c>
      <c r="E287" s="1" t="n">
        <v>46304</v>
      </c>
      <c r="F287" t="inlineStr">
        <is>
          <t>DALARNAS LÄN</t>
        </is>
      </c>
      <c r="G287" t="inlineStr">
        <is>
          <t>VANSBRO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64072-2025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46021</v>
      </c>
      <c r="E288" s="1" t="n">
        <v>46304</v>
      </c>
      <c r="F288" t="inlineStr">
        <is>
          <t>DALARNAS LÄN</t>
        </is>
      </c>
      <c r="G288" t="inlineStr">
        <is>
          <t>VANSBRO</t>
        </is>
      </c>
      <c r="I288" t="n">
        <v>19.1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45240</v>
      </c>
      <c r="E289" s="1" t="n">
        <v>46304</v>
      </c>
      <c r="F289" t="inlineStr">
        <is>
          <t>DALARNAS LÄN</t>
        </is>
      </c>
      <c r="G289" t="inlineStr">
        <is>
          <t>VANSBRO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59856-2024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45639</v>
      </c>
      <c r="E290" s="1" t="n">
        <v>46304</v>
      </c>
      <c r="F290" t="inlineStr">
        <is>
          <t>DALARNAS LÄN</t>
        </is>
      </c>
      <c r="G290" t="inlineStr">
        <is>
          <t>VANSBRO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45673</v>
      </c>
      <c r="E291" s="1" t="n">
        <v>46304</v>
      </c>
      <c r="F291" t="inlineStr">
        <is>
          <t>DALARNAS LÄN</t>
        </is>
      </c>
      <c r="G291" t="inlineStr">
        <is>
          <t>VANSBRO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25916-2022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44734</v>
      </c>
      <c r="E292" s="1" t="n">
        <v>46304</v>
      </c>
      <c r="F292" t="inlineStr">
        <is>
          <t>DALARNAS LÄN</t>
        </is>
      </c>
      <c r="G292" t="inlineStr">
        <is>
          <t>VANSBRO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9417-2026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46071</v>
      </c>
      <c r="E293" s="1" t="n">
        <v>46304</v>
      </c>
      <c r="F293" t="inlineStr">
        <is>
          <t>DALARNAS LÄN</t>
        </is>
      </c>
      <c r="G293" t="inlineStr">
        <is>
          <t>VANSBRO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47824-2023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45204</v>
      </c>
      <c r="E294" s="1" t="n">
        <v>46304</v>
      </c>
      <c r="F294" t="inlineStr">
        <is>
          <t>DALARNAS LÄN</t>
        </is>
      </c>
      <c r="G294" t="inlineStr">
        <is>
          <t>VANSBRO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64071-2025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46021</v>
      </c>
      <c r="E295" s="1" t="n">
        <v>46304</v>
      </c>
      <c r="F295" t="inlineStr">
        <is>
          <t>DALARNAS LÄN</t>
        </is>
      </c>
      <c r="G295" t="inlineStr">
        <is>
          <t>VANSBRO</t>
        </is>
      </c>
      <c r="I295" t="n">
        <v>4.2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46304</v>
      </c>
      <c r="F296" t="inlineStr">
        <is>
          <t>DALARNAS LÄN</t>
        </is>
      </c>
      <c r="G296" t="inlineStr">
        <is>
          <t>VANSBRO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11603-2026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46084</v>
      </c>
      <c r="E297" s="1" t="n">
        <v>46304</v>
      </c>
      <c r="F297" t="inlineStr">
        <is>
          <t>DALARNAS LÄN</t>
        </is>
      </c>
      <c r="G297" t="inlineStr">
        <is>
          <t>VANSBRO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46082</v>
      </c>
      <c r="E298" s="1" t="n">
        <v>46304</v>
      </c>
      <c r="F298" t="inlineStr">
        <is>
          <t>DALARNAS LÄN</t>
        </is>
      </c>
      <c r="G298" t="inlineStr">
        <is>
          <t>VANSBRO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11007-2026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46079</v>
      </c>
      <c r="E299" s="1" t="n">
        <v>46304</v>
      </c>
      <c r="F299" t="inlineStr">
        <is>
          <t>DALARNAS LÄN</t>
        </is>
      </c>
      <c r="G299" t="inlineStr">
        <is>
          <t>VANSBRO</t>
        </is>
      </c>
      <c r="H299" t="inlineStr">
        <is>
          <t>Övriga statliga verk och myndigheter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11350-2026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46082</v>
      </c>
      <c r="E300" s="1" t="n">
        <v>46304</v>
      </c>
      <c r="F300" t="inlineStr">
        <is>
          <t>DALARNAS LÄN</t>
        </is>
      </c>
      <c r="G300" t="inlineStr">
        <is>
          <t>VANSBRO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21744-2026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46149</v>
      </c>
      <c r="E301" s="1" t="n">
        <v>46304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öst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7864-2024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45350</v>
      </c>
      <c r="E302" s="1" t="n">
        <v>46304</v>
      </c>
      <c r="F302" t="inlineStr">
        <is>
          <t>DALARNAS LÄN</t>
        </is>
      </c>
      <c r="G302" t="inlineStr">
        <is>
          <t>VANSBRO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72635-2021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44546</v>
      </c>
      <c r="E303" s="1" t="n">
        <v>46304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35699-2023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45147</v>
      </c>
      <c r="E304" s="1" t="n">
        <v>46304</v>
      </c>
      <c r="F304" t="inlineStr">
        <is>
          <t>DALARNAS LÄN</t>
        </is>
      </c>
      <c r="G304" t="inlineStr">
        <is>
          <t>VANSBRO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22384-2026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46154</v>
      </c>
      <c r="E305" s="1" t="n">
        <v>46304</v>
      </c>
      <c r="F305" t="inlineStr">
        <is>
          <t>DALARNAS LÄN</t>
        </is>
      </c>
      <c r="G305" t="inlineStr">
        <is>
          <t>VANSBRO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43658-2023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45187</v>
      </c>
      <c r="E306" s="1" t="n">
        <v>46304</v>
      </c>
      <c r="F306" t="inlineStr">
        <is>
          <t>DALARNAS LÄN</t>
        </is>
      </c>
      <c r="G306" t="inlineStr">
        <is>
          <t>VANSBRO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22379-2026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46154</v>
      </c>
      <c r="E307" s="1" t="n">
        <v>46304</v>
      </c>
      <c r="F307" t="inlineStr">
        <is>
          <t>DALARNAS LÄN</t>
        </is>
      </c>
      <c r="G307" t="inlineStr">
        <is>
          <t>VANSBRO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45890</v>
      </c>
      <c r="E308" s="1" t="n">
        <v>46304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23059-2026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46161</v>
      </c>
      <c r="E309" s="1" t="n">
        <v>46304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öst AB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39336-2023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46304</v>
      </c>
      <c r="F310" t="inlineStr">
        <is>
          <t>DALARNAS LÄN</t>
        </is>
      </c>
      <c r="G310" t="inlineStr">
        <is>
          <t>VANSBRO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60848-2024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46304</v>
      </c>
      <c r="F311" t="inlineStr">
        <is>
          <t>DALARNAS LÄN</t>
        </is>
      </c>
      <c r="G311" t="inlineStr">
        <is>
          <t>VANSBRO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41290-2023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45174</v>
      </c>
      <c r="E312" s="1" t="n">
        <v>46304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26658-2022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44739</v>
      </c>
      <c r="E313" s="1" t="n">
        <v>46304</v>
      </c>
      <c r="F313" t="inlineStr">
        <is>
          <t>DALARNAS LÄN</t>
        </is>
      </c>
      <c r="G313" t="inlineStr">
        <is>
          <t>VANSBRO</t>
        </is>
      </c>
      <c r="H313" t="inlineStr">
        <is>
          <t>Bergvik skog väst AB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5386-2024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45331</v>
      </c>
      <c r="E314" s="1" t="n">
        <v>46304</v>
      </c>
      <c r="F314" t="inlineStr">
        <is>
          <t>DALARNAS LÄN</t>
        </is>
      </c>
      <c r="G314" t="inlineStr">
        <is>
          <t>VANSBRO</t>
        </is>
      </c>
      <c r="I314" t="n">
        <v>11.4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10012-2024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46304</v>
      </c>
      <c r="F315" t="inlineStr">
        <is>
          <t>DALARNAS LÄN</t>
        </is>
      </c>
      <c r="G315" t="inlineStr">
        <is>
          <t>VANSBRO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46164</v>
      </c>
      <c r="E316" s="1" t="n">
        <v>46304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öst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51396-2022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44869</v>
      </c>
      <c r="E317" s="1" t="n">
        <v>46304</v>
      </c>
      <c r="F317" t="inlineStr">
        <is>
          <t>DALARNAS LÄN</t>
        </is>
      </c>
      <c r="G317" t="inlineStr">
        <is>
          <t>VANSBRO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23780-2026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46164</v>
      </c>
      <c r="E318" s="1" t="n">
        <v>46304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15972-2025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45749</v>
      </c>
      <c r="E319" s="1" t="n">
        <v>46304</v>
      </c>
      <c r="F319" t="inlineStr">
        <is>
          <t>DALARNAS LÄN</t>
        </is>
      </c>
      <c r="G319" t="inlineStr">
        <is>
          <t>VANSBRO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36855-2022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44805</v>
      </c>
      <c r="E320" s="1" t="n">
        <v>46304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45299</v>
      </c>
      <c r="E321" s="1" t="n">
        <v>46304</v>
      </c>
      <c r="F321" t="inlineStr">
        <is>
          <t>DALARNAS LÄN</t>
        </is>
      </c>
      <c r="G321" t="inlineStr">
        <is>
          <t>VANSBRO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4951-2025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45689</v>
      </c>
      <c r="E322" s="1" t="n">
        <v>46304</v>
      </c>
      <c r="F322" t="inlineStr">
        <is>
          <t>DALARNAS LÄN</t>
        </is>
      </c>
      <c r="G322" t="inlineStr">
        <is>
          <t>VANSBRO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45689</v>
      </c>
      <c r="E323" s="1" t="n">
        <v>46304</v>
      </c>
      <c r="F323" t="inlineStr">
        <is>
          <t>DALARNAS LÄN</t>
        </is>
      </c>
      <c r="G323" t="inlineStr">
        <is>
          <t>VANSBRO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57904-2024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45631</v>
      </c>
      <c r="E324" s="1" t="n">
        <v>46304</v>
      </c>
      <c r="F324" t="inlineStr">
        <is>
          <t>DALARNAS LÄN</t>
        </is>
      </c>
      <c r="G324" t="inlineStr">
        <is>
          <t>VANSBRO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56988-2023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45244</v>
      </c>
      <c r="E325" s="1" t="n">
        <v>46304</v>
      </c>
      <c r="F325" t="inlineStr">
        <is>
          <t>DALARNAS LÄN</t>
        </is>
      </c>
      <c r="G325" t="inlineStr">
        <is>
          <t>VANSBRO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59736-2022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44908</v>
      </c>
      <c r="E326" s="1" t="n">
        <v>46304</v>
      </c>
      <c r="F326" t="inlineStr">
        <is>
          <t>DALARNAS LÄN</t>
        </is>
      </c>
      <c r="G326" t="inlineStr">
        <is>
          <t>VANSBRO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25045-2026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46174</v>
      </c>
      <c r="E327" s="1" t="n">
        <v>46304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45225</v>
      </c>
      <c r="E328" s="1" t="n">
        <v>46304</v>
      </c>
      <c r="F328" t="inlineStr">
        <is>
          <t>DALARNAS LÄN</t>
        </is>
      </c>
      <c r="G328" t="inlineStr">
        <is>
          <t>VANSBRO</t>
        </is>
      </c>
      <c r="H328" t="inlineStr">
        <is>
          <t>Övriga statliga verk och myndigheter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24277-2026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46169</v>
      </c>
      <c r="E329" s="1" t="n">
        <v>46304</v>
      </c>
      <c r="F329" t="inlineStr">
        <is>
          <t>DALARNAS LÄN</t>
        </is>
      </c>
      <c r="G329" t="inlineStr">
        <is>
          <t>VANSBRO</t>
        </is>
      </c>
      <c r="H329" t="inlineStr">
        <is>
          <t>Bergvik skog väst AB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45169</v>
      </c>
      <c r="E330" s="1" t="n">
        <v>46304</v>
      </c>
      <c r="F330" t="inlineStr">
        <is>
          <t>DALARNAS LÄN</t>
        </is>
      </c>
      <c r="G330" t="inlineStr">
        <is>
          <t>VANSBRO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20931-2022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44701</v>
      </c>
      <c r="E331" s="1" t="n">
        <v>46304</v>
      </c>
      <c r="F331" t="inlineStr">
        <is>
          <t>DALARNAS LÄN</t>
        </is>
      </c>
      <c r="G331" t="inlineStr">
        <is>
          <t>VANSBRO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45296</v>
      </c>
      <c r="E332" s="1" t="n">
        <v>46304</v>
      </c>
      <c r="F332" t="inlineStr">
        <is>
          <t>DALARNAS LÄN</t>
        </is>
      </c>
      <c r="G332" t="inlineStr">
        <is>
          <t>VANSBRO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20419-2025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46304</v>
      </c>
      <c r="F333" t="inlineStr">
        <is>
          <t>DALARNAS LÄN</t>
        </is>
      </c>
      <c r="G333" t="inlineStr">
        <is>
          <t>VANSBRO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46181</v>
      </c>
      <c r="E334" s="1" t="n">
        <v>46304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14057-2023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45008</v>
      </c>
      <c r="E335" s="1" t="n">
        <v>46304</v>
      </c>
      <c r="F335" t="inlineStr">
        <is>
          <t>DALARNAS LÄN</t>
        </is>
      </c>
      <c r="G335" t="inlineStr">
        <is>
          <t>VANSBRO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26542-2026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46183</v>
      </c>
      <c r="E336" s="1" t="n">
        <v>46304</v>
      </c>
      <c r="F336" t="inlineStr">
        <is>
          <t>DALARNAS LÄN</t>
        </is>
      </c>
      <c r="G336" t="inlineStr">
        <is>
          <t>VANSBRO</t>
        </is>
      </c>
      <c r="H336" t="inlineStr">
        <is>
          <t>Bergvik skog väst AB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22756-2024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45448</v>
      </c>
      <c r="E337" s="1" t="n">
        <v>46304</v>
      </c>
      <c r="F337" t="inlineStr">
        <is>
          <t>DALARNAS LÄN</t>
        </is>
      </c>
      <c r="G337" t="inlineStr">
        <is>
          <t>VANSBRO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46304</v>
      </c>
      <c r="F338" t="inlineStr">
        <is>
          <t>DALARNAS LÄN</t>
        </is>
      </c>
      <c r="G338" t="inlineStr">
        <is>
          <t>VANSBRO</t>
        </is>
      </c>
      <c r="H338" t="inlineStr">
        <is>
          <t>Övriga statliga verk och myndigheter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27334-2026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46304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27195-2026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46188</v>
      </c>
      <c r="E340" s="1" t="n">
        <v>46304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27344-2026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46188</v>
      </c>
      <c r="E341" s="1" t="n">
        <v>46304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44930</v>
      </c>
      <c r="E342" s="1" t="n">
        <v>46304</v>
      </c>
      <c r="F342" t="inlineStr">
        <is>
          <t>DALARNAS LÄN</t>
        </is>
      </c>
      <c r="G342" t="inlineStr">
        <is>
          <t>VANSBRO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61717-2023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45265</v>
      </c>
      <c r="E343" s="1" t="n">
        <v>46304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27629-2026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46304</v>
      </c>
      <c r="F344" t="inlineStr">
        <is>
          <t>DALARNAS LÄN</t>
        </is>
      </c>
      <c r="G344" t="inlineStr">
        <is>
          <t>VANSBRO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27080-2024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45471</v>
      </c>
      <c r="E345" s="1" t="n">
        <v>46304</v>
      </c>
      <c r="F345" t="inlineStr">
        <is>
          <t>DALARNAS LÄN</t>
        </is>
      </c>
      <c r="G345" t="inlineStr">
        <is>
          <t>VANSBRO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27631-2026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46304</v>
      </c>
      <c r="F346" t="inlineStr">
        <is>
          <t>DALARNAS LÄN</t>
        </is>
      </c>
      <c r="G346" t="inlineStr">
        <is>
          <t>VANSBRO</t>
        </is>
      </c>
      <c r="I346" t="n">
        <v>0.3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26669-2026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46184</v>
      </c>
      <c r="E347" s="1" t="n">
        <v>46304</v>
      </c>
      <c r="F347" t="inlineStr">
        <is>
          <t>DALARNAS LÄN</t>
        </is>
      </c>
      <c r="G347" t="inlineStr">
        <is>
          <t>VANSBRO</t>
        </is>
      </c>
      <c r="H347" t="inlineStr">
        <is>
          <t>Bergvik skog väst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27242-2026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46304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10.5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27117-2026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46188</v>
      </c>
      <c r="E349" s="1" t="n">
        <v>46304</v>
      </c>
      <c r="F349" t="inlineStr">
        <is>
          <t>DALARNAS LÄN</t>
        </is>
      </c>
      <c r="G349" t="inlineStr">
        <is>
          <t>VANSBRO</t>
        </is>
      </c>
      <c r="H349" t="inlineStr">
        <is>
          <t>Bergvik skog väst AB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27932-2026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46191</v>
      </c>
      <c r="E350" s="1" t="n">
        <v>46304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27937-2026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46191</v>
      </c>
      <c r="E351" s="1" t="n">
        <v>46304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28069-2026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46195</v>
      </c>
      <c r="E352" s="1" t="n">
        <v>46304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11485-2024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45372</v>
      </c>
      <c r="E353" s="1" t="n">
        <v>46304</v>
      </c>
      <c r="F353" t="inlineStr">
        <is>
          <t>DALARNAS LÄN</t>
        </is>
      </c>
      <c r="G353" t="inlineStr">
        <is>
          <t>VANSBRO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43570-2023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45184</v>
      </c>
      <c r="E354" s="1" t="n">
        <v>46304</v>
      </c>
      <c r="F354" t="inlineStr">
        <is>
          <t>DALARNAS LÄN</t>
        </is>
      </c>
      <c r="G354" t="inlineStr">
        <is>
          <t>VANSBRO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24481-2023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45082</v>
      </c>
      <c r="E355" s="1" t="n">
        <v>46304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28466-2026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46197</v>
      </c>
      <c r="E356" s="1" t="n">
        <v>46304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öst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50741-2022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44867</v>
      </c>
      <c r="E357" s="1" t="n">
        <v>46304</v>
      </c>
      <c r="F357" t="inlineStr">
        <is>
          <t>DALARNAS LÄN</t>
        </is>
      </c>
      <c r="G357" t="inlineStr">
        <is>
          <t>VANSBRO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29035-2026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46199</v>
      </c>
      <c r="E358" s="1" t="n">
        <v>46304</v>
      </c>
      <c r="F358" t="inlineStr">
        <is>
          <t>DALARNAS LÄN</t>
        </is>
      </c>
      <c r="G358" t="inlineStr">
        <is>
          <t>VANSBRO</t>
        </is>
      </c>
      <c r="I358" t="n">
        <v>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43589-2022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44837</v>
      </c>
      <c r="E359" s="1" t="n">
        <v>46304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16823-2025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45754</v>
      </c>
      <c r="E360" s="1" t="n">
        <v>46304</v>
      </c>
      <c r="F360" t="inlineStr">
        <is>
          <t>DALARNAS LÄN</t>
        </is>
      </c>
      <c r="G360" t="inlineStr">
        <is>
          <t>VANSBRO</t>
        </is>
      </c>
      <c r="I360" t="n">
        <v>9.9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29174-2026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46202</v>
      </c>
      <c r="E361" s="1" t="n">
        <v>46304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öst AB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17807-2022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44673</v>
      </c>
      <c r="E362" s="1" t="n">
        <v>46304</v>
      </c>
      <c r="F362" t="inlineStr">
        <is>
          <t>DALARNAS LÄN</t>
        </is>
      </c>
      <c r="G362" t="inlineStr">
        <is>
          <t>VANSBRO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29621-2026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46204</v>
      </c>
      <c r="E363" s="1" t="n">
        <v>46304</v>
      </c>
      <c r="F363" t="inlineStr">
        <is>
          <t>DALARNAS LÄN</t>
        </is>
      </c>
      <c r="G363" t="inlineStr">
        <is>
          <t>VANSBRO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29671-2026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46304</v>
      </c>
      <c r="F364" t="inlineStr">
        <is>
          <t>DALARNAS LÄN</t>
        </is>
      </c>
      <c r="G364" t="inlineStr">
        <is>
          <t>VANSBRO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56129-2023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45240</v>
      </c>
      <c r="E365" s="1" t="n">
        <v>46304</v>
      </c>
      <c r="F365" t="inlineStr">
        <is>
          <t>DALARNAS LÄN</t>
        </is>
      </c>
      <c r="G365" t="inlineStr">
        <is>
          <t>VANSBRO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33520-2024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45519</v>
      </c>
      <c r="E366" s="1" t="n">
        <v>46304</v>
      </c>
      <c r="F366" t="inlineStr">
        <is>
          <t>DALARNAS LÄN</t>
        </is>
      </c>
      <c r="G366" t="inlineStr">
        <is>
          <t>VANSBRO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29687-2026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46304</v>
      </c>
      <c r="F367" t="inlineStr">
        <is>
          <t>DALARNAS LÄN</t>
        </is>
      </c>
      <c r="G367" t="inlineStr">
        <is>
          <t>VANSBRO</t>
        </is>
      </c>
      <c r="H367" t="inlineStr">
        <is>
          <t>Bergvik skog öst AB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29442-2026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46203</v>
      </c>
      <c r="E368" s="1" t="n">
        <v>46304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29439-2026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46203</v>
      </c>
      <c r="E369" s="1" t="n">
        <v>46304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29630-2026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46204</v>
      </c>
      <c r="E370" s="1" t="n">
        <v>46304</v>
      </c>
      <c r="F370" t="inlineStr">
        <is>
          <t>DALARNAS LÄN</t>
        </is>
      </c>
      <c r="G370" t="inlineStr">
        <is>
          <t>VANSBRO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51606-2023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45222</v>
      </c>
      <c r="E371" s="1" t="n">
        <v>46304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48005-2022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44855</v>
      </c>
      <c r="E372" s="1" t="n">
        <v>46304</v>
      </c>
      <c r="F372" t="inlineStr">
        <is>
          <t>DALARNAS LÄN</t>
        </is>
      </c>
      <c r="G372" t="inlineStr">
        <is>
          <t>VANSBRO</t>
        </is>
      </c>
      <c r="I372" t="n">
        <v>4.1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56773-2023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45244</v>
      </c>
      <c r="E373" s="1" t="n">
        <v>46304</v>
      </c>
      <c r="F373" t="inlineStr">
        <is>
          <t>DALARNAS LÄN</t>
        </is>
      </c>
      <c r="G373" t="inlineStr">
        <is>
          <t>VANSBRO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60031-2022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44909</v>
      </c>
      <c r="E374" s="1" t="n">
        <v>46304</v>
      </c>
      <c r="F374" t="inlineStr">
        <is>
          <t>DALARNAS LÄN</t>
        </is>
      </c>
      <c r="G374" t="inlineStr">
        <is>
          <t>VANSBRO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46304</v>
      </c>
      <c r="F375" t="inlineStr">
        <is>
          <t>DALARNAS LÄN</t>
        </is>
      </c>
      <c r="G375" t="inlineStr">
        <is>
          <t>VANSBRO</t>
        </is>
      </c>
      <c r="H375" t="inlineStr">
        <is>
          <t>Övriga statliga verk och myndigheter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30568-2026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46304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öst AB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30784-2026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46212</v>
      </c>
      <c r="E377" s="1" t="n">
        <v>46304</v>
      </c>
      <c r="F377" t="inlineStr">
        <is>
          <t>DALARNAS LÄN</t>
        </is>
      </c>
      <c r="G377" t="inlineStr">
        <is>
          <t>VANSBRO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5420-2024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45331</v>
      </c>
      <c r="E378" s="1" t="n">
        <v>46304</v>
      </c>
      <c r="F378" t="inlineStr">
        <is>
          <t>DALARNAS LÄN</t>
        </is>
      </c>
      <c r="G378" t="inlineStr">
        <is>
          <t>VANSBRO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30796-2026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46212</v>
      </c>
      <c r="E379" s="1" t="n">
        <v>46304</v>
      </c>
      <c r="F379" t="inlineStr">
        <is>
          <t>DALARNAS LÄN</t>
        </is>
      </c>
      <c r="G379" t="inlineStr">
        <is>
          <t>VANSBRO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59600-2023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45254</v>
      </c>
      <c r="E380" s="1" t="n">
        <v>46304</v>
      </c>
      <c r="F380" t="inlineStr">
        <is>
          <t>DALARNAS LÄN</t>
        </is>
      </c>
      <c r="G380" t="inlineStr">
        <is>
          <t>VANSBRO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11274-2024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45371</v>
      </c>
      <c r="E381" s="1" t="n">
        <v>46304</v>
      </c>
      <c r="F381" t="inlineStr">
        <is>
          <t>DALARNAS LÄN</t>
        </is>
      </c>
      <c r="G381" t="inlineStr">
        <is>
          <t>VANSBRO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44930</v>
      </c>
      <c r="E382" s="1" t="n">
        <v>46304</v>
      </c>
      <c r="F382" t="inlineStr">
        <is>
          <t>DALARNAS LÄN</t>
        </is>
      </c>
      <c r="G382" t="inlineStr">
        <is>
          <t>VANSBRO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28872-2026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46199</v>
      </c>
      <c r="E383" s="1" t="n">
        <v>46304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56986-2023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46304</v>
      </c>
      <c r="F384" t="inlineStr">
        <is>
          <t>DALARNAS LÄN</t>
        </is>
      </c>
      <c r="G384" t="inlineStr">
        <is>
          <t>VANSBRO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45631</v>
      </c>
      <c r="E385" s="1" t="n">
        <v>46304</v>
      </c>
      <c r="F385" t="inlineStr">
        <is>
          <t>DALARNAS LÄN</t>
        </is>
      </c>
      <c r="G385" t="inlineStr">
        <is>
          <t>VANSBRO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35579-2026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46262</v>
      </c>
      <c r="E386" s="1" t="n">
        <v>46304</v>
      </c>
      <c r="F386" t="inlineStr">
        <is>
          <t>DALARNAS LÄN</t>
        </is>
      </c>
      <c r="G386" t="inlineStr">
        <is>
          <t>VANSBRO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35752-2026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46265</v>
      </c>
      <c r="E387" s="1" t="n">
        <v>46304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13327-2025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45735</v>
      </c>
      <c r="E388" s="1" t="n">
        <v>46304</v>
      </c>
      <c r="F388" t="inlineStr">
        <is>
          <t>DALARNAS LÄN</t>
        </is>
      </c>
      <c r="G388" t="inlineStr">
        <is>
          <t>VANSBRO</t>
        </is>
      </c>
      <c r="H388" t="inlineStr">
        <is>
          <t>Kommuner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44960</v>
      </c>
      <c r="E389" s="1" t="n">
        <v>46304</v>
      </c>
      <c r="F389" t="inlineStr">
        <is>
          <t>DALARNAS LÄN</t>
        </is>
      </c>
      <c r="G389" t="inlineStr">
        <is>
          <t>VANSBRO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46266</v>
      </c>
      <c r="E390" s="1" t="n">
        <v>46304</v>
      </c>
      <c r="F390" t="inlineStr">
        <is>
          <t>DALARNAS LÄN</t>
        </is>
      </c>
      <c r="G390" t="inlineStr">
        <is>
          <t>VANSBRO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1588-2026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46034</v>
      </c>
      <c r="E391" s="1" t="n">
        <v>46304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väst AB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57947-2023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45247</v>
      </c>
      <c r="E392" s="1" t="n">
        <v>46304</v>
      </c>
      <c r="F392" t="inlineStr">
        <is>
          <t>DALARNAS LÄN</t>
        </is>
      </c>
      <c r="G392" t="inlineStr">
        <is>
          <t>VANSBRO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44931</v>
      </c>
      <c r="E393" s="1" t="n">
        <v>46304</v>
      </c>
      <c r="F393" t="inlineStr">
        <is>
          <t>DALARNAS LÄN</t>
        </is>
      </c>
      <c r="G393" t="inlineStr">
        <is>
          <t>VANSBRO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36375-2026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46268</v>
      </c>
      <c r="E394" s="1" t="n">
        <v>46304</v>
      </c>
      <c r="F394" t="inlineStr">
        <is>
          <t>DALARNAS LÄN</t>
        </is>
      </c>
      <c r="G394" t="inlineStr">
        <is>
          <t>VANSBRO</t>
        </is>
      </c>
      <c r="H394" t="inlineStr">
        <is>
          <t>Kyrkan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36377-2026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46268</v>
      </c>
      <c r="E395" s="1" t="n">
        <v>46304</v>
      </c>
      <c r="F395" t="inlineStr">
        <is>
          <t>DALARNAS LÄN</t>
        </is>
      </c>
      <c r="G395" t="inlineStr">
        <is>
          <t>VANSBRO</t>
        </is>
      </c>
      <c r="H395" t="inlineStr">
        <is>
          <t>Kyrkan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36379-2026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46268</v>
      </c>
      <c r="E396" s="1" t="n">
        <v>46304</v>
      </c>
      <c r="F396" t="inlineStr">
        <is>
          <t>DALARNAS LÄN</t>
        </is>
      </c>
      <c r="G396" t="inlineStr">
        <is>
          <t>VANSBRO</t>
        </is>
      </c>
      <c r="H396" t="inlineStr">
        <is>
          <t>Kyrkan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36710-2026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46272</v>
      </c>
      <c r="E397" s="1" t="n">
        <v>46304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47790-2024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45588</v>
      </c>
      <c r="E398" s="1" t="n">
        <v>46304</v>
      </c>
      <c r="F398" t="inlineStr">
        <is>
          <t>DALARNAS LÄN</t>
        </is>
      </c>
      <c r="G398" t="inlineStr">
        <is>
          <t>VANSBRO</t>
        </is>
      </c>
      <c r="H398" t="inlineStr">
        <is>
          <t>Övriga statliga verk och myndigheter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36713-2026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46272</v>
      </c>
      <c r="E399" s="1" t="n">
        <v>46304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väst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18658-2025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45763</v>
      </c>
      <c r="E400" s="1" t="n">
        <v>46304</v>
      </c>
      <c r="F400" t="inlineStr">
        <is>
          <t>DALARNAS LÄN</t>
        </is>
      </c>
      <c r="G400" t="inlineStr">
        <is>
          <t>VANSBRO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40382-2023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45169</v>
      </c>
      <c r="E401" s="1" t="n">
        <v>46304</v>
      </c>
      <c r="F401" t="inlineStr">
        <is>
          <t>DALARNAS LÄN</t>
        </is>
      </c>
      <c r="G401" t="inlineStr">
        <is>
          <t>VANSBRO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30392-2024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45491</v>
      </c>
      <c r="E402" s="1" t="n">
        <v>46304</v>
      </c>
      <c r="F402" t="inlineStr">
        <is>
          <t>DALARNAS LÄN</t>
        </is>
      </c>
      <c r="G402" t="inlineStr">
        <is>
          <t>VANSBRO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2147-2025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45672</v>
      </c>
      <c r="E403" s="1" t="n">
        <v>46304</v>
      </c>
      <c r="F403" t="inlineStr">
        <is>
          <t>DALARNAS LÄN</t>
        </is>
      </c>
      <c r="G403" t="inlineStr">
        <is>
          <t>VANSBRO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18306-2025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45762</v>
      </c>
      <c r="E404" s="1" t="n">
        <v>46304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väst AB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10886-2025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45722</v>
      </c>
      <c r="E405" s="1" t="n">
        <v>46304</v>
      </c>
      <c r="F405" t="inlineStr">
        <is>
          <t>DALARNAS LÄN</t>
        </is>
      </c>
      <c r="G405" t="inlineStr">
        <is>
          <t>VANSBRO</t>
        </is>
      </c>
      <c r="I405" t="n">
        <v>15.5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45700</v>
      </c>
      <c r="E406" s="1" t="n">
        <v>46304</v>
      </c>
      <c r="F406" t="inlineStr">
        <is>
          <t>DALARNAS LÄN</t>
        </is>
      </c>
      <c r="G406" t="inlineStr">
        <is>
          <t>VANSBRO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36706-2026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46272</v>
      </c>
      <c r="E407" s="1" t="n">
        <v>46304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37433-2026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46275</v>
      </c>
      <c r="E408" s="1" t="n">
        <v>46304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37443-2026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46275</v>
      </c>
      <c r="E409" s="1" t="n">
        <v>46304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väst AB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37467-2026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46275</v>
      </c>
      <c r="E410" s="1" t="n">
        <v>46304</v>
      </c>
      <c r="F410" t="inlineStr">
        <is>
          <t>DALARNAS LÄN</t>
        </is>
      </c>
      <c r="G410" t="inlineStr">
        <is>
          <t>VANSBRO</t>
        </is>
      </c>
      <c r="H410" t="inlineStr">
        <is>
          <t>Kommuner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37499-2026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46275</v>
      </c>
      <c r="E411" s="1" t="n">
        <v>46304</v>
      </c>
      <c r="F411" t="inlineStr">
        <is>
          <t>DALARNAS LÄN</t>
        </is>
      </c>
      <c r="G411" t="inlineStr">
        <is>
          <t>VANSBRO</t>
        </is>
      </c>
      <c r="H411" t="inlineStr">
        <is>
          <t>Kyrkan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37247-2026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46274</v>
      </c>
      <c r="E412" s="1" t="n">
        <v>46304</v>
      </c>
      <c r="F412" t="inlineStr">
        <is>
          <t>DALARNAS LÄN</t>
        </is>
      </c>
      <c r="G412" t="inlineStr">
        <is>
          <t>VANSBRO</t>
        </is>
      </c>
      <c r="H412" t="inlineStr">
        <is>
          <t>Bergvik skog öst AB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31867-2026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46231</v>
      </c>
      <c r="E413" s="1" t="n">
        <v>46304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väst AB</t>
        </is>
      </c>
      <c r="I413" t="n">
        <v>20.2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61515-2022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44916</v>
      </c>
      <c r="E414" s="1" t="n">
        <v>46304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37596-2026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46276</v>
      </c>
      <c r="E415" s="1" t="n">
        <v>46304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46276</v>
      </c>
      <c r="E416" s="1" t="n">
        <v>46304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4.2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50125-2023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45215</v>
      </c>
      <c r="E417" s="1" t="n">
        <v>46304</v>
      </c>
      <c r="F417" t="inlineStr">
        <is>
          <t>DALARNAS LÄN</t>
        </is>
      </c>
      <c r="G417" t="inlineStr">
        <is>
          <t>VANSBRO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50141-2023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45215</v>
      </c>
      <c r="E418" s="1" t="n">
        <v>46304</v>
      </c>
      <c r="F418" t="inlineStr">
        <is>
          <t>DALARNAS LÄN</t>
        </is>
      </c>
      <c r="G418" t="inlineStr">
        <is>
          <t>VANSBRO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38253-2026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46281</v>
      </c>
      <c r="E419" s="1" t="n">
        <v>46304</v>
      </c>
      <c r="F419" t="inlineStr">
        <is>
          <t>DALARNAS LÄN</t>
        </is>
      </c>
      <c r="G419" t="inlineStr">
        <is>
          <t>VANSBRO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37964-2026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46280</v>
      </c>
      <c r="E420" s="1" t="n">
        <v>46304</v>
      </c>
      <c r="F420" t="inlineStr">
        <is>
          <t>DALARNAS LÄN</t>
        </is>
      </c>
      <c r="G420" t="inlineStr">
        <is>
          <t>VANSBRO</t>
        </is>
      </c>
      <c r="H420" t="inlineStr">
        <is>
          <t>Bergvik skog väst AB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37960-2026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46280</v>
      </c>
      <c r="E421" s="1" t="n">
        <v>46304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öst AB</t>
        </is>
      </c>
      <c r="I421" t="n">
        <v>4.7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37966-2026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46280</v>
      </c>
      <c r="E422" s="1" t="n">
        <v>46304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37987-2026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46280</v>
      </c>
      <c r="E423" s="1" t="n">
        <v>46304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46238</v>
      </c>
      <c r="E424" s="1" t="n">
        <v>46304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29.6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38270-2026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46281</v>
      </c>
      <c r="E425" s="1" t="n">
        <v>46304</v>
      </c>
      <c r="F425" t="inlineStr">
        <is>
          <t>DALARNAS LÄN</t>
        </is>
      </c>
      <c r="G425" t="inlineStr">
        <is>
          <t>VANSBRO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21616-2025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45783</v>
      </c>
      <c r="E426" s="1" t="n">
        <v>46304</v>
      </c>
      <c r="F426" t="inlineStr">
        <is>
          <t>DALARNAS LÄN</t>
        </is>
      </c>
      <c r="G426" t="inlineStr">
        <is>
          <t>VANSBRO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45674</v>
      </c>
      <c r="E427" s="1" t="n">
        <v>46304</v>
      </c>
      <c r="F427" t="inlineStr">
        <is>
          <t>DALARNAS LÄN</t>
        </is>
      </c>
      <c r="G427" t="inlineStr">
        <is>
          <t>VANSBRO</t>
        </is>
      </c>
      <c r="I427" t="n">
        <v>4.9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38248-2026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46281</v>
      </c>
      <c r="E428" s="1" t="n">
        <v>46304</v>
      </c>
      <c r="F428" t="inlineStr">
        <is>
          <t>DALARNAS LÄN</t>
        </is>
      </c>
      <c r="G428" t="inlineStr">
        <is>
          <t>VANSBRO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21656-2025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45783</v>
      </c>
      <c r="E429" s="1" t="n">
        <v>46304</v>
      </c>
      <c r="F429" t="inlineStr">
        <is>
          <t>DALARNAS LÄN</t>
        </is>
      </c>
      <c r="G429" t="inlineStr">
        <is>
          <t>VANSBRO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38231-2026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46281</v>
      </c>
      <c r="E430" s="1" t="n">
        <v>46304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öst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29288-2024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45483</v>
      </c>
      <c r="E431" s="1" t="n">
        <v>46304</v>
      </c>
      <c r="F431" t="inlineStr">
        <is>
          <t>DALARNAS LÄN</t>
        </is>
      </c>
      <c r="G431" t="inlineStr">
        <is>
          <t>VANSBRO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30544-2024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45492</v>
      </c>
      <c r="E432" s="1" t="n">
        <v>46304</v>
      </c>
      <c r="F432" t="inlineStr">
        <is>
          <t>DALARNAS LÄN</t>
        </is>
      </c>
      <c r="G432" t="inlineStr">
        <is>
          <t>VANSBRO</t>
        </is>
      </c>
      <c r="I432" t="n">
        <v>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23085-2022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44719</v>
      </c>
      <c r="E433" s="1" t="n">
        <v>46304</v>
      </c>
      <c r="F433" t="inlineStr">
        <is>
          <t>DALARNAS LÄN</t>
        </is>
      </c>
      <c r="G433" t="inlineStr">
        <is>
          <t>VANSBRO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38644-2026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46283</v>
      </c>
      <c r="E434" s="1" t="n">
        <v>46304</v>
      </c>
      <c r="F434" t="inlineStr">
        <is>
          <t>DALARNAS LÄN</t>
        </is>
      </c>
      <c r="G434" t="inlineStr">
        <is>
          <t>VANSBRO</t>
        </is>
      </c>
      <c r="H434" t="inlineStr">
        <is>
          <t>Bergvik skog öst AB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38627-2026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46283</v>
      </c>
      <c r="E435" s="1" t="n">
        <v>46304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öst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38797-2026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46286</v>
      </c>
      <c r="E436" s="1" t="n">
        <v>46304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23792-2025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45793</v>
      </c>
      <c r="E437" s="1" t="n">
        <v>46304</v>
      </c>
      <c r="F437" t="inlineStr">
        <is>
          <t>DALARNAS LÄN</t>
        </is>
      </c>
      <c r="G437" t="inlineStr">
        <is>
          <t>VANSBRO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4760-2025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45688</v>
      </c>
      <c r="E438" s="1" t="n">
        <v>46304</v>
      </c>
      <c r="F438" t="inlineStr">
        <is>
          <t>DALARNAS LÄN</t>
        </is>
      </c>
      <c r="G438" t="inlineStr">
        <is>
          <t>VANSBRO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29411-2024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45483</v>
      </c>
      <c r="E439" s="1" t="n">
        <v>46304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35516-2024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46304</v>
      </c>
      <c r="F440" t="inlineStr">
        <is>
          <t>DALARNAS LÄN</t>
        </is>
      </c>
      <c r="G440" t="inlineStr">
        <is>
          <t>VANSBRO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39352-2026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46288</v>
      </c>
      <c r="E441" s="1" t="n">
        <v>46304</v>
      </c>
      <c r="F441" t="inlineStr">
        <is>
          <t>DALARNAS LÄN</t>
        </is>
      </c>
      <c r="G441" t="inlineStr">
        <is>
          <t>VANSBRO</t>
        </is>
      </c>
      <c r="I441" t="n">
        <v>3.5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45798</v>
      </c>
      <c r="E442" s="1" t="n">
        <v>46304</v>
      </c>
      <c r="F442" t="inlineStr">
        <is>
          <t>DALARNAS LÄN</t>
        </is>
      </c>
      <c r="G442" t="inlineStr">
        <is>
          <t>VANSBRO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39500-2026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46289</v>
      </c>
      <c r="E443" s="1" t="n">
        <v>46304</v>
      </c>
      <c r="F443" t="inlineStr">
        <is>
          <t>DALARNAS LÄN</t>
        </is>
      </c>
      <c r="G443" t="inlineStr">
        <is>
          <t>VANSBRO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26510-2025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45807</v>
      </c>
      <c r="E444" s="1" t="n">
        <v>46304</v>
      </c>
      <c r="F444" t="inlineStr">
        <is>
          <t>DALARNAS LÄN</t>
        </is>
      </c>
      <c r="G444" t="inlineStr">
        <is>
          <t>VANSBRO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45807</v>
      </c>
      <c r="E445" s="1" t="n">
        <v>46304</v>
      </c>
      <c r="F445" t="inlineStr">
        <is>
          <t>DALARNAS LÄN</t>
        </is>
      </c>
      <c r="G445" t="inlineStr">
        <is>
          <t>VANSBRO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26990-2025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46304</v>
      </c>
      <c r="F446" t="inlineStr">
        <is>
          <t>DALARNAS LÄN</t>
        </is>
      </c>
      <c r="G446" t="inlineStr">
        <is>
          <t>VANSBRO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26995-2025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45811</v>
      </c>
      <c r="E447" s="1" t="n">
        <v>46304</v>
      </c>
      <c r="F447" t="inlineStr">
        <is>
          <t>DALARNAS LÄN</t>
        </is>
      </c>
      <c r="G447" t="inlineStr">
        <is>
          <t>VANSBRO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39871-2026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46290</v>
      </c>
      <c r="E448" s="1" t="n">
        <v>46304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öst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45695</v>
      </c>
      <c r="E449" s="1" t="n">
        <v>46304</v>
      </c>
      <c r="F449" t="inlineStr">
        <is>
          <t>DALARNAS LÄN</t>
        </is>
      </c>
      <c r="G449" t="inlineStr">
        <is>
          <t>VANSBRO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40012-2026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46304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28469-2025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45819</v>
      </c>
      <c r="E451" s="1" t="n">
        <v>46304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öst AB</t>
        </is>
      </c>
      <c r="I451" t="n">
        <v>4.8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33953-2026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46304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46252</v>
      </c>
      <c r="E453" s="1" t="n">
        <v>46304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40447-2026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46294</v>
      </c>
      <c r="E454" s="1" t="n">
        <v>46304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väst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29281-2025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46304</v>
      </c>
      <c r="F455" t="inlineStr">
        <is>
          <t>DALARNAS LÄN</t>
        </is>
      </c>
      <c r="G455" t="inlineStr">
        <is>
          <t>VANSBRO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40367-2026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46294</v>
      </c>
      <c r="E456" s="1" t="n">
        <v>46304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40143-2026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46293</v>
      </c>
      <c r="E457" s="1" t="n">
        <v>46304</v>
      </c>
      <c r="F457" t="inlineStr">
        <is>
          <t>DALARNAS LÄN</t>
        </is>
      </c>
      <c r="G457" t="inlineStr">
        <is>
          <t>VANSBRO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33949-2026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46252</v>
      </c>
      <c r="E458" s="1" t="n">
        <v>46304</v>
      </c>
      <c r="F458" t="inlineStr">
        <is>
          <t>DALARNAS LÄN</t>
        </is>
      </c>
      <c r="G458" t="inlineStr">
        <is>
          <t>VANSBRO</t>
        </is>
      </c>
      <c r="H458" t="inlineStr">
        <is>
          <t>Bergvik skog väst AB</t>
        </is>
      </c>
      <c r="I458" t="n">
        <v>5.9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40424-2026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46294</v>
      </c>
      <c r="E459" s="1" t="n">
        <v>46304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40343-2026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46294</v>
      </c>
      <c r="E460" s="1" t="n">
        <v>46304</v>
      </c>
      <c r="F460" t="inlineStr">
        <is>
          <t>DALARNAS LÄN</t>
        </is>
      </c>
      <c r="G460" t="inlineStr">
        <is>
          <t>VANSBRO</t>
        </is>
      </c>
      <c r="H460" t="inlineStr">
        <is>
          <t>Bergvik skog väst AB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40391-2026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46294</v>
      </c>
      <c r="E461" s="1" t="n">
        <v>46304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46304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väst AB</t>
        </is>
      </c>
      <c r="I462" t="n">
        <v>17.3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45832</v>
      </c>
      <c r="E463" s="1" t="n">
        <v>46304</v>
      </c>
      <c r="F463" t="inlineStr">
        <is>
          <t>DALARNAS LÄN</t>
        </is>
      </c>
      <c r="G463" t="inlineStr">
        <is>
          <t>VANSBRO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31499-2025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45833</v>
      </c>
      <c r="E464" s="1" t="n">
        <v>46304</v>
      </c>
      <c r="F464" t="inlineStr">
        <is>
          <t>DALARNAS LÄN</t>
        </is>
      </c>
      <c r="G464" t="inlineStr">
        <is>
          <t>VANSBRO</t>
        </is>
      </c>
      <c r="I464" t="n">
        <v>27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31489-2025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45833</v>
      </c>
      <c r="E465" s="1" t="n">
        <v>46304</v>
      </c>
      <c r="F465" t="inlineStr">
        <is>
          <t>DALARNAS LÄN</t>
        </is>
      </c>
      <c r="G465" t="inlineStr">
        <is>
          <t>VANSBRO</t>
        </is>
      </c>
      <c r="I465" t="n">
        <v>9.1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40996-2026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46297</v>
      </c>
      <c r="E466" s="1" t="n">
        <v>46304</v>
      </c>
      <c r="F466" t="inlineStr">
        <is>
          <t>DALARNAS LÄN</t>
        </is>
      </c>
      <c r="G466" t="inlineStr">
        <is>
          <t>VANSBRO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32040-2025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45835</v>
      </c>
      <c r="E467" s="1" t="n">
        <v>46304</v>
      </c>
      <c r="F467" t="inlineStr">
        <is>
          <t>DALARNAS LÄN</t>
        </is>
      </c>
      <c r="G467" t="inlineStr">
        <is>
          <t>VANSBRO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34374-2026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46254</v>
      </c>
      <c r="E468" s="1" t="n">
        <v>46304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34207-2026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46253</v>
      </c>
      <c r="E469" s="1" t="n">
        <v>46304</v>
      </c>
      <c r="F469" t="inlineStr">
        <is>
          <t>DALARNAS LÄN</t>
        </is>
      </c>
      <c r="G469" t="inlineStr">
        <is>
          <t>VANSBRO</t>
        </is>
      </c>
      <c r="H469" t="inlineStr">
        <is>
          <t>Bergvik skog väst AB</t>
        </is>
      </c>
      <c r="I469" t="n">
        <v>12.1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34210-2026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46253</v>
      </c>
      <c r="E470" s="1" t="n">
        <v>46304</v>
      </c>
      <c r="F470" t="inlineStr">
        <is>
          <t>DALARNAS LÄN</t>
        </is>
      </c>
      <c r="G470" t="inlineStr">
        <is>
          <t>VANSBRO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34211-2026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46253</v>
      </c>
      <c r="E471" s="1" t="n">
        <v>46304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13.3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41015-2026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46297</v>
      </c>
      <c r="E472" s="1" t="n">
        <v>46304</v>
      </c>
      <c r="F472" t="inlineStr">
        <is>
          <t>DALARNAS LÄN</t>
        </is>
      </c>
      <c r="G472" t="inlineStr">
        <is>
          <t>VANSBRO</t>
        </is>
      </c>
      <c r="H472" t="inlineStr">
        <is>
          <t>Bergvik skog öst AB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34216-2026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46253</v>
      </c>
      <c r="E473" s="1" t="n">
        <v>46304</v>
      </c>
      <c r="F473" t="inlineStr">
        <is>
          <t>DALARNAS LÄN</t>
        </is>
      </c>
      <c r="G473" t="inlineStr">
        <is>
          <t>VANSBRO</t>
        </is>
      </c>
      <c r="H473" t="inlineStr">
        <is>
          <t>Bergvik skog väst AB</t>
        </is>
      </c>
      <c r="I473" t="n">
        <v>18.9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34209-2026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46253</v>
      </c>
      <c r="E474" s="1" t="n">
        <v>46304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27930-2026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46191</v>
      </c>
      <c r="E475" s="1" t="n">
        <v>46304</v>
      </c>
      <c r="F475" t="inlineStr">
        <is>
          <t>DALARNAS LÄN</t>
        </is>
      </c>
      <c r="G475" t="inlineStr">
        <is>
          <t>VANSBRO</t>
        </is>
      </c>
      <c r="H475" t="inlineStr">
        <is>
          <t>Bergvik skog väst AB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41183-2026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46300</v>
      </c>
      <c r="E476" s="1" t="n">
        <v>46304</v>
      </c>
      <c r="F476" t="inlineStr">
        <is>
          <t>DALARNAS LÄN</t>
        </is>
      </c>
      <c r="G476" t="inlineStr">
        <is>
          <t>VANSBRO</t>
        </is>
      </c>
      <c r="H476" t="inlineStr">
        <is>
          <t>Bergvik skog väst AB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41285-2026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46300</v>
      </c>
      <c r="E477" s="1" t="n">
        <v>46304</v>
      </c>
      <c r="F477" t="inlineStr">
        <is>
          <t>DALARNAS LÄN</t>
        </is>
      </c>
      <c r="G477" t="inlineStr">
        <is>
          <t>VANSBRO</t>
        </is>
      </c>
      <c r="H477" t="inlineStr">
        <is>
          <t>Bergvik skog öst AB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7764-2026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46062</v>
      </c>
      <c r="E478" s="1" t="n">
        <v>46304</v>
      </c>
      <c r="F478" t="inlineStr">
        <is>
          <t>DALARNAS LÄN</t>
        </is>
      </c>
      <c r="G478" t="inlineStr">
        <is>
          <t>VANSBRO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41176-2026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46300</v>
      </c>
      <c r="E479" s="1" t="n">
        <v>46304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19.7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46255</v>
      </c>
      <c r="E480" s="1" t="n">
        <v>46304</v>
      </c>
      <c r="F480" t="inlineStr">
        <is>
          <t>DALARNAS LÄN</t>
        </is>
      </c>
      <c r="G480" t="inlineStr">
        <is>
          <t>VANSBRO</t>
        </is>
      </c>
      <c r="H480" t="inlineStr">
        <is>
          <t>Bergvik skog väst AB</t>
        </is>
      </c>
      <c r="I480" t="n">
        <v>1.9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41279-2026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46300</v>
      </c>
      <c r="E481" s="1" t="n">
        <v>46304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41917-2026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46303</v>
      </c>
      <c r="E482" s="1" t="n">
        <v>46304</v>
      </c>
      <c r="F482" t="inlineStr">
        <is>
          <t>DALARNAS LÄN</t>
        </is>
      </c>
      <c r="G482" t="inlineStr">
        <is>
          <t>VANSBRO</t>
        </is>
      </c>
      <c r="I482" t="n">
        <v>7.5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41858-2026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46303</v>
      </c>
      <c r="E483" s="1" t="n">
        <v>46304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öst AB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35042-2026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46259</v>
      </c>
      <c r="E484" s="1" t="n">
        <v>46304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6.9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41606-2026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46302</v>
      </c>
      <c r="E485" s="1" t="n">
        <v>46304</v>
      </c>
      <c r="F485" t="inlineStr">
        <is>
          <t>DALARNAS LÄN</t>
        </is>
      </c>
      <c r="G485" t="inlineStr">
        <is>
          <t>VANSBRO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46303</v>
      </c>
      <c r="E486" s="1" t="n">
        <v>46304</v>
      </c>
      <c r="F486" t="inlineStr">
        <is>
          <t>DALARNAS LÄN</t>
        </is>
      </c>
      <c r="G486" t="inlineStr">
        <is>
          <t>VANSBRO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35330-2026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46261</v>
      </c>
      <c r="E487" s="1" t="n">
        <v>46304</v>
      </c>
      <c r="F487" t="inlineStr">
        <is>
          <t>DALARNAS LÄN</t>
        </is>
      </c>
      <c r="G487" t="inlineStr">
        <is>
          <t>VANSBRO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41742-2026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46302</v>
      </c>
      <c r="E488" s="1" t="n">
        <v>46304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35050-2026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46259</v>
      </c>
      <c r="E489" s="1" t="n">
        <v>46304</v>
      </c>
      <c r="F489" t="inlineStr">
        <is>
          <t>DALARNAS LÄN</t>
        </is>
      </c>
      <c r="G489" t="inlineStr">
        <is>
          <t>VANSBRO</t>
        </is>
      </c>
      <c r="H489" t="inlineStr">
        <is>
          <t>Bergvik skog öst AB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1286-2024</t>
        </is>
      </c>
      <c r="B490" t="inlineStr">
        <is>
          <t>samrådsanmälan</t>
        </is>
      </c>
      <c r="C490" t="inlineStr">
        <is>
          <t>Skogsgödsling</t>
        </is>
      </c>
      <c r="D490" s="1" t="n">
        <v>45401</v>
      </c>
      <c r="E490" s="1" t="n">
        <v>46304</v>
      </c>
      <c r="F490" t="inlineStr">
        <is>
          <t>DALARNAS LÄN</t>
        </is>
      </c>
      <c r="G490" t="inlineStr">
        <is>
          <t>VANSBRO</t>
        </is>
      </c>
      <c r="H490" t="inlineStr">
        <is>
          <t>Bergvik skog väst AB</t>
        </is>
      </c>
      <c r="I490" t="n">
        <v>220.8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4782-2022</t>
        </is>
      </c>
      <c r="B491" t="inlineStr">
        <is>
          <t>samrådsanmälan</t>
        </is>
      </c>
      <c r="C491" t="inlineStr">
        <is>
          <t>Skogsbilväg</t>
        </is>
      </c>
      <c r="D491" s="1" t="n">
        <v>44802</v>
      </c>
      <c r="E491" s="1" t="n">
        <v>46304</v>
      </c>
      <c r="F491" t="inlineStr">
        <is>
          <t>DALARNAS LÄN</t>
        </is>
      </c>
      <c r="G491" t="inlineStr">
        <is>
          <t>VANSBRO</t>
        </is>
      </c>
      <c r="I491" t="n">
        <v>0.2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3514-2023</t>
        </is>
      </c>
      <c r="B492" t="inlineStr">
        <is>
          <t>samrådsanmälan</t>
        </is>
      </c>
      <c r="C492" t="inlineStr">
        <is>
          <t>Annan skogsbruksåtgärd</t>
        </is>
      </c>
      <c r="D492" s="1" t="n">
        <v>45208</v>
      </c>
      <c r="E492" s="1" t="n">
        <v>46304</v>
      </c>
      <c r="F492" t="inlineStr">
        <is>
          <t>DALARNAS LÄN</t>
        </is>
      </c>
      <c r="G492" t="inlineStr">
        <is>
          <t>VANSBRO</t>
        </is>
      </c>
      <c r="H492" t="inlineStr">
        <is>
          <t>Bergvik skog väst AB</t>
        </is>
      </c>
      <c r="I492" t="n">
        <v>37.8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409-2025</t>
        </is>
      </c>
      <c r="B493" t="inlineStr">
        <is>
          <t>samrådsanmälan</t>
        </is>
      </c>
      <c r="C493" t="inlineStr">
        <is>
          <t>Skogsgödsling</t>
        </is>
      </c>
      <c r="D493" s="1" t="n">
        <v>45699</v>
      </c>
      <c r="E493" s="1" t="n">
        <v>46304</v>
      </c>
      <c r="F493" t="inlineStr">
        <is>
          <t>DALARNAS LÄN</t>
        </is>
      </c>
      <c r="G493" t="inlineStr">
        <is>
          <t>VANSBRO</t>
        </is>
      </c>
      <c r="H493" t="inlineStr">
        <is>
          <t>Bergvik skog öst AB</t>
        </is>
      </c>
      <c r="I493" t="n">
        <v>277.1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S 91-2026</t>
        </is>
      </c>
      <c r="B494" t="inlineStr">
        <is>
          <t>samrådsanmälan</t>
        </is>
      </c>
      <c r="C494" t="inlineStr">
        <is>
          <t>Skogsgödsling</t>
        </is>
      </c>
      <c r="D494" s="1" t="n">
        <v>46035</v>
      </c>
      <c r="E494" s="1" t="n">
        <v>46304</v>
      </c>
      <c r="F494" t="inlineStr">
        <is>
          <t>DALARNAS LÄN</t>
        </is>
      </c>
      <c r="G494" t="inlineStr">
        <is>
          <t>VANSBRO</t>
        </is>
      </c>
      <c r="H494" t="inlineStr">
        <is>
          <t>Bergvik skog väst AB</t>
        </is>
      </c>
      <c r="I494" t="n">
        <v>153.5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>
      <c r="A495" t="inlineStr">
        <is>
          <t>S 747-2026</t>
        </is>
      </c>
      <c r="B495" t="inlineStr">
        <is>
          <t>samrådsanmälan</t>
        </is>
      </c>
      <c r="C495" t="inlineStr">
        <is>
          <t>Skogsgödsling</t>
        </is>
      </c>
      <c r="D495" s="1" t="n">
        <v>46089</v>
      </c>
      <c r="E495" s="1" t="n">
        <v>46304</v>
      </c>
      <c r="F495" t="inlineStr">
        <is>
          <t>DALARNAS LÄN</t>
        </is>
      </c>
      <c r="G495" t="inlineStr">
        <is>
          <t>VANSBRO</t>
        </is>
      </c>
      <c r="H495" t="inlineStr">
        <is>
          <t>Bergvik skog öst AB</t>
        </is>
      </c>
      <c r="I495" t="n">
        <v>82.40000000000001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2026-10-09T02:07:05Z</dcterms:created>
  <dcterms:modified xmlns:dcterms="http://purl.org/dc/terms/" xmlns:xsi="http://www.w3.org/2001/XMLSchema-instance" xsi:type="dcterms:W3CDTF">2026-10-09T02:07:06Z</dcterms:modified>
</cp:coreProperties>
</file>