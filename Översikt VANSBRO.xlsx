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46267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46267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46267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46267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46267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46267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46267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46267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46267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46267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46267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46267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46267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46267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46267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46267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46267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46267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46267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46267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33003-2025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46267</v>
      </c>
      <c r="F22" t="inlineStr">
        <is>
          <t>DALARNAS LÄN</t>
        </is>
      </c>
      <c r="G22" t="inlineStr">
        <is>
          <t>VANSBRO</t>
        </is>
      </c>
      <c r="I22" t="n">
        <v>2.3</v>
      </c>
      <c r="J22" t="n">
        <v>2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12</v>
      </c>
      <c r="U22" t="n">
        <v>12</v>
      </c>
      <c r="V22" s="2" t="inlineStr">
        <is>
          <t>Garnlav
Knärot
Kolflarnlav
Tretåig hackspett</t>
        </is>
      </c>
      <c r="W22">
        <f>HYPERLINK("https://klasma.github.io/Logging_2021/artfynd/A 33003-2025 artfynd.xlsx", "A 33003-2025")</f>
        <v/>
      </c>
      <c r="X22">
        <f>HYPERLINK("https://klasma.github.io/Logging_2021/kartor/A 33003-2025 karta.png", "A 33003-2025")</f>
        <v/>
      </c>
      <c r="Y22">
        <f>HYPERLINK("https://klasma.github.io/Logging_2021/kartor_geotiff/A 33003-2025 georefererad karta.tif", "A 33003-2025")</f>
        <v/>
      </c>
      <c r="Z22">
        <f>HYPERLINK("https://klasma.github.io/Logging_2021/knärot/A 33003-2025 karta knärot.png", "A 33003-2025")</f>
        <v/>
      </c>
      <c r="AA22">
        <f>HYPERLINK("https://klasma.github.io/Logging_2021/klagomål/A 33003-2025 FSC-klagomål.docx", "A 33003-2025")</f>
        <v/>
      </c>
      <c r="AB22">
        <f>HYPERLINK("https://klasma.github.io/Logging_2021/klagomålsmail/A 33003-2025 FSC-klagomål mail.docx", "A 33003-2025")</f>
        <v/>
      </c>
      <c r="AC22">
        <f>HYPERLINK("https://klasma.github.io/Logging_2021/tillsyn/A 33003-2025 tillsynsbegäran.docx", "A 33003-2025")</f>
        <v/>
      </c>
      <c r="AD22">
        <f>HYPERLINK("https://klasma.github.io/Logging_2021/tillsynsmail/A 33003-2025 tillsynsbegäran mail.docx", "A 33003-2025")</f>
        <v/>
      </c>
      <c r="AE22">
        <f>HYPERLINK("https://klasma.github.io/Logging_2021/fåglar/A 33003-2025 prioriterade fågelarter.docx", "A 33003-2025")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46267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46267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46267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46267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3854-2024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46267</v>
      </c>
      <c r="F27" t="inlineStr">
        <is>
          <t>DALARNAS LÄN</t>
        </is>
      </c>
      <c r="G27" t="inlineStr">
        <is>
          <t>VANSBRO</t>
        </is>
      </c>
      <c r="H27" t="inlineStr">
        <is>
          <t>Kyrkan</t>
        </is>
      </c>
      <c r="I27" t="n">
        <v>4.6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3</v>
      </c>
      <c r="V27" s="2" t="inlineStr">
        <is>
          <t>Garnlav
Tretåig hackspett
Björksplintborre
Utter</t>
        </is>
      </c>
      <c r="W27">
        <f>HYPERLINK("https://klasma.github.io/Logging_2021/artfynd/A 3854-2024 artfynd.xlsx", "A 3854-2024")</f>
        <v/>
      </c>
      <c r="X27">
        <f>HYPERLINK("https://klasma.github.io/Logging_2021/kartor/A 3854-2024 karta.png", "A 3854-2024")</f>
        <v/>
      </c>
      <c r="Y27">
        <f>HYPERLINK("https://klasma.github.io/Logging_2021/kartor_geotiff/A 3854-2024 georefererad karta.tif", "A 3854-2024")</f>
        <v/>
      </c>
      <c r="AA27">
        <f>HYPERLINK("https://klasma.github.io/Logging_2021/klagomål/A 3854-2024 FSC-klagomål.docx", "A 3854-2024")</f>
        <v/>
      </c>
      <c r="AB27">
        <f>HYPERLINK("https://klasma.github.io/Logging_2021/klagomålsmail/A 3854-2024 FSC-klagomål mail.docx", "A 3854-2024")</f>
        <v/>
      </c>
      <c r="AC27">
        <f>HYPERLINK("https://klasma.github.io/Logging_2021/tillsyn/A 3854-2024 tillsynsbegäran.docx", "A 3854-2024")</f>
        <v/>
      </c>
      <c r="AD27">
        <f>HYPERLINK("https://klasma.github.io/Logging_2021/tillsynsmail/A 3854-2024 tillsynsbegäran mail.docx", "A 3854-2024")</f>
        <v/>
      </c>
      <c r="AE27">
        <f>HYPERLINK("https://klasma.github.io/Logging_2021/fåglar/A 3854-2024 prioriterade fågelarter.docx", "A 3854-2024")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46267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46267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46267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46267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46267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46267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1691-2026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46267</v>
      </c>
      <c r="F34" t="inlineStr">
        <is>
          <t>DALARNAS LÄN</t>
        </is>
      </c>
      <c r="G34" t="inlineStr">
        <is>
          <t>VANSBRO</t>
        </is>
      </c>
      <c r="I34" t="n">
        <v>6.3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Dropptaggsvamp
Motaggsvamp</t>
        </is>
      </c>
      <c r="W34">
        <f>HYPERLINK("https://klasma.github.io/Logging_2021/artfynd/A 1691-2026 artfynd.xlsx", "A 1691-2026")</f>
        <v/>
      </c>
      <c r="X34">
        <f>HYPERLINK("https://klasma.github.io/Logging_2021/kartor/A 1691-2026 karta.png", "A 1691-2026")</f>
        <v/>
      </c>
      <c r="Y34">
        <f>HYPERLINK("https://klasma.github.io/Logging_2021/kartor_geotiff/A 1691-2026 georefererad karta.tif", "A 1691-2026")</f>
        <v/>
      </c>
      <c r="AA34">
        <f>HYPERLINK("https://klasma.github.io/Logging_2021/klagomål/A 1691-2026 FSC-klagomål.docx", "A 1691-2026")</f>
        <v/>
      </c>
      <c r="AB34">
        <f>HYPERLINK("https://klasma.github.io/Logging_2021/klagomålsmail/A 1691-2026 FSC-klagomål mail.docx", "A 1691-2026")</f>
        <v/>
      </c>
      <c r="AC34">
        <f>HYPERLINK("https://klasma.github.io/Logging_2021/tillsyn/A 1691-2026 tillsynsbegäran.docx", "A 1691-2026")</f>
        <v/>
      </c>
      <c r="AD34">
        <f>HYPERLINK("https://klasma.github.io/Logging_2021/tillsynsmail/A 1691-2026 tillsynsbegäran mail.docx", "A 1691-2026")</f>
        <v/>
      </c>
    </row>
    <row r="35" ht="15" customHeight="1">
      <c r="A35" t="inlineStr">
        <is>
          <t>A 14475-2024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45394</v>
      </c>
      <c r="E35" s="1" t="n">
        <v>46267</v>
      </c>
      <c r="F35" t="inlineStr">
        <is>
          <t>DALARNAS LÄN</t>
        </is>
      </c>
      <c r="G35" t="inlineStr">
        <is>
          <t>VANSBRO</t>
        </is>
      </c>
      <c r="I35" t="n">
        <v>20.4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3</v>
      </c>
      <c r="U35" t="n">
        <v>3</v>
      </c>
      <c r="V35" s="2" t="inlineStr">
        <is>
          <t>Garnlav
Dropptaggsvamp</t>
        </is>
      </c>
      <c r="W35">
        <f>HYPERLINK("https://klasma.github.io/Logging_2021/artfynd/A 14475-2024 artfynd.xlsx", "A 14475-2024")</f>
        <v/>
      </c>
      <c r="X35">
        <f>HYPERLINK("https://klasma.github.io/Logging_2021/kartor/A 14475-2024 karta.png", "A 14475-2024")</f>
        <v/>
      </c>
      <c r="Y35">
        <f>HYPERLINK("https://klasma.github.io/Logging_2021/kartor_geotiff/A 14475-2024 georefererad karta.tif", "A 14475-2024")</f>
        <v/>
      </c>
      <c r="AA35">
        <f>HYPERLINK("https://klasma.github.io/Logging_2021/klagomål/A 14475-2024 FSC-klagomål.docx", "A 14475-2024")</f>
        <v/>
      </c>
      <c r="AB35">
        <f>HYPERLINK("https://klasma.github.io/Logging_2021/klagomålsmail/A 14475-2024 FSC-klagomål mail.docx", "A 14475-2024")</f>
        <v/>
      </c>
      <c r="AC35">
        <f>HYPERLINK("https://klasma.github.io/Logging_2021/tillsyn/A 14475-2024 tillsynsbegäran.docx", "A 14475-2024")</f>
        <v/>
      </c>
      <c r="AD35">
        <f>HYPERLINK("https://klasma.github.io/Logging_2021/tillsynsmail/A 14475-2024 tillsynsbegäran mail.docx", "A 14475-2024")</f>
        <v/>
      </c>
    </row>
    <row r="36" ht="15" customHeight="1">
      <c r="A36" t="inlineStr">
        <is>
          <t>A 19656-2026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46134</v>
      </c>
      <c r="E36" s="1" t="n">
        <v>46267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väst AB</t>
        </is>
      </c>
      <c r="I36" t="n">
        <v>18.2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Ängsblåvinge
Berggräsfjäril</t>
        </is>
      </c>
      <c r="W36">
        <f>HYPERLINK("https://klasma.github.io/Logging_2021/artfynd/A 19656-2026 artfynd.xlsx", "A 19656-2026")</f>
        <v/>
      </c>
      <c r="X36">
        <f>HYPERLINK("https://klasma.github.io/Logging_2021/kartor/A 19656-2026 karta.png", "A 19656-2026")</f>
        <v/>
      </c>
      <c r="Y36">
        <f>HYPERLINK("https://klasma.github.io/Logging_2021/kartor_geotiff/A 19656-2026 georefererad karta.tif", "A 19656-2026")</f>
        <v/>
      </c>
      <c r="AA36">
        <f>HYPERLINK("https://klasma.github.io/Logging_2021/klagomål/A 19656-2026 FSC-klagomål.docx", "A 19656-2026")</f>
        <v/>
      </c>
      <c r="AB36">
        <f>HYPERLINK("https://klasma.github.io/Logging_2021/klagomålsmail/A 19656-2026 FSC-klagomål mail.docx", "A 19656-2026")</f>
        <v/>
      </c>
      <c r="AC36">
        <f>HYPERLINK("https://klasma.github.io/Logging_2021/tillsyn/A 19656-2026 tillsynsbegäran.docx", "A 19656-2026")</f>
        <v/>
      </c>
      <c r="AD36">
        <f>HYPERLINK("https://klasma.github.io/Logging_2021/tillsynsmail/A 19656-2026 tillsynsbegäran mail.docx", "A 19656-2026")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46267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46267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50688-2021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46267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Rynkskinn</t>
        </is>
      </c>
      <c r="W39">
        <f>HYPERLINK("https://klasma.github.io/Logging_2021/artfynd/A 50688-2021 artfynd.xlsx", "A 50688-2021")</f>
        <v/>
      </c>
      <c r="X39">
        <f>HYPERLINK("https://klasma.github.io/Logging_2021/kartor/A 50688-2021 karta.png", "A 50688-2021")</f>
        <v/>
      </c>
      <c r="Y39">
        <f>HYPERLINK("https://klasma.github.io/Logging_2021/kartor_geotiff/A 50688-2021 georefererad karta.tif", "A 50688-2021")</f>
        <v/>
      </c>
      <c r="AA39">
        <f>HYPERLINK("https://klasma.github.io/Logging_2021/klagomål/A 50688-2021 FSC-klagomål.docx", "A 50688-2021")</f>
        <v/>
      </c>
      <c r="AB39">
        <f>HYPERLINK("https://klasma.github.io/Logging_2021/klagomålsmail/A 50688-2021 FSC-klagomål mail.docx", "A 50688-2021")</f>
        <v/>
      </c>
      <c r="AC39">
        <f>HYPERLINK("https://klasma.github.io/Logging_2021/tillsyn/A 50688-2021 tillsynsbegäran.docx", "A 50688-2021")</f>
        <v/>
      </c>
      <c r="AD39">
        <f>HYPERLINK("https://klasma.github.io/Logging_2021/tillsynsmail/A 50688-2021 tillsynsbegäran mail.docx", "A 50688-2021")</f>
        <v/>
      </c>
    </row>
    <row r="40" ht="15" customHeight="1">
      <c r="A40" t="inlineStr">
        <is>
          <t>A 51579-2021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44462</v>
      </c>
      <c r="E40" s="1" t="n">
        <v>46267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14.3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Kolflarnlav</t>
        </is>
      </c>
      <c r="W40">
        <f>HYPERLINK("https://klasma.github.io/Logging_2021/artfynd/A 51579-2021 artfynd.xlsx", "A 51579-2021")</f>
        <v/>
      </c>
      <c r="X40">
        <f>HYPERLINK("https://klasma.github.io/Logging_2021/kartor/A 51579-2021 karta.png", "A 51579-2021")</f>
        <v/>
      </c>
      <c r="Y40">
        <f>HYPERLINK("https://klasma.github.io/Logging_2021/kartor_geotiff/A 51579-2021 georefererad karta.tif", "A 51579-2021")</f>
        <v/>
      </c>
      <c r="AA40">
        <f>HYPERLINK("https://klasma.github.io/Logging_2021/klagomål/A 51579-2021 FSC-klagomål.docx", "A 51579-2021")</f>
        <v/>
      </c>
      <c r="AB40">
        <f>HYPERLINK("https://klasma.github.io/Logging_2021/klagomålsmail/A 51579-2021 FSC-klagomål mail.docx", "A 51579-2021")</f>
        <v/>
      </c>
      <c r="AC40">
        <f>HYPERLINK("https://klasma.github.io/Logging_2021/tillsyn/A 51579-2021 tillsynsbegäran.docx", "A 51579-2021")</f>
        <v/>
      </c>
      <c r="AD40">
        <f>HYPERLINK("https://klasma.github.io/Logging_2021/tillsynsmail/A 51579-2021 tillsynsbegäran mail.docx", "A 51579-2021")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46267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3918-2026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46267</v>
      </c>
      <c r="F42" t="inlineStr">
        <is>
          <t>DALARNAS LÄN</t>
        </is>
      </c>
      <c r="G42" t="inlineStr">
        <is>
          <t>VANSBRO</t>
        </is>
      </c>
      <c r="I42" t="n">
        <v>6.2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Duvhök</t>
        </is>
      </c>
      <c r="W42">
        <f>HYPERLINK("https://klasma.github.io/Logging_2021/artfynd/A 3918-2026 artfynd.xlsx", "A 3918-2026")</f>
        <v/>
      </c>
      <c r="X42">
        <f>HYPERLINK("https://klasma.github.io/Logging_2021/kartor/A 3918-2026 karta.png", "A 3918-2026")</f>
        <v/>
      </c>
      <c r="Y42">
        <f>HYPERLINK("https://klasma.github.io/Logging_2021/kartor_geotiff/A 3918-2026 georefererad karta.tif", "A 3918-2026")</f>
        <v/>
      </c>
      <c r="AA42">
        <f>HYPERLINK("https://klasma.github.io/Logging_2021/klagomål/A 3918-2026 FSC-klagomål.docx", "A 3918-2026")</f>
        <v/>
      </c>
      <c r="AB42">
        <f>HYPERLINK("https://klasma.github.io/Logging_2021/klagomålsmail/A 3918-2026 FSC-klagomål mail.docx", "A 3918-2026")</f>
        <v/>
      </c>
      <c r="AC42">
        <f>HYPERLINK("https://klasma.github.io/Logging_2021/tillsyn/A 3918-2026 tillsynsbegäran.docx", "A 3918-2026")</f>
        <v/>
      </c>
      <c r="AD42">
        <f>HYPERLINK("https://klasma.github.io/Logging_2021/tillsynsmail/A 3918-2026 tillsynsbegäran mail.docx", "A 3918-2026")</f>
        <v/>
      </c>
      <c r="AE42">
        <f>HYPERLINK("https://klasma.github.io/Logging_2021/fåglar/A 3918-2026 prioriterade fågelarter.docx", "A 3918-2026")</f>
        <v/>
      </c>
    </row>
    <row r="43" ht="15" customHeight="1">
      <c r="A43" t="inlineStr">
        <is>
          <t>A 32917-2025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45839</v>
      </c>
      <c r="E43" s="1" t="n">
        <v>46267</v>
      </c>
      <c r="F43" t="inlineStr">
        <is>
          <t>DALARNAS LÄN</t>
        </is>
      </c>
      <c r="G43" t="inlineStr">
        <is>
          <t>VANSBRO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Garnlav</t>
        </is>
      </c>
      <c r="W43">
        <f>HYPERLINK("https://klasma.github.io/Logging_2021/artfynd/A 32917-2025 artfynd.xlsx", "A 32917-2025")</f>
        <v/>
      </c>
      <c r="X43">
        <f>HYPERLINK("https://klasma.github.io/Logging_2021/kartor/A 32917-2025 karta.png", "A 32917-2025")</f>
        <v/>
      </c>
      <c r="Y43">
        <f>HYPERLINK("https://klasma.github.io/Logging_2021/kartor_geotiff/A 32917-2025 georefererad karta.tif", "A 32917-2025")</f>
        <v/>
      </c>
      <c r="AA43">
        <f>HYPERLINK("https://klasma.github.io/Logging_2021/klagomål/A 32917-2025 FSC-klagomål.docx", "A 32917-2025")</f>
        <v/>
      </c>
      <c r="AB43">
        <f>HYPERLINK("https://klasma.github.io/Logging_2021/klagomålsmail/A 32917-2025 FSC-klagomål mail.docx", "A 32917-2025")</f>
        <v/>
      </c>
      <c r="AC43">
        <f>HYPERLINK("https://klasma.github.io/Logging_2021/tillsyn/A 32917-2025 tillsynsbegäran.docx", "A 32917-2025")</f>
        <v/>
      </c>
      <c r="AD43">
        <f>HYPERLINK("https://klasma.github.io/Logging_2021/tillsynsmail/A 32917-2025 tillsynsbegäran mail.docx", "A 32917-2025")</f>
        <v/>
      </c>
    </row>
    <row r="44" ht="15" customHeight="1">
      <c r="A44" t="inlineStr">
        <is>
          <t>A 5659-2026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46051</v>
      </c>
      <c r="E44" s="1" t="n">
        <v>46267</v>
      </c>
      <c r="F44" t="inlineStr">
        <is>
          <t>DALARNAS LÄN</t>
        </is>
      </c>
      <c r="G44" t="inlineStr">
        <is>
          <t>VANSBRO</t>
        </is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rörsvepemossa</t>
        </is>
      </c>
      <c r="W44">
        <f>HYPERLINK("https://klasma.github.io/Logging_2021/artfynd/A 5659-2026 artfynd.xlsx", "A 5659-2026")</f>
        <v/>
      </c>
      <c r="X44">
        <f>HYPERLINK("https://klasma.github.io/Logging_2021/kartor/A 5659-2026 karta.png", "A 5659-2026")</f>
        <v/>
      </c>
      <c r="Y44">
        <f>HYPERLINK("https://klasma.github.io/Logging_2021/kartor_geotiff/A 5659-2026 georefererad karta.tif", "A 5659-2026")</f>
        <v/>
      </c>
      <c r="Z44">
        <f>HYPERLINK("https://klasma.github.io/Logging_2021/knärot/A 5659-2026 karta knärot.png", "A 5659-2026")</f>
        <v/>
      </c>
      <c r="AA44">
        <f>HYPERLINK("https://klasma.github.io/Logging_2021/klagomål/A 5659-2026 FSC-klagomål.docx", "A 5659-2026")</f>
        <v/>
      </c>
      <c r="AB44">
        <f>HYPERLINK("https://klasma.github.io/Logging_2021/klagomålsmail/A 5659-2026 FSC-klagomål mail.docx", "A 5659-2026")</f>
        <v/>
      </c>
      <c r="AC44">
        <f>HYPERLINK("https://klasma.github.io/Logging_2021/tillsyn/A 5659-2026 tillsynsbegäran.docx", "A 5659-2026")</f>
        <v/>
      </c>
      <c r="AD44">
        <f>HYPERLINK("https://klasma.github.io/Logging_2021/tillsynsmail/A 5659-2026 tillsynsbegäran mail.docx", "A 5659-2026")</f>
        <v/>
      </c>
    </row>
    <row r="45" ht="15" customHeight="1">
      <c r="A45" t="inlineStr">
        <is>
          <t>A 48109-2025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45933</v>
      </c>
      <c r="E45" s="1" t="n">
        <v>46267</v>
      </c>
      <c r="F45" t="inlineStr">
        <is>
          <t>DALARNAS LÄN</t>
        </is>
      </c>
      <c r="G45" t="inlineStr">
        <is>
          <t>VANSBRO</t>
        </is>
      </c>
      <c r="I45" t="n">
        <v>0.8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Gränsticka</t>
        </is>
      </c>
      <c r="W45">
        <f>HYPERLINK("https://klasma.github.io/Logging_2021/artfynd/A 48109-2025 artfynd.xlsx", "A 48109-2025")</f>
        <v/>
      </c>
      <c r="X45">
        <f>HYPERLINK("https://klasma.github.io/Logging_2021/kartor/A 48109-2025 karta.png", "A 48109-2025")</f>
        <v/>
      </c>
      <c r="Y45">
        <f>HYPERLINK("https://klasma.github.io/Logging_2021/kartor_geotiff/A 48109-2025 georefererad karta.tif", "A 48109-2025")</f>
        <v/>
      </c>
      <c r="AA45">
        <f>HYPERLINK("https://klasma.github.io/Logging_2021/klagomål/A 48109-2025 FSC-klagomål.docx", "A 48109-2025")</f>
        <v/>
      </c>
      <c r="AB45">
        <f>HYPERLINK("https://klasma.github.io/Logging_2021/klagomålsmail/A 48109-2025 FSC-klagomål mail.docx", "A 48109-2025")</f>
        <v/>
      </c>
      <c r="AC45">
        <f>HYPERLINK("https://klasma.github.io/Logging_2021/tillsyn/A 48109-2025 tillsynsbegäran.docx", "A 48109-2025")</f>
        <v/>
      </c>
      <c r="AD45">
        <f>HYPERLINK("https://klasma.github.io/Logging_2021/tillsynsmail/A 48109-2025 tillsynsbegäran mail.docx", "A 48109-2025")</f>
        <v/>
      </c>
    </row>
    <row r="46" ht="15" customHeight="1">
      <c r="A46" t="inlineStr">
        <is>
          <t>A 37219-2024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45539</v>
      </c>
      <c r="E46" s="1" t="n">
        <v>46267</v>
      </c>
      <c r="F46" t="inlineStr">
        <is>
          <t>DALARNAS LÄN</t>
        </is>
      </c>
      <c r="G46" t="inlineStr">
        <is>
          <t>VANSBRO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Tjäder</t>
        </is>
      </c>
      <c r="W46">
        <f>HYPERLINK("https://klasma.github.io/Logging_2021/artfynd/A 37219-2024 artfynd.xlsx", "A 37219-2024")</f>
        <v/>
      </c>
      <c r="X46">
        <f>HYPERLINK("https://klasma.github.io/Logging_2021/kartor/A 37219-2024 karta.png", "A 37219-2024")</f>
        <v/>
      </c>
      <c r="Y46">
        <f>HYPERLINK("https://klasma.github.io/Logging_2021/kartor_geotiff/A 37219-2024 georefererad karta.tif", "A 37219-2024")</f>
        <v/>
      </c>
      <c r="AA46">
        <f>HYPERLINK("https://klasma.github.io/Logging_2021/klagomål/A 37219-2024 FSC-klagomål.docx", "A 37219-2024")</f>
        <v/>
      </c>
      <c r="AB46">
        <f>HYPERLINK("https://klasma.github.io/Logging_2021/klagomålsmail/A 37219-2024 FSC-klagomål mail.docx", "A 37219-2024")</f>
        <v/>
      </c>
      <c r="AC46">
        <f>HYPERLINK("https://klasma.github.io/Logging_2021/tillsyn/A 37219-2024 tillsynsbegäran.docx", "A 37219-2024")</f>
        <v/>
      </c>
      <c r="AD46">
        <f>HYPERLINK("https://klasma.github.io/Logging_2021/tillsynsmail/A 37219-2024 tillsynsbegäran mail.docx", "A 37219-2024")</f>
        <v/>
      </c>
      <c r="AE46">
        <f>HYPERLINK("https://klasma.github.io/Logging_2021/fåglar/A 37219-2024 prioriterade fågelarter.docx", "A 37219-2024")</f>
        <v/>
      </c>
    </row>
    <row r="47" ht="15" customHeight="1">
      <c r="A47" t="inlineStr">
        <is>
          <t>A 20076-2026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46136</v>
      </c>
      <c r="E47" s="1" t="n">
        <v>46267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öst AB</t>
        </is>
      </c>
      <c r="I47" t="n">
        <v>13.2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Kransrams</t>
        </is>
      </c>
      <c r="W47">
        <f>HYPERLINK("https://klasma.github.io/Logging_2021/artfynd/A 20076-2026 artfynd.xlsx", "A 20076-2026")</f>
        <v/>
      </c>
      <c r="X47">
        <f>HYPERLINK("https://klasma.github.io/Logging_2021/kartor/A 20076-2026 karta.png", "A 20076-2026")</f>
        <v/>
      </c>
      <c r="Y47">
        <f>HYPERLINK("https://klasma.github.io/Logging_2021/kartor_geotiff/A 20076-2026 georefererad karta.tif", "A 20076-2026")</f>
        <v/>
      </c>
      <c r="AA47">
        <f>HYPERLINK("https://klasma.github.io/Logging_2021/klagomål/A 20076-2026 FSC-klagomål.docx", "A 20076-2026")</f>
        <v/>
      </c>
      <c r="AB47">
        <f>HYPERLINK("https://klasma.github.io/Logging_2021/klagomålsmail/A 20076-2026 FSC-klagomål mail.docx", "A 20076-2026")</f>
        <v/>
      </c>
      <c r="AC47">
        <f>HYPERLINK("https://klasma.github.io/Logging_2021/tillsyn/A 20076-2026 tillsynsbegäran.docx", "A 20076-2026")</f>
        <v/>
      </c>
      <c r="AD47">
        <f>HYPERLINK("https://klasma.github.io/Logging_2021/tillsynsmail/A 20076-2026 tillsynsbegäran mail.docx", "A 20076-2026")</f>
        <v/>
      </c>
    </row>
    <row r="48" ht="15" customHeight="1">
      <c r="A48" t="inlineStr">
        <is>
          <t>A 52675-2025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45956</v>
      </c>
      <c r="E48" s="1" t="n">
        <v>46267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4.5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Motaggsvamp</t>
        </is>
      </c>
      <c r="W48">
        <f>HYPERLINK("https://klasma.github.io/Logging_2021/artfynd/A 52675-2025 artfynd.xlsx", "A 52675-2025")</f>
        <v/>
      </c>
      <c r="X48">
        <f>HYPERLINK("https://klasma.github.io/Logging_2021/kartor/A 52675-2025 karta.png", "A 52675-2025")</f>
        <v/>
      </c>
      <c r="Y48">
        <f>HYPERLINK("https://klasma.github.io/Logging_2021/kartor_geotiff/A 52675-2025 georefererad karta.tif", "A 52675-2025")</f>
        <v/>
      </c>
      <c r="AA48">
        <f>HYPERLINK("https://klasma.github.io/Logging_2021/klagomål/A 52675-2025 FSC-klagomål.docx", "A 52675-2025")</f>
        <v/>
      </c>
      <c r="AB48">
        <f>HYPERLINK("https://klasma.github.io/Logging_2021/klagomålsmail/A 52675-2025 FSC-klagomål mail.docx", "A 52675-2025")</f>
        <v/>
      </c>
      <c r="AC48">
        <f>HYPERLINK("https://klasma.github.io/Logging_2021/tillsyn/A 52675-2025 tillsynsbegäran.docx", "A 52675-2025")</f>
        <v/>
      </c>
      <c r="AD48">
        <f>HYPERLINK("https://klasma.github.io/Logging_2021/tillsynsmail/A 52675-2025 tillsynsbegäran mail.docx", "A 52675-2025")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46267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26756-2026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46267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11.4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Talltita</t>
        </is>
      </c>
      <c r="W50">
        <f>HYPERLINK("https://klasma.github.io/Logging_2021/artfynd/A 26756-2026 artfynd.xlsx", "A 26756-2026")</f>
        <v/>
      </c>
      <c r="X50">
        <f>HYPERLINK("https://klasma.github.io/Logging_2021/kartor/A 26756-2026 karta.png", "A 26756-2026")</f>
        <v/>
      </c>
      <c r="Y50">
        <f>HYPERLINK("https://klasma.github.io/Logging_2021/kartor_geotiff/A 26756-2026 georefererad karta.tif", "A 26756-2026")</f>
        <v/>
      </c>
      <c r="AA50">
        <f>HYPERLINK("https://klasma.github.io/Logging_2021/klagomål/A 26756-2026 FSC-klagomål.docx", "A 26756-2026")</f>
        <v/>
      </c>
      <c r="AB50">
        <f>HYPERLINK("https://klasma.github.io/Logging_2021/klagomålsmail/A 26756-2026 FSC-klagomål mail.docx", "A 26756-2026")</f>
        <v/>
      </c>
      <c r="AC50">
        <f>HYPERLINK("https://klasma.github.io/Logging_2021/tillsyn/A 26756-2026 tillsynsbegäran.docx", "A 26756-2026")</f>
        <v/>
      </c>
      <c r="AD50">
        <f>HYPERLINK("https://klasma.github.io/Logging_2021/tillsynsmail/A 26756-2026 tillsynsbegäran mail.docx", "A 26756-2026")</f>
        <v/>
      </c>
      <c r="AE50">
        <f>HYPERLINK("https://klasma.github.io/Logging_2021/fåglar/A 26756-2026 prioriterade fågelarter.docx", "A 26756-2026")</f>
        <v/>
      </c>
    </row>
    <row r="51" ht="15" customHeight="1">
      <c r="A51" t="inlineStr">
        <is>
          <t>A 54453-2024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45617</v>
      </c>
      <c r="E51" s="1" t="n">
        <v>46267</v>
      </c>
      <c r="F51" t="inlineStr">
        <is>
          <t>DALARNAS LÄN</t>
        </is>
      </c>
      <c r="G51" t="inlineStr">
        <is>
          <t>VANSBRO</t>
        </is>
      </c>
      <c r="I51" t="n">
        <v>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Skarp dropptaggsvamp</t>
        </is>
      </c>
      <c r="W51">
        <f>HYPERLINK("https://klasma.github.io/Logging_2021/artfynd/A 54453-2024 artfynd.xlsx", "A 54453-2024")</f>
        <v/>
      </c>
      <c r="X51">
        <f>HYPERLINK("https://klasma.github.io/Logging_2021/kartor/A 54453-2024 karta.png", "A 54453-2024")</f>
        <v/>
      </c>
      <c r="Y51">
        <f>HYPERLINK("https://klasma.github.io/Logging_2021/kartor_geotiff/A 54453-2024 georefererad karta.tif", "A 54453-2024")</f>
        <v/>
      </c>
      <c r="AA51">
        <f>HYPERLINK("https://klasma.github.io/Logging_2021/klagomål/A 54453-2024 FSC-klagomål.docx", "A 54453-2024")</f>
        <v/>
      </c>
      <c r="AB51">
        <f>HYPERLINK("https://klasma.github.io/Logging_2021/klagomålsmail/A 54453-2024 FSC-klagomål mail.docx", "A 54453-2024")</f>
        <v/>
      </c>
      <c r="AC51">
        <f>HYPERLINK("https://klasma.github.io/Logging_2021/tillsyn/A 54453-2024 tillsynsbegäran.docx", "A 54453-2024")</f>
        <v/>
      </c>
      <c r="AD51">
        <f>HYPERLINK("https://klasma.github.io/Logging_2021/tillsynsmail/A 54453-2024 tillsynsbegäran mail.docx", "A 54453-2024")</f>
        <v/>
      </c>
    </row>
    <row r="52" ht="15" customHeight="1">
      <c r="A52" t="inlineStr">
        <is>
          <t>A 33250-2024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46267</v>
      </c>
      <c r="F52" t="inlineStr">
        <is>
          <t>DALARNAS LÄN</t>
        </is>
      </c>
      <c r="G52" t="inlineStr">
        <is>
          <t>VANSBRO</t>
        </is>
      </c>
      <c r="I52" t="n">
        <v>6.8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Reliktbock</t>
        </is>
      </c>
      <c r="W52">
        <f>HYPERLINK("https://klasma.github.io/Logging_2021/artfynd/A 33250-2024 artfynd.xlsx", "A 33250-2024")</f>
        <v/>
      </c>
      <c r="X52">
        <f>HYPERLINK("https://klasma.github.io/Logging_2021/kartor/A 33250-2024 karta.png", "A 33250-2024")</f>
        <v/>
      </c>
      <c r="Y52">
        <f>HYPERLINK("https://klasma.github.io/Logging_2021/kartor_geotiff/A 33250-2024 georefererad karta.tif", "A 33250-2024")</f>
        <v/>
      </c>
      <c r="AA52">
        <f>HYPERLINK("https://klasma.github.io/Logging_2021/klagomål/A 33250-2024 FSC-klagomål.docx", "A 33250-2024")</f>
        <v/>
      </c>
      <c r="AB52">
        <f>HYPERLINK("https://klasma.github.io/Logging_2021/klagomålsmail/A 33250-2024 FSC-klagomål mail.docx", "A 33250-2024")</f>
        <v/>
      </c>
      <c r="AC52">
        <f>HYPERLINK("https://klasma.github.io/Logging_2021/tillsyn/A 33250-2024 tillsynsbegäran.docx", "A 33250-2024")</f>
        <v/>
      </c>
      <c r="AD52">
        <f>HYPERLINK("https://klasma.github.io/Logging_2021/tillsynsmail/A 33250-2024 tillsynsbegäran mail.docx", "A 33250-2024")</f>
        <v/>
      </c>
    </row>
    <row r="53" ht="15" customHeight="1">
      <c r="A53" t="inlineStr">
        <is>
          <t>A 35533-2026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46262</v>
      </c>
      <c r="E53" s="1" t="n">
        <v>46267</v>
      </c>
      <c r="F53" t="inlineStr">
        <is>
          <t>DALARNAS LÄN</t>
        </is>
      </c>
      <c r="G53" t="inlineStr">
        <is>
          <t>VANSBRO</t>
        </is>
      </c>
      <c r="I53" t="n">
        <v>1.3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HYPERLINK("https://klasma.github.io/Logging_2021/artfynd/A 35533-2026 artfynd.xlsx", "A 35533-2026")</f>
        <v/>
      </c>
      <c r="X53">
        <f>HYPERLINK("https://klasma.github.io/Logging_2021/kartor/A 35533-2026 karta.png", "A 35533-2026")</f>
        <v/>
      </c>
      <c r="Y53">
        <f>HYPERLINK("https://klasma.github.io/Logging_2021/kartor_geotiff/A 35533-2026 georefererad karta.tif", "A 35533-2026")</f>
        <v/>
      </c>
      <c r="Z53">
        <f>HYPERLINK("https://klasma.github.io/Logging_2021/knärot/A 35533-2026 karta knärot.png", "A 35533-2026")</f>
        <v/>
      </c>
      <c r="AA53">
        <f>HYPERLINK("https://klasma.github.io/Logging_2021/klagomål/A 35533-2026 FSC-klagomål.docx", "A 35533-2026")</f>
        <v/>
      </c>
      <c r="AB53">
        <f>HYPERLINK("https://klasma.github.io/Logging_2021/klagomålsmail/A 35533-2026 FSC-klagomål mail.docx", "A 35533-2026")</f>
        <v/>
      </c>
      <c r="AC53">
        <f>HYPERLINK("https://klasma.github.io/Logging_2021/tillsyn/A 35533-2026 tillsynsbegäran.docx", "A 35533-2026")</f>
        <v/>
      </c>
      <c r="AD53">
        <f>HYPERLINK("https://klasma.github.io/Logging_2021/tillsynsmail/A 35533-2026 tillsynsbegäran mail.docx", "A 35533-2026")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46267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46267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46267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46267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46267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46267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66705-2021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46267</v>
      </c>
      <c r="F60" t="inlineStr">
        <is>
          <t>DALARNAS LÄN</t>
        </is>
      </c>
      <c r="G60" t="inlineStr">
        <is>
          <t>VANSBRO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46267</v>
      </c>
      <c r="F61" t="inlineStr">
        <is>
          <t>DALARNAS LÄN</t>
        </is>
      </c>
      <c r="G61" t="inlineStr">
        <is>
          <t>VANSBRO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66717-2021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46267</v>
      </c>
      <c r="F62" t="inlineStr">
        <is>
          <t>DALARNAS LÄN</t>
        </is>
      </c>
      <c r="G62" t="inlineStr">
        <is>
          <t>VANSBRO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44708</v>
      </c>
      <c r="E63" s="1" t="n">
        <v>46267</v>
      </c>
      <c r="F63" t="inlineStr">
        <is>
          <t>DALARNAS LÄN</t>
        </is>
      </c>
      <c r="G63" t="inlineStr">
        <is>
          <t>VANSBRO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46267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46267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46267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46267</v>
      </c>
      <c r="F67" t="inlineStr">
        <is>
          <t>DALARNAS LÄN</t>
        </is>
      </c>
      <c r="G67" t="inlineStr">
        <is>
          <t>VANSBRO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46267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44826</v>
      </c>
      <c r="E69" s="1" t="n">
        <v>46267</v>
      </c>
      <c r="F69" t="inlineStr">
        <is>
          <t>DALARNAS LÄN</t>
        </is>
      </c>
      <c r="G69" t="inlineStr">
        <is>
          <t>VANSBRO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46267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46267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46267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46267</v>
      </c>
      <c r="F73" t="inlineStr">
        <is>
          <t>DALARNAS LÄN</t>
        </is>
      </c>
      <c r="G73" t="inlineStr">
        <is>
          <t>VANSBRO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46267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8890-2022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44614</v>
      </c>
      <c r="E75" s="1" t="n">
        <v>46267</v>
      </c>
      <c r="F75" t="inlineStr">
        <is>
          <t>DALARNAS LÄN</t>
        </is>
      </c>
      <c r="G75" t="inlineStr">
        <is>
          <t>VANSBRO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46267</v>
      </c>
      <c r="F76" t="inlineStr">
        <is>
          <t>DALARNAS LÄN</t>
        </is>
      </c>
      <c r="G76" t="inlineStr">
        <is>
          <t>VANSBRO</t>
        </is>
      </c>
      <c r="H76" t="inlineStr">
        <is>
          <t>Övriga statliga verk och myndigheter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46267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öst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46267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46267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46267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46801-2021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46267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44476</v>
      </c>
      <c r="E82" s="1" t="n">
        <v>46267</v>
      </c>
      <c r="F82" t="inlineStr">
        <is>
          <t>DALARNAS LÄN</t>
        </is>
      </c>
      <c r="G82" t="inlineStr">
        <is>
          <t>VANSBRO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56098-2021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44477</v>
      </c>
      <c r="E83" s="1" t="n">
        <v>46267</v>
      </c>
      <c r="F83" t="inlineStr">
        <is>
          <t>DALARNAS LÄN</t>
        </is>
      </c>
      <c r="G83" t="inlineStr">
        <is>
          <t>VANSBRO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44643</v>
      </c>
      <c r="E84" s="1" t="n">
        <v>46267</v>
      </c>
      <c r="F84" t="inlineStr">
        <is>
          <t>DALARNAS LÄN</t>
        </is>
      </c>
      <c r="G84" t="inlineStr">
        <is>
          <t>VANSBRO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46267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29575-2022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46267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46267</v>
      </c>
      <c r="F87" t="inlineStr">
        <is>
          <t>DALARNAS LÄN</t>
        </is>
      </c>
      <c r="G87" t="inlineStr">
        <is>
          <t>VANSBRO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46267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10012-2024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45363</v>
      </c>
      <c r="E89" s="1" t="n">
        <v>46267</v>
      </c>
      <c r="F89" t="inlineStr">
        <is>
          <t>DALARNAS LÄN</t>
        </is>
      </c>
      <c r="G89" t="inlineStr">
        <is>
          <t>VANSBRO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46267</v>
      </c>
      <c r="F90" t="inlineStr">
        <is>
          <t>DALARNAS LÄN</t>
        </is>
      </c>
      <c r="G90" t="inlineStr">
        <is>
          <t>VANSBRO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44837</v>
      </c>
      <c r="E91" s="1" t="n">
        <v>46267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46267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väst AB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46267</v>
      </c>
      <c r="F93" t="inlineStr">
        <is>
          <t>DALARNAS LÄN</t>
        </is>
      </c>
      <c r="G93" t="inlineStr">
        <is>
          <t>VANSBRO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46267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35943-2024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45533</v>
      </c>
      <c r="E95" s="1" t="n">
        <v>46267</v>
      </c>
      <c r="F95" t="inlineStr">
        <is>
          <t>DALARNAS LÄN</t>
        </is>
      </c>
      <c r="G95" t="inlineStr">
        <is>
          <t>VANSBRO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32383-2024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45512</v>
      </c>
      <c r="E96" s="1" t="n">
        <v>46267</v>
      </c>
      <c r="F96" t="inlineStr">
        <is>
          <t>DALARNAS LÄN</t>
        </is>
      </c>
      <c r="G96" t="inlineStr">
        <is>
          <t>VANSBRO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45588</v>
      </c>
      <c r="E97" s="1" t="n">
        <v>46267</v>
      </c>
      <c r="F97" t="inlineStr">
        <is>
          <t>DALARNAS LÄN</t>
        </is>
      </c>
      <c r="G97" t="inlineStr">
        <is>
          <t>VANSBRO</t>
        </is>
      </c>
      <c r="H97" t="inlineStr">
        <is>
          <t>Övriga statliga verk och myndigheter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53839-2022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44880</v>
      </c>
      <c r="E98" s="1" t="n">
        <v>46267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öst AB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49565-2022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44862</v>
      </c>
      <c r="E99" s="1" t="n">
        <v>46267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72635-2021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46267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väst AB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45222</v>
      </c>
      <c r="E101" s="1" t="n">
        <v>46267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45457</v>
      </c>
      <c r="E102" s="1" t="n">
        <v>46267</v>
      </c>
      <c r="F102" t="inlineStr">
        <is>
          <t>DALARNAS LÄN</t>
        </is>
      </c>
      <c r="G102" t="inlineStr">
        <is>
          <t>VANSBRO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46267</v>
      </c>
      <c r="F103" t="inlineStr">
        <is>
          <t>DALARNAS LÄN</t>
        </is>
      </c>
      <c r="G103" t="inlineStr">
        <is>
          <t>VANSBRO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45443</v>
      </c>
      <c r="E104" s="1" t="n">
        <v>46267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60848-2024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45644</v>
      </c>
      <c r="E105" s="1" t="n">
        <v>46267</v>
      </c>
      <c r="F105" t="inlineStr">
        <is>
          <t>DALARNAS LÄN</t>
        </is>
      </c>
      <c r="G105" t="inlineStr">
        <is>
          <t>VANSBRO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32820-2024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45516</v>
      </c>
      <c r="E106" s="1" t="n">
        <v>46267</v>
      </c>
      <c r="F106" t="inlineStr">
        <is>
          <t>DALARNAS LÄN</t>
        </is>
      </c>
      <c r="G106" t="inlineStr">
        <is>
          <t>VANSBRO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41290-2023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46267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63816-2021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44509</v>
      </c>
      <c r="E108" s="1" t="n">
        <v>46267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17.6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30392-2024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45491</v>
      </c>
      <c r="E109" s="1" t="n">
        <v>46267</v>
      </c>
      <c r="F109" t="inlineStr">
        <is>
          <t>DALARNAS LÄN</t>
        </is>
      </c>
      <c r="G109" t="inlineStr">
        <is>
          <t>VANSBRO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61653-2024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45646</v>
      </c>
      <c r="E110" s="1" t="n">
        <v>46267</v>
      </c>
      <c r="F110" t="inlineStr">
        <is>
          <t>DALARNAS LÄN</t>
        </is>
      </c>
      <c r="G110" t="inlineStr">
        <is>
          <t>VANSBRO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38034-2024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45544</v>
      </c>
      <c r="E111" s="1" t="n">
        <v>46267</v>
      </c>
      <c r="F111" t="inlineStr">
        <is>
          <t>DALARNAS LÄN</t>
        </is>
      </c>
      <c r="G111" t="inlineStr">
        <is>
          <t>VANSBRO</t>
        </is>
      </c>
      <c r="H111" t="inlineStr">
        <is>
          <t>Övriga statliga verk och myndigheter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29492-2023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45106</v>
      </c>
      <c r="E112" s="1" t="n">
        <v>46267</v>
      </c>
      <c r="F112" t="inlineStr">
        <is>
          <t>DALARNAS LÄN</t>
        </is>
      </c>
      <c r="G112" t="inlineStr">
        <is>
          <t>VANSBRO</t>
        </is>
      </c>
      <c r="H112" t="inlineStr">
        <is>
          <t>Bergvik skog väst AB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45807</v>
      </c>
      <c r="E113" s="1" t="n">
        <v>46267</v>
      </c>
      <c r="F113" t="inlineStr">
        <is>
          <t>DALARNAS LÄN</t>
        </is>
      </c>
      <c r="G113" t="inlineStr">
        <is>
          <t>VANSBRO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46267</v>
      </c>
      <c r="F114" t="inlineStr">
        <is>
          <t>DALARNAS LÄN</t>
        </is>
      </c>
      <c r="G114" t="inlineStr">
        <is>
          <t>VANSBRO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3422-2026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46042</v>
      </c>
      <c r="E115" s="1" t="n">
        <v>46267</v>
      </c>
      <c r="F115" t="inlineStr">
        <is>
          <t>DALARNAS LÄN</t>
        </is>
      </c>
      <c r="G115" t="inlineStr">
        <is>
          <t>VANSBRO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26990-2025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46267</v>
      </c>
      <c r="F116" t="inlineStr">
        <is>
          <t>DALARNAS LÄN</t>
        </is>
      </c>
      <c r="G116" t="inlineStr">
        <is>
          <t>VANSBRO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26995-2025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45811</v>
      </c>
      <c r="E117" s="1" t="n">
        <v>46267</v>
      </c>
      <c r="F117" t="inlineStr">
        <is>
          <t>DALARNAS LÄN</t>
        </is>
      </c>
      <c r="G117" t="inlineStr">
        <is>
          <t>VANSBRO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38670-2025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45884</v>
      </c>
      <c r="E118" s="1" t="n">
        <v>46267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45695</v>
      </c>
      <c r="E119" s="1" t="n">
        <v>46267</v>
      </c>
      <c r="F119" t="inlineStr">
        <is>
          <t>DALARNAS LÄN</t>
        </is>
      </c>
      <c r="G119" t="inlineStr">
        <is>
          <t>VANSBRO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46267</v>
      </c>
      <c r="F120" t="inlineStr">
        <is>
          <t>DALARNAS LÄN</t>
        </is>
      </c>
      <c r="G120" t="inlineStr">
        <is>
          <t>VANSBRO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39177-2025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46267</v>
      </c>
      <c r="F121" t="inlineStr">
        <is>
          <t>DALARNAS LÄN</t>
        </is>
      </c>
      <c r="G121" t="inlineStr">
        <is>
          <t>VANSBRO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45183</v>
      </c>
      <c r="E122" s="1" t="n">
        <v>46267</v>
      </c>
      <c r="F122" t="inlineStr">
        <is>
          <t>DALARNAS LÄN</t>
        </is>
      </c>
      <c r="G122" t="inlineStr">
        <is>
          <t>VANSBRO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28469-2025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45819</v>
      </c>
      <c r="E123" s="1" t="n">
        <v>46267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öst AB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46044</v>
      </c>
      <c r="E124" s="1" t="n">
        <v>46267</v>
      </c>
      <c r="F124" t="inlineStr">
        <is>
          <t>DALARNAS LÄN</t>
        </is>
      </c>
      <c r="G124" t="inlineStr">
        <is>
          <t>VANSBRO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45888</v>
      </c>
      <c r="E125" s="1" t="n">
        <v>46267</v>
      </c>
      <c r="F125" t="inlineStr">
        <is>
          <t>DALARNAS LÄN</t>
        </is>
      </c>
      <c r="G125" t="inlineStr">
        <is>
          <t>VANSBRO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46267</v>
      </c>
      <c r="F126" t="inlineStr">
        <is>
          <t>DALARNAS LÄN</t>
        </is>
      </c>
      <c r="G126" t="inlineStr">
        <is>
          <t>VANSBRO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45890</v>
      </c>
      <c r="E127" s="1" t="n">
        <v>46267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45689</v>
      </c>
      <c r="E128" s="1" t="n">
        <v>46267</v>
      </c>
      <c r="F128" t="inlineStr">
        <is>
          <t>DALARNAS LÄN</t>
        </is>
      </c>
      <c r="G128" t="inlineStr">
        <is>
          <t>VANSBRO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39490-2025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45890</v>
      </c>
      <c r="E129" s="1" t="n">
        <v>46267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45832</v>
      </c>
      <c r="E130" s="1" t="n">
        <v>46267</v>
      </c>
      <c r="F130" t="inlineStr">
        <is>
          <t>DALARNAS LÄN</t>
        </is>
      </c>
      <c r="G130" t="inlineStr">
        <is>
          <t>VANSBRO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31499-2025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46267</v>
      </c>
      <c r="F131" t="inlineStr">
        <is>
          <t>DALARNAS LÄN</t>
        </is>
      </c>
      <c r="G131" t="inlineStr">
        <is>
          <t>VANSBRO</t>
        </is>
      </c>
      <c r="I131" t="n">
        <v>27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31489-2025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46267</v>
      </c>
      <c r="F132" t="inlineStr">
        <is>
          <t>DALARNAS LÄN</t>
        </is>
      </c>
      <c r="G132" t="inlineStr">
        <is>
          <t>VANSBRO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51400-2024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45604</v>
      </c>
      <c r="E133" s="1" t="n">
        <v>46267</v>
      </c>
      <c r="F133" t="inlineStr">
        <is>
          <t>DALARNAS LÄN</t>
        </is>
      </c>
      <c r="G133" t="inlineStr">
        <is>
          <t>VANSBRO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32040-2025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45835</v>
      </c>
      <c r="E134" s="1" t="n">
        <v>46267</v>
      </c>
      <c r="F134" t="inlineStr">
        <is>
          <t>DALARNAS LÄN</t>
        </is>
      </c>
      <c r="G134" t="inlineStr">
        <is>
          <t>VANSBRO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40884-2025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45897</v>
      </c>
      <c r="E135" s="1" t="n">
        <v>46267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öst AB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45772</v>
      </c>
      <c r="E136" s="1" t="n">
        <v>46267</v>
      </c>
      <c r="F136" t="inlineStr">
        <is>
          <t>DALARNAS LÄN</t>
        </is>
      </c>
      <c r="G136" t="inlineStr">
        <is>
          <t>VANSBRO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33109-2025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45840</v>
      </c>
      <c r="E137" s="1" t="n">
        <v>46267</v>
      </c>
      <c r="F137" t="inlineStr">
        <is>
          <t>DALARNAS LÄN</t>
        </is>
      </c>
      <c r="G137" t="inlineStr">
        <is>
          <t>VANSBRO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33036-2025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45840</v>
      </c>
      <c r="E138" s="1" t="n">
        <v>46267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öst AB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33056-2025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45840</v>
      </c>
      <c r="E139" s="1" t="n">
        <v>46267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öst AB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46050</v>
      </c>
      <c r="E140" s="1" t="n">
        <v>46267</v>
      </c>
      <c r="F140" t="inlineStr">
        <is>
          <t>DALARNAS LÄN</t>
        </is>
      </c>
      <c r="G140" t="inlineStr">
        <is>
          <t>VANSBRO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46049</v>
      </c>
      <c r="E141" s="1" t="n">
        <v>46267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väst AB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4937-2026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46048</v>
      </c>
      <c r="E142" s="1" t="n">
        <v>46267</v>
      </c>
      <c r="F142" t="inlineStr">
        <is>
          <t>DALARNAS LÄN</t>
        </is>
      </c>
      <c r="G142" t="inlineStr">
        <is>
          <t>VANSBRO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42209-2025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45904</v>
      </c>
      <c r="E143" s="1" t="n">
        <v>46267</v>
      </c>
      <c r="F143" t="inlineStr">
        <is>
          <t>DALARNAS LÄN</t>
        </is>
      </c>
      <c r="G143" t="inlineStr">
        <is>
          <t>VANSBRO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30889-2024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45498</v>
      </c>
      <c r="E144" s="1" t="n">
        <v>46267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öst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44966</v>
      </c>
      <c r="E145" s="1" t="n">
        <v>46267</v>
      </c>
      <c r="F145" t="inlineStr">
        <is>
          <t>DALARNAS LÄN</t>
        </is>
      </c>
      <c r="G145" t="inlineStr">
        <is>
          <t>VANSBRO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46267</v>
      </c>
      <c r="F146" t="inlineStr">
        <is>
          <t>DALARNAS LÄN</t>
        </is>
      </c>
      <c r="G146" t="inlineStr">
        <is>
          <t>VANSBRO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45085</v>
      </c>
      <c r="E147" s="1" t="n">
        <v>46267</v>
      </c>
      <c r="F147" t="inlineStr">
        <is>
          <t>DALARNAS LÄN</t>
        </is>
      </c>
      <c r="G147" t="inlineStr">
        <is>
          <t>VANSBRO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4998-2026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46049</v>
      </c>
      <c r="E148" s="1" t="n">
        <v>46267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väst AB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24481-2023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45082</v>
      </c>
      <c r="E149" s="1" t="n">
        <v>46267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20931-2022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44701</v>
      </c>
      <c r="E150" s="1" t="n">
        <v>46267</v>
      </c>
      <c r="F150" t="inlineStr">
        <is>
          <t>DALARNAS LÄN</t>
        </is>
      </c>
      <c r="G150" t="inlineStr">
        <is>
          <t>VANSBRO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45184</v>
      </c>
      <c r="E151" s="1" t="n">
        <v>46267</v>
      </c>
      <c r="F151" t="inlineStr">
        <is>
          <t>DALARNAS LÄN</t>
        </is>
      </c>
      <c r="G151" t="inlineStr">
        <is>
          <t>VANSBRO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46267</v>
      </c>
      <c r="F152" t="inlineStr">
        <is>
          <t>DALARNAS LÄN</t>
        </is>
      </c>
      <c r="G152" t="inlineStr">
        <is>
          <t>VANSBRO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45854</v>
      </c>
      <c r="E153" s="1" t="n">
        <v>46267</v>
      </c>
      <c r="F153" t="inlineStr">
        <is>
          <t>DALARNAS LÄN</t>
        </is>
      </c>
      <c r="G153" t="inlineStr">
        <is>
          <t>VANSBRO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45860</v>
      </c>
      <c r="E154" s="1" t="n">
        <v>46267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öst AB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17366-2025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45756</v>
      </c>
      <c r="E155" s="1" t="n">
        <v>46267</v>
      </c>
      <c r="F155" t="inlineStr">
        <is>
          <t>DALARNAS LÄN</t>
        </is>
      </c>
      <c r="G155" t="inlineStr">
        <is>
          <t>VANSBRO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20185-2025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45772</v>
      </c>
      <c r="E156" s="1" t="n">
        <v>46267</v>
      </c>
      <c r="F156" t="inlineStr">
        <is>
          <t>DALARNAS LÄN</t>
        </is>
      </c>
      <c r="G156" t="inlineStr">
        <is>
          <t>VANSBRO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16830-2025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45754</v>
      </c>
      <c r="E157" s="1" t="n">
        <v>46267</v>
      </c>
      <c r="F157" t="inlineStr">
        <is>
          <t>DALARNAS LÄN</t>
        </is>
      </c>
      <c r="G157" t="inlineStr">
        <is>
          <t>VANSBRO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45689</v>
      </c>
      <c r="E158" s="1" t="n">
        <v>46267</v>
      </c>
      <c r="F158" t="inlineStr">
        <is>
          <t>DALARNAS LÄN</t>
        </is>
      </c>
      <c r="G158" t="inlineStr">
        <is>
          <t>VANSBRO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36382-2025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45868</v>
      </c>
      <c r="E159" s="1" t="n">
        <v>46267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öst AB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45617</v>
      </c>
      <c r="E160" s="1" t="n">
        <v>46267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väst AB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46267</v>
      </c>
      <c r="F161" t="inlineStr">
        <is>
          <t>DALARNAS LÄN</t>
        </is>
      </c>
      <c r="G161" t="inlineStr">
        <is>
          <t>VANSBRO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56773-2023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45244</v>
      </c>
      <c r="E162" s="1" t="n">
        <v>46267</v>
      </c>
      <c r="F162" t="inlineStr">
        <is>
          <t>DALARNAS LÄN</t>
        </is>
      </c>
      <c r="G162" t="inlineStr">
        <is>
          <t>VANSBRO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6076-2026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46052</v>
      </c>
      <c r="E163" s="1" t="n">
        <v>46267</v>
      </c>
      <c r="F163" t="inlineStr">
        <is>
          <t>DALARNAS LÄN</t>
        </is>
      </c>
      <c r="G163" t="inlineStr">
        <is>
          <t>VANSBRO</t>
        </is>
      </c>
      <c r="I163" t="n">
        <v>8.5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46051</v>
      </c>
      <c r="E164" s="1" t="n">
        <v>46267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väst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50533-2024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45601</v>
      </c>
      <c r="E165" s="1" t="n">
        <v>46267</v>
      </c>
      <c r="F165" t="inlineStr">
        <is>
          <t>DALARNAS LÄN</t>
        </is>
      </c>
      <c r="G165" t="inlineStr">
        <is>
          <t>VANSBRO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45481</v>
      </c>
      <c r="E166" s="1" t="n">
        <v>46267</v>
      </c>
      <c r="F166" t="inlineStr">
        <is>
          <t>DALARNAS LÄN</t>
        </is>
      </c>
      <c r="G166" t="inlineStr">
        <is>
          <t>VANSBRO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37285-2025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45876</v>
      </c>
      <c r="E167" s="1" t="n">
        <v>46267</v>
      </c>
      <c r="F167" t="inlineStr">
        <is>
          <t>DALARNAS LÄN</t>
        </is>
      </c>
      <c r="G167" t="inlineStr">
        <is>
          <t>VANSBRO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37287-2025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45876</v>
      </c>
      <c r="E168" s="1" t="n">
        <v>46267</v>
      </c>
      <c r="F168" t="inlineStr">
        <is>
          <t>DALARNAS LÄN</t>
        </is>
      </c>
      <c r="G168" t="inlineStr">
        <is>
          <t>VANSBRO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59142-2024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45637</v>
      </c>
      <c r="E169" s="1" t="n">
        <v>46267</v>
      </c>
      <c r="F169" t="inlineStr">
        <is>
          <t>DALARNAS LÄN</t>
        </is>
      </c>
      <c r="G169" t="inlineStr">
        <is>
          <t>VANSBRO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39336-2023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45166</v>
      </c>
      <c r="E170" s="1" t="n">
        <v>46267</v>
      </c>
      <c r="F170" t="inlineStr">
        <is>
          <t>DALARNAS LÄN</t>
        </is>
      </c>
      <c r="G170" t="inlineStr">
        <is>
          <t>VANSBRO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47833-2025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45932</v>
      </c>
      <c r="E171" s="1" t="n">
        <v>46267</v>
      </c>
      <c r="F171" t="inlineStr">
        <is>
          <t>DALARNAS LÄN</t>
        </is>
      </c>
      <c r="G171" t="inlineStr">
        <is>
          <t>VANSBRO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47897-2025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45932</v>
      </c>
      <c r="E172" s="1" t="n">
        <v>46267</v>
      </c>
      <c r="F172" t="inlineStr">
        <is>
          <t>DALARNAS LÄN</t>
        </is>
      </c>
      <c r="G172" t="inlineStr">
        <is>
          <t>VANSBRO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57903-2024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45631</v>
      </c>
      <c r="E173" s="1" t="n">
        <v>46267</v>
      </c>
      <c r="F173" t="inlineStr">
        <is>
          <t>DALARNAS LÄN</t>
        </is>
      </c>
      <c r="G173" t="inlineStr">
        <is>
          <t>VANSBRO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7259-2026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46058</v>
      </c>
      <c r="E174" s="1" t="n">
        <v>46267</v>
      </c>
      <c r="F174" t="inlineStr">
        <is>
          <t>DALARNAS LÄN</t>
        </is>
      </c>
      <c r="G174" t="inlineStr">
        <is>
          <t>VANSBRO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51396-2022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44869</v>
      </c>
      <c r="E175" s="1" t="n">
        <v>46267</v>
      </c>
      <c r="F175" t="inlineStr">
        <is>
          <t>DALARNAS LÄN</t>
        </is>
      </c>
      <c r="G175" t="inlineStr">
        <is>
          <t>VANSBRO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46058</v>
      </c>
      <c r="E176" s="1" t="n">
        <v>46267</v>
      </c>
      <c r="F176" t="inlineStr">
        <is>
          <t>DALARNAS LÄN</t>
        </is>
      </c>
      <c r="G176" t="inlineStr">
        <is>
          <t>VANSBRO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46057</v>
      </c>
      <c r="E177" s="1" t="n">
        <v>46267</v>
      </c>
      <c r="F177" t="inlineStr">
        <is>
          <t>DALARNAS LÄN</t>
        </is>
      </c>
      <c r="G177" t="inlineStr">
        <is>
          <t>VANSBRO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35780-2024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45532</v>
      </c>
      <c r="E178" s="1" t="n">
        <v>46267</v>
      </c>
      <c r="F178" t="inlineStr">
        <is>
          <t>DALARNAS LÄN</t>
        </is>
      </c>
      <c r="G178" t="inlineStr">
        <is>
          <t>VANSBRO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46267</v>
      </c>
      <c r="F179" t="inlineStr">
        <is>
          <t>DALARNAS LÄN</t>
        </is>
      </c>
      <c r="G179" t="inlineStr">
        <is>
          <t>VANSBRO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7779-2026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46267</v>
      </c>
      <c r="F180" t="inlineStr">
        <is>
          <t>DALARNAS LÄN</t>
        </is>
      </c>
      <c r="G180" t="inlineStr">
        <is>
          <t>VANSBRO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48102-2025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45933</v>
      </c>
      <c r="E181" s="1" t="n">
        <v>46267</v>
      </c>
      <c r="F181" t="inlineStr">
        <is>
          <t>DALARNAS LÄN</t>
        </is>
      </c>
      <c r="G181" t="inlineStr">
        <is>
          <t>VANSBRO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57904-2024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45631</v>
      </c>
      <c r="E182" s="1" t="n">
        <v>46267</v>
      </c>
      <c r="F182" t="inlineStr">
        <is>
          <t>DALARNAS LÄN</t>
        </is>
      </c>
      <c r="G182" t="inlineStr">
        <is>
          <t>VANSBRO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48840-2025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45937</v>
      </c>
      <c r="E183" s="1" t="n">
        <v>46267</v>
      </c>
      <c r="F183" t="inlineStr">
        <is>
          <t>DALARNAS LÄN</t>
        </is>
      </c>
      <c r="G183" t="inlineStr">
        <is>
          <t>VANSBRO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45672</v>
      </c>
      <c r="E184" s="1" t="n">
        <v>46267</v>
      </c>
      <c r="F184" t="inlineStr">
        <is>
          <t>DALARNAS LÄN</t>
        </is>
      </c>
      <c r="G184" t="inlineStr">
        <is>
          <t>VANSBRO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45939</v>
      </c>
      <c r="E185" s="1" t="n">
        <v>46267</v>
      </c>
      <c r="F185" t="inlineStr">
        <is>
          <t>DALARNAS LÄN</t>
        </is>
      </c>
      <c r="G185" t="inlineStr">
        <is>
          <t>VANSBRO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49679-2025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45939</v>
      </c>
      <c r="E186" s="1" t="n">
        <v>46267</v>
      </c>
      <c r="F186" t="inlineStr">
        <is>
          <t>DALARNAS LÄN</t>
        </is>
      </c>
      <c r="G186" t="inlineStr">
        <is>
          <t>VANSBRO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45939</v>
      </c>
      <c r="E187" s="1" t="n">
        <v>46267</v>
      </c>
      <c r="F187" t="inlineStr">
        <is>
          <t>DALARNAS LÄN</t>
        </is>
      </c>
      <c r="G187" t="inlineStr">
        <is>
          <t>VANSBRO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45939</v>
      </c>
      <c r="E188" s="1" t="n">
        <v>46267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öst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46041</v>
      </c>
      <c r="E189" s="1" t="n">
        <v>46267</v>
      </c>
      <c r="F189" t="inlineStr">
        <is>
          <t>DALARNAS LÄN</t>
        </is>
      </c>
      <c r="G189" t="inlineStr">
        <is>
          <t>VANSBRO</t>
        </is>
      </c>
      <c r="I189" t="n">
        <v>15.1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46267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39974-2022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44820</v>
      </c>
      <c r="E191" s="1" t="n">
        <v>46267</v>
      </c>
      <c r="F191" t="inlineStr">
        <is>
          <t>DALARNAS LÄN</t>
        </is>
      </c>
      <c r="G191" t="inlineStr">
        <is>
          <t>VANSBRO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61663-2024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45646</v>
      </c>
      <c r="E192" s="1" t="n">
        <v>46267</v>
      </c>
      <c r="F192" t="inlineStr">
        <is>
          <t>DALARNAS LÄN</t>
        </is>
      </c>
      <c r="G192" t="inlineStr">
        <is>
          <t>VANSBRO</t>
        </is>
      </c>
      <c r="I192" t="n">
        <v>8.800000000000001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45945</v>
      </c>
      <c r="E193" s="1" t="n">
        <v>46267</v>
      </c>
      <c r="F193" t="inlineStr">
        <is>
          <t>DALARNAS LÄN</t>
        </is>
      </c>
      <c r="G193" t="inlineStr">
        <is>
          <t>VANSBRO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45950</v>
      </c>
      <c r="E194" s="1" t="n">
        <v>46267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51414-2021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44461</v>
      </c>
      <c r="E195" s="1" t="n">
        <v>46267</v>
      </c>
      <c r="F195" t="inlineStr">
        <is>
          <t>DALARNAS LÄN</t>
        </is>
      </c>
      <c r="G195" t="inlineStr">
        <is>
          <t>VANSBRO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45225</v>
      </c>
      <c r="E196" s="1" t="n">
        <v>46267</v>
      </c>
      <c r="F196" t="inlineStr">
        <is>
          <t>DALARNAS LÄN</t>
        </is>
      </c>
      <c r="G196" t="inlineStr">
        <is>
          <t>VANSBRO</t>
        </is>
      </c>
      <c r="H196" t="inlineStr">
        <is>
          <t>Övriga statliga verk och myndigheter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1140-2025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45666</v>
      </c>
      <c r="E197" s="1" t="n">
        <v>46267</v>
      </c>
      <c r="F197" t="inlineStr">
        <is>
          <t>DALARNAS LÄN</t>
        </is>
      </c>
      <c r="G197" t="inlineStr">
        <is>
          <t>VANSBRO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5017-2025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45691</v>
      </c>
      <c r="E198" s="1" t="n">
        <v>46267</v>
      </c>
      <c r="F198" t="inlineStr">
        <is>
          <t>DALARNAS LÄN</t>
        </is>
      </c>
      <c r="G198" t="inlineStr">
        <is>
          <t>VANSBRO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45691</v>
      </c>
      <c r="E199" s="1" t="n">
        <v>46267</v>
      </c>
      <c r="F199" t="inlineStr">
        <is>
          <t>DALARNAS LÄN</t>
        </is>
      </c>
      <c r="G199" t="inlineStr">
        <is>
          <t>VANSBRO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4680-2023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44957</v>
      </c>
      <c r="E200" s="1" t="n">
        <v>46267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öst AB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51855-2025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45952</v>
      </c>
      <c r="E201" s="1" t="n">
        <v>46267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10.2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59856-2024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45639</v>
      </c>
      <c r="E202" s="1" t="n">
        <v>46267</v>
      </c>
      <c r="F202" t="inlineStr">
        <is>
          <t>DALARNAS LÄN</t>
        </is>
      </c>
      <c r="G202" t="inlineStr">
        <is>
          <t>VANSBRO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44679-2023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45189</v>
      </c>
      <c r="E203" s="1" t="n">
        <v>46267</v>
      </c>
      <c r="F203" t="inlineStr">
        <is>
          <t>DALARNAS LÄN</t>
        </is>
      </c>
      <c r="G203" t="inlineStr">
        <is>
          <t>VANSBRO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25916-2022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44734</v>
      </c>
      <c r="E204" s="1" t="n">
        <v>46267</v>
      </c>
      <c r="F204" t="inlineStr">
        <is>
          <t>DALARNAS LÄN</t>
        </is>
      </c>
      <c r="G204" t="inlineStr">
        <is>
          <t>VANSBRO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45954</v>
      </c>
      <c r="E205" s="1" t="n">
        <v>46267</v>
      </c>
      <c r="F205" t="inlineStr">
        <is>
          <t>DALARNAS LÄN</t>
        </is>
      </c>
      <c r="G205" t="inlineStr">
        <is>
          <t>VANSBRO</t>
        </is>
      </c>
      <c r="I205" t="n">
        <v>12.6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46267</v>
      </c>
      <c r="F206" t="inlineStr">
        <is>
          <t>DALARNAS LÄN</t>
        </is>
      </c>
      <c r="G206" t="inlineStr">
        <is>
          <t>VANSBRO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64072-2025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46021</v>
      </c>
      <c r="E207" s="1" t="n">
        <v>46267</v>
      </c>
      <c r="F207" t="inlineStr">
        <is>
          <t>DALARNAS LÄN</t>
        </is>
      </c>
      <c r="G207" t="inlineStr">
        <is>
          <t>VANSBRO</t>
        </is>
      </c>
      <c r="I207" t="n">
        <v>19.1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45673</v>
      </c>
      <c r="E208" s="1" t="n">
        <v>46267</v>
      </c>
      <c r="F208" t="inlineStr">
        <is>
          <t>DALARNAS LÄN</t>
        </is>
      </c>
      <c r="G208" t="inlineStr">
        <is>
          <t>VANSBRO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52673-2025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45956</v>
      </c>
      <c r="E209" s="1" t="n">
        <v>46267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35288-2024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45530</v>
      </c>
      <c r="E210" s="1" t="n">
        <v>46267</v>
      </c>
      <c r="F210" t="inlineStr">
        <is>
          <t>DALARNAS LÄN</t>
        </is>
      </c>
      <c r="G210" t="inlineStr">
        <is>
          <t>VANSBRO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46071</v>
      </c>
      <c r="E211" s="1" t="n">
        <v>46267</v>
      </c>
      <c r="F211" t="inlineStr">
        <is>
          <t>DALARNAS LÄN</t>
        </is>
      </c>
      <c r="G211" t="inlineStr">
        <is>
          <t>VANSBRO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18658-2025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45763</v>
      </c>
      <c r="E212" s="1" t="n">
        <v>46267</v>
      </c>
      <c r="F212" t="inlineStr">
        <is>
          <t>DALARNAS LÄN</t>
        </is>
      </c>
      <c r="G212" t="inlineStr">
        <is>
          <t>VANSBRO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45956</v>
      </c>
      <c r="E213" s="1" t="n">
        <v>46267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53315-2025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45959</v>
      </c>
      <c r="E214" s="1" t="n">
        <v>46267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46062</v>
      </c>
      <c r="E215" s="1" t="n">
        <v>46267</v>
      </c>
      <c r="F215" t="inlineStr">
        <is>
          <t>DALARNAS LÄN</t>
        </is>
      </c>
      <c r="G215" t="inlineStr">
        <is>
          <t>VANSBRO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18859-2025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45764</v>
      </c>
      <c r="E216" s="1" t="n">
        <v>46267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54100-2025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45964</v>
      </c>
      <c r="E217" s="1" t="n">
        <v>46267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öst AB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45961</v>
      </c>
      <c r="E218" s="1" t="n">
        <v>46267</v>
      </c>
      <c r="F218" t="inlineStr">
        <is>
          <t>DALARNAS LÄN</t>
        </is>
      </c>
      <c r="G218" t="inlineStr">
        <is>
          <t>VANSBRO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45762</v>
      </c>
      <c r="E219" s="1" t="n">
        <v>46267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54579-2025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45965</v>
      </c>
      <c r="E220" s="1" t="n">
        <v>46267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54342-2025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46267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46267</v>
      </c>
      <c r="F222" t="inlineStr">
        <is>
          <t>DALARNAS LÄN</t>
        </is>
      </c>
      <c r="G222" t="inlineStr">
        <is>
          <t>VANSBRO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46267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13327-2025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46267</v>
      </c>
      <c r="F224" t="inlineStr">
        <is>
          <t>DALARNAS LÄN</t>
        </is>
      </c>
      <c r="G224" t="inlineStr">
        <is>
          <t>VANSBRO</t>
        </is>
      </c>
      <c r="H224" t="inlineStr">
        <is>
          <t>Kommuner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55767-2025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45972</v>
      </c>
      <c r="E225" s="1" t="n">
        <v>46267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56043-2025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45973</v>
      </c>
      <c r="E226" s="1" t="n">
        <v>46267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45689</v>
      </c>
      <c r="E227" s="1" t="n">
        <v>46267</v>
      </c>
      <c r="F227" t="inlineStr">
        <is>
          <t>DALARNAS LÄN</t>
        </is>
      </c>
      <c r="G227" t="inlineStr">
        <is>
          <t>VANSBRO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45689</v>
      </c>
      <c r="E228" s="1" t="n">
        <v>46267</v>
      </c>
      <c r="F228" t="inlineStr">
        <is>
          <t>DALARNAS LÄN</t>
        </is>
      </c>
      <c r="G228" t="inlineStr">
        <is>
          <t>VANSBRO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11350-2026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46082</v>
      </c>
      <c r="E229" s="1" t="n">
        <v>46267</v>
      </c>
      <c r="F229" t="inlineStr">
        <is>
          <t>DALARNAS LÄN</t>
        </is>
      </c>
      <c r="G229" t="inlineStr">
        <is>
          <t>VANSBRO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56280-2025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45974</v>
      </c>
      <c r="E230" s="1" t="n">
        <v>46267</v>
      </c>
      <c r="F230" t="inlineStr">
        <is>
          <t>DALARNAS LÄN</t>
        </is>
      </c>
      <c r="G230" t="inlineStr">
        <is>
          <t>VANSBRO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57255-2025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45979</v>
      </c>
      <c r="E231" s="1" t="n">
        <v>46267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11349-2026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46082</v>
      </c>
      <c r="E232" s="1" t="n">
        <v>46267</v>
      </c>
      <c r="F232" t="inlineStr">
        <is>
          <t>DALARNAS LÄN</t>
        </is>
      </c>
      <c r="G232" t="inlineStr">
        <is>
          <t>VANSBRO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11603-2026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46084</v>
      </c>
      <c r="E233" s="1" t="n">
        <v>46267</v>
      </c>
      <c r="F233" t="inlineStr">
        <is>
          <t>DALARNAS LÄN</t>
        </is>
      </c>
      <c r="G233" t="inlineStr">
        <is>
          <t>VANSBRO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8694-2023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44972</v>
      </c>
      <c r="E234" s="1" t="n">
        <v>46267</v>
      </c>
      <c r="F234" t="inlineStr">
        <is>
          <t>DALARNAS LÄN</t>
        </is>
      </c>
      <c r="G234" t="inlineStr">
        <is>
          <t>VANSBRO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59736-2022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44908</v>
      </c>
      <c r="E235" s="1" t="n">
        <v>46267</v>
      </c>
      <c r="F235" t="inlineStr">
        <is>
          <t>DALARNAS LÄN</t>
        </is>
      </c>
      <c r="G235" t="inlineStr">
        <is>
          <t>VANSBRO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57716-2025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45981</v>
      </c>
      <c r="E236" s="1" t="n">
        <v>46267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58733-2025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45986</v>
      </c>
      <c r="E237" s="1" t="n">
        <v>46267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väst AB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46165-2021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44442</v>
      </c>
      <c r="E238" s="1" t="n">
        <v>46267</v>
      </c>
      <c r="F238" t="inlineStr">
        <is>
          <t>DALARNAS LÄN</t>
        </is>
      </c>
      <c r="G238" t="inlineStr">
        <is>
          <t>VANSBRO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45987</v>
      </c>
      <c r="E239" s="1" t="n">
        <v>46267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46267</v>
      </c>
      <c r="F240" t="inlineStr">
        <is>
          <t>DALARNAS LÄN</t>
        </is>
      </c>
      <c r="G240" t="inlineStr">
        <is>
          <t>VANSBRO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46267</v>
      </c>
      <c r="F241" t="inlineStr">
        <is>
          <t>DALARNAS LÄN</t>
        </is>
      </c>
      <c r="G241" t="inlineStr">
        <is>
          <t>VANSBRO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51606-2023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45222</v>
      </c>
      <c r="E242" s="1" t="n">
        <v>46267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väst AB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46002</v>
      </c>
      <c r="E243" s="1" t="n">
        <v>46267</v>
      </c>
      <c r="F243" t="inlineStr">
        <is>
          <t>DALARNAS LÄN</t>
        </is>
      </c>
      <c r="G243" t="inlineStr">
        <is>
          <t>VANSBRO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13392-2026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46267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väst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13495-2026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46267</v>
      </c>
      <c r="F245" t="inlineStr">
        <is>
          <t>DALARNAS LÄN</t>
        </is>
      </c>
      <c r="G245" t="inlineStr">
        <is>
          <t>VANSBRO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44960</v>
      </c>
      <c r="E246" s="1" t="n">
        <v>46267</v>
      </c>
      <c r="F246" t="inlineStr">
        <is>
          <t>DALARNAS LÄN</t>
        </is>
      </c>
      <c r="G246" t="inlineStr">
        <is>
          <t>VANSBRO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13403-2026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46094</v>
      </c>
      <c r="E247" s="1" t="n">
        <v>46267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13506-2026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46094</v>
      </c>
      <c r="E248" s="1" t="n">
        <v>46267</v>
      </c>
      <c r="F248" t="inlineStr">
        <is>
          <t>DALARNAS LÄN</t>
        </is>
      </c>
      <c r="G248" t="inlineStr">
        <is>
          <t>VANSBRO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11274-2024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45371</v>
      </c>
      <c r="E249" s="1" t="n">
        <v>46267</v>
      </c>
      <c r="F249" t="inlineStr">
        <is>
          <t>DALARNAS LÄN</t>
        </is>
      </c>
      <c r="G249" t="inlineStr">
        <is>
          <t>VANSBRO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60031-2022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44909</v>
      </c>
      <c r="E250" s="1" t="n">
        <v>46267</v>
      </c>
      <c r="F250" t="inlineStr">
        <is>
          <t>DALARNAS LÄN</t>
        </is>
      </c>
      <c r="G250" t="inlineStr">
        <is>
          <t>VANSBRO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57947-2023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45247</v>
      </c>
      <c r="E251" s="1" t="n">
        <v>46267</v>
      </c>
      <c r="F251" t="inlineStr">
        <is>
          <t>DALARNAS LÄN</t>
        </is>
      </c>
      <c r="G251" t="inlineStr">
        <is>
          <t>VANSBRO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33829-2024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45520</v>
      </c>
      <c r="E252" s="1" t="n">
        <v>46267</v>
      </c>
      <c r="F252" t="inlineStr">
        <is>
          <t>DALARNAS LÄN</t>
        </is>
      </c>
      <c r="G252" t="inlineStr">
        <is>
          <t>VANSBRO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35299-2024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45530</v>
      </c>
      <c r="E253" s="1" t="n">
        <v>46267</v>
      </c>
      <c r="F253" t="inlineStr">
        <is>
          <t>DALARNAS LÄN</t>
        </is>
      </c>
      <c r="G253" t="inlineStr">
        <is>
          <t>VANSBRO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14112-2026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46099</v>
      </c>
      <c r="E254" s="1" t="n">
        <v>46267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väst AB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13062-2023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45002</v>
      </c>
      <c r="E255" s="1" t="n">
        <v>46267</v>
      </c>
      <c r="F255" t="inlineStr">
        <is>
          <t>DALARNAS LÄN</t>
        </is>
      </c>
      <c r="G255" t="inlineStr">
        <is>
          <t>VANSBRO</t>
        </is>
      </c>
      <c r="H255" t="inlineStr">
        <is>
          <t>Övriga statliga verk och myndigheter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62622-2022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44925</v>
      </c>
      <c r="E256" s="1" t="n">
        <v>46267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46034</v>
      </c>
      <c r="E257" s="1" t="n">
        <v>46267</v>
      </c>
      <c r="F257" t="inlineStr">
        <is>
          <t>DALARNAS LÄN</t>
        </is>
      </c>
      <c r="G257" t="inlineStr">
        <is>
          <t>VANSBRO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46033</v>
      </c>
      <c r="E258" s="1" t="n">
        <v>46267</v>
      </c>
      <c r="F258" t="inlineStr">
        <is>
          <t>DALARNAS LÄN</t>
        </is>
      </c>
      <c r="G258" t="inlineStr">
        <is>
          <t>VANSBRO</t>
        </is>
      </c>
      <c r="I258" t="n">
        <v>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46031</v>
      </c>
      <c r="E259" s="1" t="n">
        <v>46267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öst AB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46036</v>
      </c>
      <c r="E260" s="1" t="n">
        <v>46267</v>
      </c>
      <c r="F260" t="inlineStr">
        <is>
          <t>DALARNAS LÄN</t>
        </is>
      </c>
      <c r="G260" t="inlineStr">
        <is>
          <t>VANSBRO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46037</v>
      </c>
      <c r="E261" s="1" t="n">
        <v>46267</v>
      </c>
      <c r="F261" t="inlineStr">
        <is>
          <t>DALARNAS LÄN</t>
        </is>
      </c>
      <c r="G261" t="inlineStr">
        <is>
          <t>VANSBRO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12917-2026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46267</v>
      </c>
      <c r="F262" t="inlineStr">
        <is>
          <t>DALARNAS LÄN</t>
        </is>
      </c>
      <c r="G262" t="inlineStr">
        <is>
          <t>VANSBRO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46037</v>
      </c>
      <c r="E263" s="1" t="n">
        <v>46267</v>
      </c>
      <c r="F263" t="inlineStr">
        <is>
          <t>DALARNAS LÄN</t>
        </is>
      </c>
      <c r="G263" t="inlineStr">
        <is>
          <t>VANSBRO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27080-2024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45471</v>
      </c>
      <c r="E264" s="1" t="n">
        <v>46267</v>
      </c>
      <c r="F264" t="inlineStr">
        <is>
          <t>DALARNAS LÄN</t>
        </is>
      </c>
      <c r="G264" t="inlineStr">
        <is>
          <t>VANSBRO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15408-2026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46106</v>
      </c>
      <c r="E265" s="1" t="n">
        <v>46267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53828-2021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44469</v>
      </c>
      <c r="E266" s="1" t="n">
        <v>46267</v>
      </c>
      <c r="F266" t="inlineStr">
        <is>
          <t>DALARNAS LÄN</t>
        </is>
      </c>
      <c r="G266" t="inlineStr">
        <is>
          <t>VANSBRO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15676-2026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46106</v>
      </c>
      <c r="E267" s="1" t="n">
        <v>46267</v>
      </c>
      <c r="F267" t="inlineStr">
        <is>
          <t>DALARNAS LÄN</t>
        </is>
      </c>
      <c r="G267" t="inlineStr">
        <is>
          <t>VANSBRO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21973-2024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45443</v>
      </c>
      <c r="E268" s="1" t="n">
        <v>46267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46108</v>
      </c>
      <c r="E269" s="1" t="n">
        <v>46267</v>
      </c>
      <c r="F269" t="inlineStr">
        <is>
          <t>DALARNAS LÄN</t>
        </is>
      </c>
      <c r="G269" t="inlineStr">
        <is>
          <t>VANSBRO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16669-2026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46112</v>
      </c>
      <c r="E270" s="1" t="n">
        <v>46267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väst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16952-2026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46114</v>
      </c>
      <c r="E271" s="1" t="n">
        <v>46267</v>
      </c>
      <c r="F271" t="inlineStr">
        <is>
          <t>DALARNAS LÄN</t>
        </is>
      </c>
      <c r="G271" t="inlineStr">
        <is>
          <t>VANSBRO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16948-2026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46113</v>
      </c>
      <c r="E272" s="1" t="n">
        <v>46267</v>
      </c>
      <c r="F272" t="inlineStr">
        <is>
          <t>DALARNAS LÄN</t>
        </is>
      </c>
      <c r="G272" t="inlineStr">
        <is>
          <t>VANSBRO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17321-2026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46119</v>
      </c>
      <c r="E273" s="1" t="n">
        <v>46267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17553-2026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46120</v>
      </c>
      <c r="E274" s="1" t="n">
        <v>46267</v>
      </c>
      <c r="F274" t="inlineStr">
        <is>
          <t>DALARNAS LÄN</t>
        </is>
      </c>
      <c r="G274" t="inlineStr">
        <is>
          <t>VANSBRO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17609-2026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46121</v>
      </c>
      <c r="E275" s="1" t="n">
        <v>46267</v>
      </c>
      <c r="F275" t="inlineStr">
        <is>
          <t>DALARNAS LÄN</t>
        </is>
      </c>
      <c r="G275" t="inlineStr">
        <is>
          <t>VANSBRO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17613-2026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46121</v>
      </c>
      <c r="E276" s="1" t="n">
        <v>46267</v>
      </c>
      <c r="F276" t="inlineStr">
        <is>
          <t>DALARNAS LÄN</t>
        </is>
      </c>
      <c r="G276" t="inlineStr">
        <is>
          <t>VANSBRO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17552-2026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46120</v>
      </c>
      <c r="E277" s="1" t="n">
        <v>46267</v>
      </c>
      <c r="F277" t="inlineStr">
        <is>
          <t>DALARNAS LÄN</t>
        </is>
      </c>
      <c r="G277" t="inlineStr">
        <is>
          <t>VANSBRO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17551-2026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46120</v>
      </c>
      <c r="E278" s="1" t="n">
        <v>46267</v>
      </c>
      <c r="F278" t="inlineStr">
        <is>
          <t>DALARNAS LÄN</t>
        </is>
      </c>
      <c r="G278" t="inlineStr">
        <is>
          <t>VANSBRO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17604-2026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46121</v>
      </c>
      <c r="E279" s="1" t="n">
        <v>46267</v>
      </c>
      <c r="F279" t="inlineStr">
        <is>
          <t>DALARNAS LÄN</t>
        </is>
      </c>
      <c r="G279" t="inlineStr">
        <is>
          <t>VANSBRO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46267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46124</v>
      </c>
      <c r="E281" s="1" t="n">
        <v>46267</v>
      </c>
      <c r="F281" t="inlineStr">
        <is>
          <t>DALARNAS LÄN</t>
        </is>
      </c>
      <c r="G281" t="inlineStr">
        <is>
          <t>VANSBRO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18140-2026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46125</v>
      </c>
      <c r="E282" s="1" t="n">
        <v>46267</v>
      </c>
      <c r="F282" t="inlineStr">
        <is>
          <t>DALARNAS LÄN</t>
        </is>
      </c>
      <c r="G282" t="inlineStr">
        <is>
          <t>VANSBRO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18586-2026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46127</v>
      </c>
      <c r="E283" s="1" t="n">
        <v>46267</v>
      </c>
      <c r="F283" t="inlineStr">
        <is>
          <t>DALARNAS LÄN</t>
        </is>
      </c>
      <c r="G283" t="inlineStr">
        <is>
          <t>VANSBRO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18577-2026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46127</v>
      </c>
      <c r="E284" s="1" t="n">
        <v>46267</v>
      </c>
      <c r="F284" t="inlineStr">
        <is>
          <t>DALARNAS LÄN</t>
        </is>
      </c>
      <c r="G284" t="inlineStr">
        <is>
          <t>VANSBRO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18588-2026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46267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18580-2026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46267</v>
      </c>
      <c r="F286" t="inlineStr">
        <is>
          <t>DALARNAS LÄN</t>
        </is>
      </c>
      <c r="G286" t="inlineStr">
        <is>
          <t>VANSBRO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18823-2026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46128</v>
      </c>
      <c r="E287" s="1" t="n">
        <v>46267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13.1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18717-2026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46128</v>
      </c>
      <c r="E288" s="1" t="n">
        <v>46267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öst AB</t>
        </is>
      </c>
      <c r="I288" t="n">
        <v>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18709-2026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46128</v>
      </c>
      <c r="E289" s="1" t="n">
        <v>46267</v>
      </c>
      <c r="F289" t="inlineStr">
        <is>
          <t>DALARNAS LÄN</t>
        </is>
      </c>
      <c r="G289" t="inlineStr">
        <is>
          <t>VANSBRO</t>
        </is>
      </c>
      <c r="I289" t="n">
        <v>6.4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5420-2024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45331</v>
      </c>
      <c r="E290" s="1" t="n">
        <v>46267</v>
      </c>
      <c r="F290" t="inlineStr">
        <is>
          <t>DALARNAS LÄN</t>
        </is>
      </c>
      <c r="G290" t="inlineStr">
        <is>
          <t>VANSBRO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50258-2024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45600</v>
      </c>
      <c r="E291" s="1" t="n">
        <v>46267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öst AB</t>
        </is>
      </c>
      <c r="I291" t="n">
        <v>45.8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28007-2025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45817</v>
      </c>
      <c r="E292" s="1" t="n">
        <v>46267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19809-2026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46267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öst AB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45078</v>
      </c>
      <c r="E294" s="1" t="n">
        <v>46267</v>
      </c>
      <c r="F294" t="inlineStr">
        <is>
          <t>DALARNAS LÄN</t>
        </is>
      </c>
      <c r="G294" t="inlineStr">
        <is>
          <t>VANSBRO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11485-2024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45372</v>
      </c>
      <c r="E295" s="1" t="n">
        <v>46267</v>
      </c>
      <c r="F295" t="inlineStr">
        <is>
          <t>DALARNAS LÄN</t>
        </is>
      </c>
      <c r="G295" t="inlineStr">
        <is>
          <t>VANSBRO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45776</v>
      </c>
      <c r="E296" s="1" t="n">
        <v>46267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väst AB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45806</v>
      </c>
      <c r="E297" s="1" t="n">
        <v>46267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36855-2022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44805</v>
      </c>
      <c r="E298" s="1" t="n">
        <v>46267</v>
      </c>
      <c r="F298" t="inlineStr">
        <is>
          <t>DALARNAS LÄN</t>
        </is>
      </c>
      <c r="G298" t="inlineStr">
        <is>
          <t>VANSBRO</t>
        </is>
      </c>
      <c r="H298" t="inlineStr">
        <is>
          <t>Bergvik skog väst AB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45608-2023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45194</v>
      </c>
      <c r="E299" s="1" t="n">
        <v>46267</v>
      </c>
      <c r="F299" t="inlineStr">
        <is>
          <t>DALARNAS LÄN</t>
        </is>
      </c>
      <c r="G299" t="inlineStr">
        <is>
          <t>VANSBRO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46139</v>
      </c>
      <c r="E300" s="1" t="n">
        <v>46267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13639-2022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44648</v>
      </c>
      <c r="E301" s="1" t="n">
        <v>46267</v>
      </c>
      <c r="F301" t="inlineStr">
        <is>
          <t>DALARNAS LÄN</t>
        </is>
      </c>
      <c r="G301" t="inlineStr">
        <is>
          <t>VANSBRO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27000-2025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45811</v>
      </c>
      <c r="E302" s="1" t="n">
        <v>46267</v>
      </c>
      <c r="F302" t="inlineStr">
        <is>
          <t>DALARNAS LÄN</t>
        </is>
      </c>
      <c r="G302" t="inlineStr">
        <is>
          <t>VANSBRO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45665</v>
      </c>
      <c r="E303" s="1" t="n">
        <v>46267</v>
      </c>
      <c r="F303" t="inlineStr">
        <is>
          <t>DALARNAS LÄN</t>
        </is>
      </c>
      <c r="G303" t="inlineStr">
        <is>
          <t>VANSBRO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45762</v>
      </c>
      <c r="E304" s="1" t="n">
        <v>46267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56988-2023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45244</v>
      </c>
      <c r="E305" s="1" t="n">
        <v>46267</v>
      </c>
      <c r="F305" t="inlineStr">
        <is>
          <t>DALARNAS LÄN</t>
        </is>
      </c>
      <c r="G305" t="inlineStr">
        <is>
          <t>VANSBRO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35699-2023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46267</v>
      </c>
      <c r="F306" t="inlineStr">
        <is>
          <t>DALARNAS LÄN</t>
        </is>
      </c>
      <c r="G306" t="inlineStr">
        <is>
          <t>VANSBRO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21117-2024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45440</v>
      </c>
      <c r="E307" s="1" t="n">
        <v>46267</v>
      </c>
      <c r="F307" t="inlineStr">
        <is>
          <t>DALARNAS LÄN</t>
        </is>
      </c>
      <c r="G307" t="inlineStr">
        <is>
          <t>VANSBRO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45700</v>
      </c>
      <c r="E308" s="1" t="n">
        <v>46267</v>
      </c>
      <c r="F308" t="inlineStr">
        <is>
          <t>DALARNAS LÄN</t>
        </is>
      </c>
      <c r="G308" t="inlineStr">
        <is>
          <t>VANSBRO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11598-2025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45727</v>
      </c>
      <c r="E309" s="1" t="n">
        <v>46267</v>
      </c>
      <c r="F309" t="inlineStr">
        <is>
          <t>DALARNAS LÄN</t>
        </is>
      </c>
      <c r="G309" t="inlineStr">
        <is>
          <t>VANSBRO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24827-2022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44728</v>
      </c>
      <c r="E310" s="1" t="n">
        <v>46267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öst AB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24839-2022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44728</v>
      </c>
      <c r="E311" s="1" t="n">
        <v>46267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9145-2025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45714</v>
      </c>
      <c r="E312" s="1" t="n">
        <v>46267</v>
      </c>
      <c r="F312" t="inlineStr">
        <is>
          <t>DALARNAS LÄN</t>
        </is>
      </c>
      <c r="G312" t="inlineStr">
        <is>
          <t>VANSBRO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43254-2023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45183</v>
      </c>
      <c r="E313" s="1" t="n">
        <v>46267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öst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43258-2023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45183</v>
      </c>
      <c r="E314" s="1" t="n">
        <v>46267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öst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5648-2026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46051</v>
      </c>
      <c r="E315" s="1" t="n">
        <v>46267</v>
      </c>
      <c r="F315" t="inlineStr">
        <is>
          <t>DALARNAS LÄN</t>
        </is>
      </c>
      <c r="G315" t="inlineStr">
        <is>
          <t>VANSBRO</t>
        </is>
      </c>
      <c r="I315" t="n">
        <v>13.9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49819-2025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45940</v>
      </c>
      <c r="E316" s="1" t="n">
        <v>46267</v>
      </c>
      <c r="F316" t="inlineStr">
        <is>
          <t>DALARNAS LÄN</t>
        </is>
      </c>
      <c r="G316" t="inlineStr">
        <is>
          <t>VANSBRO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823-2025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45665</v>
      </c>
      <c r="E317" s="1" t="n">
        <v>46267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25496-2024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45463</v>
      </c>
      <c r="E318" s="1" t="n">
        <v>46267</v>
      </c>
      <c r="F318" t="inlineStr">
        <is>
          <t>DALARNAS LÄN</t>
        </is>
      </c>
      <c r="G318" t="inlineStr">
        <is>
          <t>VANSBRO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64071-2025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46021</v>
      </c>
      <c r="E319" s="1" t="n">
        <v>46267</v>
      </c>
      <c r="F319" t="inlineStr">
        <is>
          <t>DALARNAS LÄN</t>
        </is>
      </c>
      <c r="G319" t="inlineStr">
        <is>
          <t>VANSBRO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40290-2023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45169</v>
      </c>
      <c r="E320" s="1" t="n">
        <v>46267</v>
      </c>
      <c r="F320" t="inlineStr">
        <is>
          <t>DALARNAS LÄN</t>
        </is>
      </c>
      <c r="G320" t="inlineStr">
        <is>
          <t>VANSBRO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43658-2023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45187</v>
      </c>
      <c r="E321" s="1" t="n">
        <v>46267</v>
      </c>
      <c r="F321" t="inlineStr">
        <is>
          <t>DALARNAS LÄN</t>
        </is>
      </c>
      <c r="G321" t="inlineStr">
        <is>
          <t>VANSBRO</t>
        </is>
      </c>
      <c r="I321" t="n">
        <v>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50741-2022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44867</v>
      </c>
      <c r="E322" s="1" t="n">
        <v>46267</v>
      </c>
      <c r="F322" t="inlineStr">
        <is>
          <t>DALARNAS LÄN</t>
        </is>
      </c>
      <c r="G322" t="inlineStr">
        <is>
          <t>VANSBRO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10013-2024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45363</v>
      </c>
      <c r="E323" s="1" t="n">
        <v>46267</v>
      </c>
      <c r="F323" t="inlineStr">
        <is>
          <t>DALARNAS LÄN</t>
        </is>
      </c>
      <c r="G323" t="inlineStr">
        <is>
          <t>VANSBRO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28011-2025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46267</v>
      </c>
      <c r="F324" t="inlineStr">
        <is>
          <t>DALARNAS LÄN</t>
        </is>
      </c>
      <c r="G324" t="inlineStr">
        <is>
          <t>VANSBRO</t>
        </is>
      </c>
      <c r="I324" t="n">
        <v>15.8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20732-2026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46141</v>
      </c>
      <c r="E325" s="1" t="n">
        <v>46267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11007-2026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46079</v>
      </c>
      <c r="E326" s="1" t="n">
        <v>46267</v>
      </c>
      <c r="F326" t="inlineStr">
        <is>
          <t>DALARNAS LÄN</t>
        </is>
      </c>
      <c r="G326" t="inlineStr">
        <is>
          <t>VANSBRO</t>
        </is>
      </c>
      <c r="H326" t="inlineStr">
        <is>
          <t>Övriga statliga verk och myndigheter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15088-2025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45744</v>
      </c>
      <c r="E327" s="1" t="n">
        <v>46267</v>
      </c>
      <c r="F327" t="inlineStr">
        <is>
          <t>DALARNAS LÄN</t>
        </is>
      </c>
      <c r="G327" t="inlineStr">
        <is>
          <t>VANSBRO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50125-2023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45215</v>
      </c>
      <c r="E328" s="1" t="n">
        <v>46267</v>
      </c>
      <c r="F328" t="inlineStr">
        <is>
          <t>DALARNAS LÄN</t>
        </is>
      </c>
      <c r="G328" t="inlineStr">
        <is>
          <t>VANSBRO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50141-2023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45215</v>
      </c>
      <c r="E329" s="1" t="n">
        <v>46267</v>
      </c>
      <c r="F329" t="inlineStr">
        <is>
          <t>DALARNAS LÄN</t>
        </is>
      </c>
      <c r="G329" t="inlineStr">
        <is>
          <t>VANSBRO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16827-2025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45754</v>
      </c>
      <c r="E330" s="1" t="n">
        <v>46267</v>
      </c>
      <c r="F330" t="inlineStr">
        <is>
          <t>DALARNAS LÄN</t>
        </is>
      </c>
      <c r="G330" t="inlineStr">
        <is>
          <t>VANSBRO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59435-2023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45254</v>
      </c>
      <c r="E331" s="1" t="n">
        <v>46267</v>
      </c>
      <c r="F331" t="inlineStr">
        <is>
          <t>DALARNAS LÄN</t>
        </is>
      </c>
      <c r="G331" t="inlineStr">
        <is>
          <t>VANSBRO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3843-2024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45322</v>
      </c>
      <c r="E332" s="1" t="n">
        <v>46267</v>
      </c>
      <c r="F332" t="inlineStr">
        <is>
          <t>DALARNAS LÄN</t>
        </is>
      </c>
      <c r="G332" t="inlineStr">
        <is>
          <t>VANSBRO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59600-2023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45254</v>
      </c>
      <c r="E333" s="1" t="n">
        <v>46267</v>
      </c>
      <c r="F333" t="inlineStr">
        <is>
          <t>DALARNAS LÄN</t>
        </is>
      </c>
      <c r="G333" t="inlineStr">
        <is>
          <t>VANSBRO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21744-2026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46149</v>
      </c>
      <c r="E334" s="1" t="n">
        <v>46267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öst AB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44930</v>
      </c>
      <c r="E335" s="1" t="n">
        <v>46267</v>
      </c>
      <c r="F335" t="inlineStr">
        <is>
          <t>DALARNAS LÄN</t>
        </is>
      </c>
      <c r="G335" t="inlineStr">
        <is>
          <t>VANSBRO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7864-2024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45350</v>
      </c>
      <c r="E336" s="1" t="n">
        <v>46267</v>
      </c>
      <c r="F336" t="inlineStr">
        <is>
          <t>DALARNAS LÄN</t>
        </is>
      </c>
      <c r="G336" t="inlineStr">
        <is>
          <t>VANSBRO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55078-2022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44886</v>
      </c>
      <c r="E337" s="1" t="n">
        <v>46267</v>
      </c>
      <c r="F337" t="inlineStr">
        <is>
          <t>DALARNAS LÄN</t>
        </is>
      </c>
      <c r="G337" t="inlineStr">
        <is>
          <t>VANSBRO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22379-2026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46154</v>
      </c>
      <c r="E338" s="1" t="n">
        <v>46267</v>
      </c>
      <c r="F338" t="inlineStr">
        <is>
          <t>DALARNAS LÄN</t>
        </is>
      </c>
      <c r="G338" t="inlineStr">
        <is>
          <t>VANSBRO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22384-2026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46154</v>
      </c>
      <c r="E339" s="1" t="n">
        <v>46267</v>
      </c>
      <c r="F339" t="inlineStr">
        <is>
          <t>DALARNAS LÄN</t>
        </is>
      </c>
      <c r="G339" t="inlineStr">
        <is>
          <t>VANSBRO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39484-2025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45890</v>
      </c>
      <c r="E340" s="1" t="n">
        <v>46267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20419-2025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45775</v>
      </c>
      <c r="E341" s="1" t="n">
        <v>46267</v>
      </c>
      <c r="F341" t="inlineStr">
        <is>
          <t>DALARNAS LÄN</t>
        </is>
      </c>
      <c r="G341" t="inlineStr">
        <is>
          <t>VANSBRO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45265</v>
      </c>
      <c r="E342" s="1" t="n">
        <v>46267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23059-2026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46161</v>
      </c>
      <c r="E343" s="1" t="n">
        <v>46267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öst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23018-2026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46161</v>
      </c>
      <c r="E344" s="1" t="n">
        <v>46267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2938-2024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45315</v>
      </c>
      <c r="E345" s="1" t="n">
        <v>46267</v>
      </c>
      <c r="F345" t="inlineStr">
        <is>
          <t>DALARNAS LÄN</t>
        </is>
      </c>
      <c r="G345" t="inlineStr">
        <is>
          <t>VANSBRO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5386-2024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45331</v>
      </c>
      <c r="E346" s="1" t="n">
        <v>46267</v>
      </c>
      <c r="F346" t="inlineStr">
        <is>
          <t>DALARNAS LÄN</t>
        </is>
      </c>
      <c r="G346" t="inlineStr">
        <is>
          <t>VANSBRO</t>
        </is>
      </c>
      <c r="I346" t="n">
        <v>11.4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23752-2026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46164</v>
      </c>
      <c r="E347" s="1" t="n">
        <v>46267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öst AB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23780-2026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46164</v>
      </c>
      <c r="E348" s="1" t="n">
        <v>46267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11408-2025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45726</v>
      </c>
      <c r="E349" s="1" t="n">
        <v>46267</v>
      </c>
      <c r="F349" t="inlineStr">
        <is>
          <t>DALARNAS LÄN</t>
        </is>
      </c>
      <c r="G349" t="inlineStr">
        <is>
          <t>VANSBRO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33837-2024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46267</v>
      </c>
      <c r="F350" t="inlineStr">
        <is>
          <t>DALARNAS LÄN</t>
        </is>
      </c>
      <c r="G350" t="inlineStr">
        <is>
          <t>VANSBRO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35537-2024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45531</v>
      </c>
      <c r="E351" s="1" t="n">
        <v>46267</v>
      </c>
      <c r="F351" t="inlineStr">
        <is>
          <t>DALARNAS LÄN</t>
        </is>
      </c>
      <c r="G351" t="inlineStr">
        <is>
          <t>VANSBRO</t>
        </is>
      </c>
      <c r="H351" t="inlineStr">
        <is>
          <t>Övriga statliga verk och myndigheter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61515-2022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44916</v>
      </c>
      <c r="E352" s="1" t="n">
        <v>46267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14057-2023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45008</v>
      </c>
      <c r="E353" s="1" t="n">
        <v>46267</v>
      </c>
      <c r="F353" t="inlineStr">
        <is>
          <t>DALARNAS LÄN</t>
        </is>
      </c>
      <c r="G353" t="inlineStr">
        <is>
          <t>VANSBRO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5581-2023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44960</v>
      </c>
      <c r="E354" s="1" t="n">
        <v>46267</v>
      </c>
      <c r="F354" t="inlineStr">
        <is>
          <t>DALARNAS LÄN</t>
        </is>
      </c>
      <c r="G354" t="inlineStr">
        <is>
          <t>VANSBRO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41371-2022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44826</v>
      </c>
      <c r="E355" s="1" t="n">
        <v>46267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öst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25045-2026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46267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öst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7142-2023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44970</v>
      </c>
      <c r="E357" s="1" t="n">
        <v>46267</v>
      </c>
      <c r="F357" t="inlineStr">
        <is>
          <t>DALARNAS LÄN</t>
        </is>
      </c>
      <c r="G357" t="inlineStr">
        <is>
          <t>VANSBRO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17807-2022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44673</v>
      </c>
      <c r="E358" s="1" t="n">
        <v>46267</v>
      </c>
      <c r="F358" t="inlineStr">
        <is>
          <t>DALARNAS LÄN</t>
        </is>
      </c>
      <c r="G358" t="inlineStr">
        <is>
          <t>VANSBRO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54159-2022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44881</v>
      </c>
      <c r="E359" s="1" t="n">
        <v>46267</v>
      </c>
      <c r="F359" t="inlineStr">
        <is>
          <t>DALARNAS LÄN</t>
        </is>
      </c>
      <c r="G359" t="inlineStr">
        <is>
          <t>VANSBRO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22756-2024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45448</v>
      </c>
      <c r="E360" s="1" t="n">
        <v>46267</v>
      </c>
      <c r="F360" t="inlineStr">
        <is>
          <t>DALARNAS LÄN</t>
        </is>
      </c>
      <c r="G360" t="inlineStr">
        <is>
          <t>VANSBRO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44930</v>
      </c>
      <c r="E361" s="1" t="n">
        <v>46267</v>
      </c>
      <c r="F361" t="inlineStr">
        <is>
          <t>DALARNAS LÄN</t>
        </is>
      </c>
      <c r="G361" t="inlineStr">
        <is>
          <t>VANSBRO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46168</v>
      </c>
      <c r="E362" s="1" t="n">
        <v>46267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7.8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24277-2026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46169</v>
      </c>
      <c r="E363" s="1" t="n">
        <v>46267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30342-2023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45111</v>
      </c>
      <c r="E364" s="1" t="n">
        <v>46267</v>
      </c>
      <c r="F364" t="inlineStr">
        <is>
          <t>DALARNAS LÄN</t>
        </is>
      </c>
      <c r="G364" t="inlineStr">
        <is>
          <t>VANSBRO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25958-2026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46181</v>
      </c>
      <c r="E365" s="1" t="n">
        <v>46267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49509-2024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45596</v>
      </c>
      <c r="E366" s="1" t="n">
        <v>46267</v>
      </c>
      <c r="F366" t="inlineStr">
        <is>
          <t>DALARNAS LÄN</t>
        </is>
      </c>
      <c r="G366" t="inlineStr">
        <is>
          <t>VANSBRO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55942-2023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45240</v>
      </c>
      <c r="E367" s="1" t="n">
        <v>46267</v>
      </c>
      <c r="F367" t="inlineStr">
        <is>
          <t>DALARNAS LÄN</t>
        </is>
      </c>
      <c r="G367" t="inlineStr">
        <is>
          <t>VANSBRO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56129-2023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45240</v>
      </c>
      <c r="E368" s="1" t="n">
        <v>46267</v>
      </c>
      <c r="F368" t="inlineStr">
        <is>
          <t>DALARNAS LÄN</t>
        </is>
      </c>
      <c r="G368" t="inlineStr">
        <is>
          <t>VANSBRO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46034</v>
      </c>
      <c r="E369" s="1" t="n">
        <v>46267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48005-2022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46267</v>
      </c>
      <c r="F370" t="inlineStr">
        <is>
          <t>DALARNAS LÄN</t>
        </is>
      </c>
      <c r="G370" t="inlineStr">
        <is>
          <t>VANSBRO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34882-2022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44796</v>
      </c>
      <c r="E371" s="1" t="n">
        <v>46267</v>
      </c>
      <c r="F371" t="inlineStr">
        <is>
          <t>DALARNAS LÄN</t>
        </is>
      </c>
      <c r="G371" t="inlineStr">
        <is>
          <t>VANSBRO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49921-2023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45214</v>
      </c>
      <c r="E372" s="1" t="n">
        <v>46267</v>
      </c>
      <c r="F372" t="inlineStr">
        <is>
          <t>DALARNAS LÄN</t>
        </is>
      </c>
      <c r="G372" t="inlineStr">
        <is>
          <t>VANSBRO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26542-2026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46183</v>
      </c>
      <c r="E373" s="1" t="n">
        <v>46267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väst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27089-2024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45471</v>
      </c>
      <c r="E374" s="1" t="n">
        <v>46267</v>
      </c>
      <c r="F374" t="inlineStr">
        <is>
          <t>DALARNAS LÄN</t>
        </is>
      </c>
      <c r="G374" t="inlineStr">
        <is>
          <t>VANSBRO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45356-2024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45576</v>
      </c>
      <c r="E375" s="1" t="n">
        <v>46267</v>
      </c>
      <c r="F375" t="inlineStr">
        <is>
          <t>DALARNAS LÄN</t>
        </is>
      </c>
      <c r="G375" t="inlineStr">
        <is>
          <t>VANSBRO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26689-2026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46184</v>
      </c>
      <c r="E376" s="1" t="n">
        <v>46267</v>
      </c>
      <c r="F376" t="inlineStr">
        <is>
          <t>DALARNAS LÄN</t>
        </is>
      </c>
      <c r="G376" t="inlineStr">
        <is>
          <t>VANSBRO</t>
        </is>
      </c>
      <c r="H376" t="inlineStr">
        <is>
          <t>Övriga statliga verk och myndigheter</t>
        </is>
      </c>
      <c r="I376" t="n">
        <v>6.9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27344-2026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46188</v>
      </c>
      <c r="E377" s="1" t="n">
        <v>46267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31867-2026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46231</v>
      </c>
      <c r="E378" s="1" t="n">
        <v>46267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väst AB</t>
        </is>
      </c>
      <c r="I378" t="n">
        <v>20.2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45689</v>
      </c>
      <c r="E379" s="1" t="n">
        <v>46267</v>
      </c>
      <c r="F379" t="inlineStr">
        <is>
          <t>DALARNAS LÄN</t>
        </is>
      </c>
      <c r="G379" t="inlineStr">
        <is>
          <t>VANSBRO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9296-2023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44980</v>
      </c>
      <c r="E380" s="1" t="n">
        <v>46267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väst AB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27629-2026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46190</v>
      </c>
      <c r="E381" s="1" t="n">
        <v>46267</v>
      </c>
      <c r="F381" t="inlineStr">
        <is>
          <t>DALARNAS LÄN</t>
        </is>
      </c>
      <c r="G381" t="inlineStr">
        <is>
          <t>VANSBRO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27334-2026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46188</v>
      </c>
      <c r="E382" s="1" t="n">
        <v>46267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21418-2023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45063</v>
      </c>
      <c r="E383" s="1" t="n">
        <v>46267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öst AB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55570-2023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45238</v>
      </c>
      <c r="E384" s="1" t="n">
        <v>46267</v>
      </c>
      <c r="F384" t="inlineStr">
        <is>
          <t>DALARNAS LÄN</t>
        </is>
      </c>
      <c r="G384" t="inlineStr">
        <is>
          <t>VANSBRO</t>
        </is>
      </c>
      <c r="H384" t="inlineStr">
        <is>
          <t>Övriga statliga verk och myndigheter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757-2023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44931</v>
      </c>
      <c r="E385" s="1" t="n">
        <v>46267</v>
      </c>
      <c r="F385" t="inlineStr">
        <is>
          <t>DALARNAS LÄN</t>
        </is>
      </c>
      <c r="G385" t="inlineStr">
        <is>
          <t>VANSBRO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27195-2026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46267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27631-2026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46267</v>
      </c>
      <c r="F387" t="inlineStr">
        <is>
          <t>DALARNAS LÄN</t>
        </is>
      </c>
      <c r="G387" t="inlineStr">
        <is>
          <t>VANSBRO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53498-2024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45614</v>
      </c>
      <c r="E388" s="1" t="n">
        <v>46267</v>
      </c>
      <c r="F388" t="inlineStr">
        <is>
          <t>DALARNAS LÄN</t>
        </is>
      </c>
      <c r="G388" t="inlineStr">
        <is>
          <t>VANSBRO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27937-2026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46191</v>
      </c>
      <c r="E389" s="1" t="n">
        <v>46267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öst AB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27117-2026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46267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26669-2026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46184</v>
      </c>
      <c r="E391" s="1" t="n">
        <v>46267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27930-2026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46191</v>
      </c>
      <c r="E392" s="1" t="n">
        <v>46267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27242-2026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46267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10.5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46191</v>
      </c>
      <c r="E394" s="1" t="n">
        <v>46267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48111-2024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45589</v>
      </c>
      <c r="E395" s="1" t="n">
        <v>46267</v>
      </c>
      <c r="F395" t="inlineStr">
        <is>
          <t>DALARNAS LÄN</t>
        </is>
      </c>
      <c r="G395" t="inlineStr">
        <is>
          <t>VANSBRO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32393-2026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46238</v>
      </c>
      <c r="E396" s="1" t="n">
        <v>46267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29.6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9298-2023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44980</v>
      </c>
      <c r="E397" s="1" t="n">
        <v>46267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28069-2026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46195</v>
      </c>
      <c r="E398" s="1" t="n">
        <v>46267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10.7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28466-2026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46197</v>
      </c>
      <c r="E399" s="1" t="n">
        <v>46267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öst AB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34738-2023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45141</v>
      </c>
      <c r="E400" s="1" t="n">
        <v>46267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40382-2023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45169</v>
      </c>
      <c r="E401" s="1" t="n">
        <v>46267</v>
      </c>
      <c r="F401" t="inlineStr">
        <is>
          <t>DALARNAS LÄN</t>
        </is>
      </c>
      <c r="G401" t="inlineStr">
        <is>
          <t>VANSBRO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40383-2023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45169</v>
      </c>
      <c r="E402" s="1" t="n">
        <v>46267</v>
      </c>
      <c r="F402" t="inlineStr">
        <is>
          <t>DALARNAS LÄN</t>
        </is>
      </c>
      <c r="G402" t="inlineStr">
        <is>
          <t>VANSBRO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34277-2022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44791</v>
      </c>
      <c r="E403" s="1" t="n">
        <v>46267</v>
      </c>
      <c r="F403" t="inlineStr">
        <is>
          <t>DALARNAS LÄN</t>
        </is>
      </c>
      <c r="G403" t="inlineStr">
        <is>
          <t>VANSBRO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45296</v>
      </c>
      <c r="E404" s="1" t="n">
        <v>46267</v>
      </c>
      <c r="F404" t="inlineStr">
        <is>
          <t>DALARNAS LÄN</t>
        </is>
      </c>
      <c r="G404" t="inlineStr">
        <is>
          <t>VANSBRO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29035-2026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46199</v>
      </c>
      <c r="E405" s="1" t="n">
        <v>46267</v>
      </c>
      <c r="F405" t="inlineStr">
        <is>
          <t>DALARNAS LÄN</t>
        </is>
      </c>
      <c r="G405" t="inlineStr">
        <is>
          <t>VANSBRO</t>
        </is>
      </c>
      <c r="I405" t="n">
        <v>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8447-2022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44612</v>
      </c>
      <c r="E406" s="1" t="n">
        <v>46267</v>
      </c>
      <c r="F406" t="inlineStr">
        <is>
          <t>DALARNAS LÄN</t>
        </is>
      </c>
      <c r="G406" t="inlineStr">
        <is>
          <t>VANSBRO</t>
        </is>
      </c>
      <c r="I406" t="n">
        <v>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35365-2022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44798</v>
      </c>
      <c r="E407" s="1" t="n">
        <v>46267</v>
      </c>
      <c r="F407" t="inlineStr">
        <is>
          <t>DALARNAS LÄN</t>
        </is>
      </c>
      <c r="G407" t="inlineStr">
        <is>
          <t>VANSBRO</t>
        </is>
      </c>
      <c r="H407" t="inlineStr">
        <is>
          <t>Kommuner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29439-2026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46203</v>
      </c>
      <c r="E408" s="1" t="n">
        <v>46267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öst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29174-2026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46202</v>
      </c>
      <c r="E409" s="1" t="n">
        <v>46267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öst AB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10886-2025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45722</v>
      </c>
      <c r="E410" s="1" t="n">
        <v>46267</v>
      </c>
      <c r="F410" t="inlineStr">
        <is>
          <t>DALARNAS LÄN</t>
        </is>
      </c>
      <c r="G410" t="inlineStr">
        <is>
          <t>VANSBRO</t>
        </is>
      </c>
      <c r="I410" t="n">
        <v>15.5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33520-2024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45519</v>
      </c>
      <c r="E411" s="1" t="n">
        <v>46267</v>
      </c>
      <c r="F411" t="inlineStr">
        <is>
          <t>DALARNAS LÄN</t>
        </is>
      </c>
      <c r="G411" t="inlineStr">
        <is>
          <t>VANSBRO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29442-2026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46203</v>
      </c>
      <c r="E412" s="1" t="n">
        <v>46267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öst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62398-2021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44503</v>
      </c>
      <c r="E413" s="1" t="n">
        <v>46267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öst AB</t>
        </is>
      </c>
      <c r="I413" t="n">
        <v>22.1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23432-2024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45453</v>
      </c>
      <c r="E414" s="1" t="n">
        <v>46267</v>
      </c>
      <c r="F414" t="inlineStr">
        <is>
          <t>DALARNAS LÄN</t>
        </is>
      </c>
      <c r="G414" t="inlineStr">
        <is>
          <t>VANSBRO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29671-2026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46204</v>
      </c>
      <c r="E415" s="1" t="n">
        <v>46267</v>
      </c>
      <c r="F415" t="inlineStr">
        <is>
          <t>DALARNAS LÄN</t>
        </is>
      </c>
      <c r="G415" t="inlineStr">
        <is>
          <t>VANSBRO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45666</v>
      </c>
      <c r="E416" s="1" t="n">
        <v>46267</v>
      </c>
      <c r="F416" t="inlineStr">
        <is>
          <t>DALARNAS LÄN</t>
        </is>
      </c>
      <c r="G416" t="inlineStr">
        <is>
          <t>VANSBRO</t>
        </is>
      </c>
      <c r="H416" t="inlineStr">
        <is>
          <t>Övriga statliga verk och myndigheter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29630-2026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46204</v>
      </c>
      <c r="E417" s="1" t="n">
        <v>46267</v>
      </c>
      <c r="F417" t="inlineStr">
        <is>
          <t>DALARNAS LÄN</t>
        </is>
      </c>
      <c r="G417" t="inlineStr">
        <is>
          <t>VANSBRO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29621-2026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46204</v>
      </c>
      <c r="E418" s="1" t="n">
        <v>46267</v>
      </c>
      <c r="F418" t="inlineStr">
        <is>
          <t>DALARNAS LÄN</t>
        </is>
      </c>
      <c r="G418" t="inlineStr">
        <is>
          <t>VANSBRO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29687-2026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46204</v>
      </c>
      <c r="E419" s="1" t="n">
        <v>46267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öst AB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16823-2025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45754</v>
      </c>
      <c r="E420" s="1" t="n">
        <v>46267</v>
      </c>
      <c r="F420" t="inlineStr">
        <is>
          <t>DALARNAS LÄN</t>
        </is>
      </c>
      <c r="G420" t="inlineStr">
        <is>
          <t>VANSBRO</t>
        </is>
      </c>
      <c r="I420" t="n">
        <v>9.9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8793-2025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45712</v>
      </c>
      <c r="E421" s="1" t="n">
        <v>46267</v>
      </c>
      <c r="F421" t="inlineStr">
        <is>
          <t>DALARNAS LÄN</t>
        </is>
      </c>
      <c r="G421" t="inlineStr">
        <is>
          <t>VANSBRO</t>
        </is>
      </c>
      <c r="I421" t="n">
        <v>13.8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60036-2023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45258</v>
      </c>
      <c r="E422" s="1" t="n">
        <v>46267</v>
      </c>
      <c r="F422" t="inlineStr">
        <is>
          <t>DALARNAS LÄN</t>
        </is>
      </c>
      <c r="G422" t="inlineStr">
        <is>
          <t>VANSBRO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33949-2026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46252</v>
      </c>
      <c r="E423" s="1" t="n">
        <v>46267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2086-2024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45309</v>
      </c>
      <c r="E424" s="1" t="n">
        <v>46267</v>
      </c>
      <c r="F424" t="inlineStr">
        <is>
          <t>DALARNAS LÄN</t>
        </is>
      </c>
      <c r="G424" t="inlineStr">
        <is>
          <t>VANSBRO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33953-2026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46252</v>
      </c>
      <c r="E425" s="1" t="n">
        <v>46267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18882-2025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45764</v>
      </c>
      <c r="E426" s="1" t="n">
        <v>46267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47824-2023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45204</v>
      </c>
      <c r="E427" s="1" t="n">
        <v>46267</v>
      </c>
      <c r="F427" t="inlineStr">
        <is>
          <t>DALARNAS LÄN</t>
        </is>
      </c>
      <c r="G427" t="inlineStr">
        <is>
          <t>VANSBRO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42824-2023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45182</v>
      </c>
      <c r="E428" s="1" t="n">
        <v>46267</v>
      </c>
      <c r="F428" t="inlineStr">
        <is>
          <t>DALARNAS LÄN</t>
        </is>
      </c>
      <c r="G428" t="inlineStr">
        <is>
          <t>VANSBRO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33944-2026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46252</v>
      </c>
      <c r="E429" s="1" t="n">
        <v>46267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56986-2023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45244</v>
      </c>
      <c r="E430" s="1" t="n">
        <v>46267</v>
      </c>
      <c r="F430" t="inlineStr">
        <is>
          <t>DALARNAS LÄN</t>
        </is>
      </c>
      <c r="G430" t="inlineStr">
        <is>
          <t>VANSBRO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46210</v>
      </c>
      <c r="E431" s="1" t="n">
        <v>46267</v>
      </c>
      <c r="F431" t="inlineStr">
        <is>
          <t>DALARNAS LÄN</t>
        </is>
      </c>
      <c r="G431" t="inlineStr">
        <is>
          <t>VANSBRO</t>
        </is>
      </c>
      <c r="H431" t="inlineStr">
        <is>
          <t>Övriga statliga verk och myndigheter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30568-2026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46210</v>
      </c>
      <c r="E432" s="1" t="n">
        <v>46267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öst AB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34374-2026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46254</v>
      </c>
      <c r="E433" s="1" t="n">
        <v>46267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34207-2026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46253</v>
      </c>
      <c r="E434" s="1" t="n">
        <v>46267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12.1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34210-2026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46253</v>
      </c>
      <c r="E435" s="1" t="n">
        <v>46267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34211-2026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46253</v>
      </c>
      <c r="E436" s="1" t="n">
        <v>46267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13.3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34214-2026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46253</v>
      </c>
      <c r="E437" s="1" t="n">
        <v>46267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17.3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34216-2026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46253</v>
      </c>
      <c r="E438" s="1" t="n">
        <v>46267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18.9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34209-2026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46253</v>
      </c>
      <c r="E439" s="1" t="n">
        <v>46267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29288-2024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45483</v>
      </c>
      <c r="E440" s="1" t="n">
        <v>46267</v>
      </c>
      <c r="F440" t="inlineStr">
        <is>
          <t>DALARNAS LÄN</t>
        </is>
      </c>
      <c r="G440" t="inlineStr">
        <is>
          <t>VANSBRO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21616-2025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45783</v>
      </c>
      <c r="E441" s="1" t="n">
        <v>46267</v>
      </c>
      <c r="F441" t="inlineStr">
        <is>
          <t>DALARNAS LÄN</t>
        </is>
      </c>
      <c r="G441" t="inlineStr">
        <is>
          <t>VANSBRO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2558-2025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45674</v>
      </c>
      <c r="E442" s="1" t="n">
        <v>46267</v>
      </c>
      <c r="F442" t="inlineStr">
        <is>
          <t>DALARNAS LÄN</t>
        </is>
      </c>
      <c r="G442" t="inlineStr">
        <is>
          <t>VANSBRO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21656-2025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45783</v>
      </c>
      <c r="E443" s="1" t="n">
        <v>46267</v>
      </c>
      <c r="F443" t="inlineStr">
        <is>
          <t>DALARNAS LÄN</t>
        </is>
      </c>
      <c r="G443" t="inlineStr">
        <is>
          <t>VANSBRO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34583-2026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46255</v>
      </c>
      <c r="E444" s="1" t="n">
        <v>46267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23085-2022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44719</v>
      </c>
      <c r="E445" s="1" t="n">
        <v>46267</v>
      </c>
      <c r="F445" t="inlineStr">
        <is>
          <t>DALARNAS LÄN</t>
        </is>
      </c>
      <c r="G445" t="inlineStr">
        <is>
          <t>VANSBRO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34760-2026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46258</v>
      </c>
      <c r="E446" s="1" t="n">
        <v>46267</v>
      </c>
      <c r="F446" t="inlineStr">
        <is>
          <t>DALARNAS LÄN</t>
        </is>
      </c>
      <c r="G446" t="inlineStr">
        <is>
          <t>VANSBRO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30796-2026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46212</v>
      </c>
      <c r="E447" s="1" t="n">
        <v>46267</v>
      </c>
      <c r="F447" t="inlineStr">
        <is>
          <t>DALARNAS LÄN</t>
        </is>
      </c>
      <c r="G447" t="inlineStr">
        <is>
          <t>VANSBRO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34759-2026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46258</v>
      </c>
      <c r="E448" s="1" t="n">
        <v>46267</v>
      </c>
      <c r="F448" t="inlineStr">
        <is>
          <t>DALARNAS LÄN</t>
        </is>
      </c>
      <c r="G448" t="inlineStr">
        <is>
          <t>VANSBRO</t>
        </is>
      </c>
      <c r="I448" t="n">
        <v>7.6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45492</v>
      </c>
      <c r="E449" s="1" t="n">
        <v>46267</v>
      </c>
      <c r="F449" t="inlineStr">
        <is>
          <t>DALARNAS LÄN</t>
        </is>
      </c>
      <c r="G449" t="inlineStr">
        <is>
          <t>VANSBRO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28872-2026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46199</v>
      </c>
      <c r="E450" s="1" t="n">
        <v>46267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30784-2026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46212</v>
      </c>
      <c r="E451" s="1" t="n">
        <v>46267</v>
      </c>
      <c r="F451" t="inlineStr">
        <is>
          <t>DALARNAS LÄN</t>
        </is>
      </c>
      <c r="G451" t="inlineStr">
        <is>
          <t>VANSBRO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35042-2026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46259</v>
      </c>
      <c r="E452" s="1" t="n">
        <v>46267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öst AB</t>
        </is>
      </c>
      <c r="I452" t="n">
        <v>6.9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29411-2024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45483</v>
      </c>
      <c r="E453" s="1" t="n">
        <v>46267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35050-2026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46259</v>
      </c>
      <c r="E454" s="1" t="n">
        <v>46267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öst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35330-2026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46261</v>
      </c>
      <c r="E455" s="1" t="n">
        <v>46267</v>
      </c>
      <c r="F455" t="inlineStr">
        <is>
          <t>DALARNAS LÄN</t>
        </is>
      </c>
      <c r="G455" t="inlineStr">
        <is>
          <t>VANSBRO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23792-2025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45793</v>
      </c>
      <c r="E456" s="1" t="n">
        <v>46267</v>
      </c>
      <c r="F456" t="inlineStr">
        <is>
          <t>DALARNAS LÄN</t>
        </is>
      </c>
      <c r="G456" t="inlineStr">
        <is>
          <t>VANSBRO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35579-2026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46262</v>
      </c>
      <c r="E457" s="1" t="n">
        <v>46267</v>
      </c>
      <c r="F457" t="inlineStr">
        <is>
          <t>DALARNAS LÄN</t>
        </is>
      </c>
      <c r="G457" t="inlineStr">
        <is>
          <t>VANSBRO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4760-2025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45688</v>
      </c>
      <c r="E458" s="1" t="n">
        <v>46267</v>
      </c>
      <c r="F458" t="inlineStr">
        <is>
          <t>DALARNAS LÄN</t>
        </is>
      </c>
      <c r="G458" t="inlineStr">
        <is>
          <t>VANSBRO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35516-2024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45531</v>
      </c>
      <c r="E459" s="1" t="n">
        <v>46267</v>
      </c>
      <c r="F459" t="inlineStr">
        <is>
          <t>DALARNAS LÄN</t>
        </is>
      </c>
      <c r="G459" t="inlineStr">
        <is>
          <t>VANSBRO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24522-2025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45798</v>
      </c>
      <c r="E460" s="1" t="n">
        <v>46267</v>
      </c>
      <c r="F460" t="inlineStr">
        <is>
          <t>DALARNAS LÄN</t>
        </is>
      </c>
      <c r="G460" t="inlineStr">
        <is>
          <t>VANSBRO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35752-2026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46265</v>
      </c>
      <c r="E461" s="1" t="n">
        <v>46267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öst AB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35973-2026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46266</v>
      </c>
      <c r="E462" s="1" t="n">
        <v>46267</v>
      </c>
      <c r="F462" t="inlineStr">
        <is>
          <t>DALARNAS LÄN</t>
        </is>
      </c>
      <c r="G462" t="inlineStr">
        <is>
          <t>VANSBRO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1286-2024</t>
        </is>
      </c>
      <c r="B463" t="inlineStr">
        <is>
          <t>samrådsanmälan</t>
        </is>
      </c>
      <c r="C463" t="inlineStr">
        <is>
          <t>Skogsgödsling</t>
        </is>
      </c>
      <c r="D463" s="1" t="n">
        <v>45401</v>
      </c>
      <c r="E463" s="1" t="n">
        <v>46267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220.8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4782-2022</t>
        </is>
      </c>
      <c r="B464" t="inlineStr">
        <is>
          <t>samrådsanmälan</t>
        </is>
      </c>
      <c r="C464" t="inlineStr">
        <is>
          <t>Skogsbilväg</t>
        </is>
      </c>
      <c r="D464" s="1" t="n">
        <v>44802</v>
      </c>
      <c r="E464" s="1" t="n">
        <v>46267</v>
      </c>
      <c r="F464" t="inlineStr">
        <is>
          <t>DALARNAS LÄN</t>
        </is>
      </c>
      <c r="G464" t="inlineStr">
        <is>
          <t>VANSBRO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3514-2023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45208</v>
      </c>
      <c r="E465" s="1" t="n">
        <v>46267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väst AB</t>
        </is>
      </c>
      <c r="I465" t="n">
        <v>37.8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409-2025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45699</v>
      </c>
      <c r="E466" s="1" t="n">
        <v>46267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öst AB</t>
        </is>
      </c>
      <c r="I466" t="n">
        <v>277.1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91-2026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46035</v>
      </c>
      <c r="E467" s="1" t="n">
        <v>46267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väst AB</t>
        </is>
      </c>
      <c r="I467" t="n">
        <v>153.5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>
      <c r="A468" t="inlineStr">
        <is>
          <t>S 747-2026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46089</v>
      </c>
      <c r="E468" s="1" t="n">
        <v>46267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öst AB</t>
        </is>
      </c>
      <c r="I468" t="n">
        <v>82.40000000000001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2026-09-02T02:04:45Z</dcterms:created>
  <dcterms:modified xmlns:dcterms="http://purl.org/dc/terms/" xmlns:xsi="http://www.w3.org/2001/XMLSchema-instance" xsi:type="dcterms:W3CDTF">2026-09-02T02:04:46Z</dcterms:modified>
</cp:coreProperties>
</file>