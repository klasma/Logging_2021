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46199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46199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46199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46199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s="1" t="n">
        <v>45982</v>
      </c>
      <c r="C8" s="1" t="n">
        <v>46199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8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10</v>
      </c>
      <c r="R8" s="2" t="inlineStr">
        <is>
          <t>Vridfingersvamp
Lutvaxing
Blodvaxing
Gulvaxing
Hagfingersvamp
Honungsvaxing
Kantarellvaxing
Tvåblad
Vitvaxing agg.
Ängsvaxing agg.</t>
        </is>
      </c>
      <c r="S8">
        <f>HYPERLINK("https://klasma.github.io/Logging_2021/artfynd/A 57979-2025 artfynd.xlsx", "A 57979-2025")</f>
        <v/>
      </c>
      <c r="T8">
        <f>HYPERLINK("https://klasma.github.io/Logging_2021/kartor/A 57979-2025 karta.png", "A 57979-2025")</f>
        <v/>
      </c>
      <c r="V8">
        <f>HYPERLINK("https://klasma.github.io/Logging_2021/klagomål/A 57979-2025 FSC-klagomål.docx", "A 57979-2025")</f>
        <v/>
      </c>
      <c r="W8">
        <f>HYPERLINK("https://klasma.github.io/Logging_2021/klagomålsmail/A 57979-2025 FSC-klagomål mail.docx", "A 57979-2025")</f>
        <v/>
      </c>
      <c r="X8">
        <f>HYPERLINK("https://klasma.github.io/Logging_2021/tillsyn/A 57979-2025 tillsynsbegäran.docx", "A 57979-2025")</f>
        <v/>
      </c>
      <c r="Y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46199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3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Garnlav
Knärot
Fjällig taggsvamp s.str.
Orange taggsvamp
Rynkskinn
Tretåig hackspett
Ullticka
Trådticka
Vedticka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46199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46199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46199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46199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46199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46199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46199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13339-2025</t>
        </is>
      </c>
      <c r="B17" s="1" t="n">
        <v>45735</v>
      </c>
      <c r="C17" s="1" t="n">
        <v>46199</v>
      </c>
      <c r="D17" t="inlineStr">
        <is>
          <t>DALARNAS LÄN</t>
        </is>
      </c>
      <c r="E17" t="inlineStr">
        <is>
          <t>VANSBRO</t>
        </is>
      </c>
      <c r="G17" t="n">
        <v>0.4</v>
      </c>
      <c r="H17" t="n">
        <v>1</v>
      </c>
      <c r="I17" t="n">
        <v>0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Garnlav
Knärot
Dropptaggsvamp
Mörk kolflarnlav</t>
        </is>
      </c>
      <c r="S17">
        <f>HYPERLINK("https://klasma.github.io/Logging_2021/artfynd/A 13339-2025 artfynd.xlsx", "A 13339-2025")</f>
        <v/>
      </c>
      <c r="T17">
        <f>HYPERLINK("https://klasma.github.io/Logging_2021/kartor/A 13339-2025 karta.png", "A 13339-2025")</f>
        <v/>
      </c>
      <c r="U17">
        <f>HYPERLINK("https://klasma.github.io/Logging_2021/knärot/A 13339-2025 karta knärot.png", "A 13339-2025")</f>
        <v/>
      </c>
      <c r="V17">
        <f>HYPERLINK("https://klasma.github.io/Logging_2021/klagomål/A 13339-2025 FSC-klagomål.docx", "A 13339-2025")</f>
        <v/>
      </c>
      <c r="W17">
        <f>HYPERLINK("https://klasma.github.io/Logging_2021/klagomålsmail/A 13339-2025 FSC-klagomål mail.docx", "A 13339-2025")</f>
        <v/>
      </c>
      <c r="X17">
        <f>HYPERLINK("https://klasma.github.io/Logging_2021/tillsyn/A 13339-2025 tillsynsbegäran.docx", "A 13339-2025")</f>
        <v/>
      </c>
      <c r="Y17">
        <f>HYPERLINK("https://klasma.github.io/Logging_2021/tillsynsmail/A 13339-2025 tillsynsbegäran mail.docx", "A 13339-2025")</f>
        <v/>
      </c>
    </row>
    <row r="18" ht="15" customHeight="1">
      <c r="A18" t="inlineStr">
        <is>
          <t>A 13344-2025</t>
        </is>
      </c>
      <c r="B18" s="1" t="n">
        <v>45735</v>
      </c>
      <c r="C18" s="1" t="n">
        <v>46199</v>
      </c>
      <c r="D18" t="inlineStr">
        <is>
          <t>DALARNAS LÄN</t>
        </is>
      </c>
      <c r="E18" t="inlineStr">
        <is>
          <t>VANSBRO</t>
        </is>
      </c>
      <c r="G18" t="n">
        <v>0.5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Mörk kolflarnlav
Ullticka
Tjäder</t>
        </is>
      </c>
      <c r="S18">
        <f>HYPERLINK("https://klasma.github.io/Logging_2021/artfynd/A 13344-2025 artfynd.xlsx", "A 13344-2025")</f>
        <v/>
      </c>
      <c r="T18">
        <f>HYPERLINK("https://klasma.github.io/Logging_2021/kartor/A 13344-2025 karta.png", "A 13344-2025")</f>
        <v/>
      </c>
      <c r="U18">
        <f>HYPERLINK("https://klasma.github.io/Logging_2021/knärot/A 13344-2025 karta knärot.png", "A 13344-2025")</f>
        <v/>
      </c>
      <c r="V18">
        <f>HYPERLINK("https://klasma.github.io/Logging_2021/klagomål/A 13344-2025 FSC-klagomål.docx", "A 13344-2025")</f>
        <v/>
      </c>
      <c r="W18">
        <f>HYPERLINK("https://klasma.github.io/Logging_2021/klagomålsmail/A 13344-2025 FSC-klagomål mail.docx", "A 13344-2025")</f>
        <v/>
      </c>
      <c r="X18">
        <f>HYPERLINK("https://klasma.github.io/Logging_2021/tillsyn/A 13344-2025 tillsynsbegäran.docx", "A 13344-2025")</f>
        <v/>
      </c>
      <c r="Y18">
        <f>HYPERLINK("https://klasma.github.io/Logging_2021/tillsynsmail/A 13344-2025 tillsynsbegäran mail.docx", "A 13344-2025")</f>
        <v/>
      </c>
      <c r="Z18">
        <f>HYPERLINK("https://klasma.github.io/Logging_2021/fåglar/A 13344-2025 prioriterade fågelarter.docx", "A 13344-2025")</f>
        <v/>
      </c>
    </row>
    <row r="19" ht="15" customHeight="1">
      <c r="A19" t="inlineStr">
        <is>
          <t>A 45350-2024</t>
        </is>
      </c>
      <c r="B19" s="1" t="n">
        <v>45576</v>
      </c>
      <c r="C19" s="1" t="n">
        <v>46199</v>
      </c>
      <c r="D19" t="inlineStr">
        <is>
          <t>DALARNAS LÄN</t>
        </is>
      </c>
      <c r="E19" t="inlineStr">
        <is>
          <t>VANSBRO</t>
        </is>
      </c>
      <c r="G19" t="n">
        <v>13.4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Garnlav
Dropptaggsvamp
Kolflarnlav
Mindre märgborre</t>
        </is>
      </c>
      <c r="S19">
        <f>HYPERLINK("https://klasma.github.io/Logging_2021/artfynd/A 45350-2024 artfynd.xlsx", "A 45350-2024")</f>
        <v/>
      </c>
      <c r="T19">
        <f>HYPERLINK("https://klasma.github.io/Logging_2021/kartor/A 45350-2024 karta.png", "A 45350-2024")</f>
        <v/>
      </c>
      <c r="V19">
        <f>HYPERLINK("https://klasma.github.io/Logging_2021/klagomål/A 45350-2024 FSC-klagomål.docx", "A 45350-2024")</f>
        <v/>
      </c>
      <c r="W19">
        <f>HYPERLINK("https://klasma.github.io/Logging_2021/klagomålsmail/A 45350-2024 FSC-klagomål mail.docx", "A 45350-2024")</f>
        <v/>
      </c>
      <c r="X19">
        <f>HYPERLINK("https://klasma.github.io/Logging_2021/tillsyn/A 45350-2024 tillsynsbegäran.docx", "A 45350-2024")</f>
        <v/>
      </c>
      <c r="Y19">
        <f>HYPERLINK("https://klasma.github.io/Logging_2021/tillsynsmail/A 45350-2024 tillsynsbegäran mail.docx", "A 45350-2024")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46199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46199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46199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s="1" t="n">
        <v>45409</v>
      </c>
      <c r="C23" s="1" t="n">
        <v>46199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Skuggblåslav
Bollvitmossa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27504-2025</t>
        </is>
      </c>
      <c r="B24" s="1" t="n">
        <v>45813</v>
      </c>
      <c r="C24" s="1" t="n">
        <v>46199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Kortskaftad ärgspik
Vedticka</t>
        </is>
      </c>
      <c r="S24">
        <f>HYPERLINK("https://klasma.github.io/Logging_2021/artfynd/A 27504-2025 artfynd.xlsx", "A 27504-2025")</f>
        <v/>
      </c>
      <c r="T24">
        <f>HYPERLINK("https://klasma.github.io/Logging_2021/kartor/A 27504-2025 karta.png", "A 27504-2025")</f>
        <v/>
      </c>
      <c r="V24">
        <f>HYPERLINK("https://klasma.github.io/Logging_2021/klagomål/A 27504-2025 FSC-klagomål.docx", "A 27504-2025")</f>
        <v/>
      </c>
      <c r="W24">
        <f>HYPERLINK("https://klasma.github.io/Logging_2021/klagomålsmail/A 27504-2025 FSC-klagomål mail.docx", "A 27504-2025")</f>
        <v/>
      </c>
      <c r="X24">
        <f>HYPERLINK("https://klasma.github.io/Logging_2021/tillsyn/A 27504-2025 tillsynsbegäran.docx", "A 27504-2025")</f>
        <v/>
      </c>
      <c r="Y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s="1" t="n">
        <v>45726</v>
      </c>
      <c r="C25" s="1" t="n">
        <v>46199</v>
      </c>
      <c r="D25" t="inlineStr">
        <is>
          <t>DALARNAS LÄN</t>
        </is>
      </c>
      <c r="E25" t="inlineStr">
        <is>
          <t>VANSBRO</t>
        </is>
      </c>
      <c r="G25" t="n">
        <v>7.5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Garnlav
Knärot
Bollvitmossa</t>
        </is>
      </c>
      <c r="S25">
        <f>HYPERLINK("https://klasma.github.io/Logging_2021/artfynd/A 11433-2025 artfynd.xlsx", "A 11433-2025")</f>
        <v/>
      </c>
      <c r="T25">
        <f>HYPERLINK("https://klasma.github.io/Logging_2021/kartor/A 11433-2025 karta.png", "A 11433-2025")</f>
        <v/>
      </c>
      <c r="U25">
        <f>HYPERLINK("https://klasma.github.io/Logging_2021/knärot/A 11433-2025 karta knärot.png", "A 11433-2025")</f>
        <v/>
      </c>
      <c r="V25">
        <f>HYPERLINK("https://klasma.github.io/Logging_2021/klagomål/A 11433-2025 FSC-klagomål.docx", "A 11433-2025")</f>
        <v/>
      </c>
      <c r="W25">
        <f>HYPERLINK("https://klasma.github.io/Logging_2021/klagomålsmail/A 11433-2025 FSC-klagomål mail.docx", "A 11433-2025")</f>
        <v/>
      </c>
      <c r="X25">
        <f>HYPERLINK("https://klasma.github.io/Logging_2021/tillsyn/A 11433-2025 tillsynsbegäran.docx", "A 11433-2025")</f>
        <v/>
      </c>
      <c r="Y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46199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1691-2026</t>
        </is>
      </c>
      <c r="B27" s="1" t="n">
        <v>46034</v>
      </c>
      <c r="C27" s="1" t="n">
        <v>46199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Dropptaggsvamp
Motaggsvamp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46199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HYPERLINK("https://klasma.github.io/Logging_2021/artfynd/A 13323-2025 artfynd.xlsx", "A 13323-2025")</f>
        <v/>
      </c>
      <c r="T28">
        <f>HYPERLINK("https://klasma.github.io/Logging_2021/kartor/A 13323-2025 karta.png", "A 13323-2025")</f>
        <v/>
      </c>
      <c r="U28">
        <f>HYPERLINK("https://klasma.github.io/Logging_2021/knärot/A 13323-2025 karta knärot.png", "A 13323-2025")</f>
        <v/>
      </c>
      <c r="V28">
        <f>HYPERLINK("https://klasma.github.io/Logging_2021/klagomål/A 13323-2025 FSC-klagomål.docx", "A 13323-2025")</f>
        <v/>
      </c>
      <c r="W28">
        <f>HYPERLINK("https://klasma.github.io/Logging_2021/klagomålsmail/A 13323-2025 FSC-klagomål mail.docx", "A 13323-2025")</f>
        <v/>
      </c>
      <c r="X28">
        <f>HYPERLINK("https://klasma.github.io/Logging_2021/tillsyn/A 13323-2025 tillsynsbegäran.docx", "A 13323-2025")</f>
        <v/>
      </c>
      <c r="Y28">
        <f>HYPERLINK("https://klasma.github.io/Logging_2021/tillsynsmail/A 13323-2025 tillsynsbegäran mail.docx", "A 13323-2025")</f>
        <v/>
      </c>
    </row>
    <row r="29" ht="15" customHeight="1">
      <c r="A29" t="inlineStr">
        <is>
          <t>A 19656-2026</t>
        </is>
      </c>
      <c r="B29" s="1" t="n">
        <v>46134</v>
      </c>
      <c r="C29" s="1" t="n">
        <v>46199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18.2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Ängsblåvinge
Berggräsfjäril</t>
        </is>
      </c>
      <c r="S29">
        <f>HYPERLINK("https://klasma.github.io/Logging_2021/artfynd/A 19656-2026 artfynd.xlsx", "A 19656-2026")</f>
        <v/>
      </c>
      <c r="T29">
        <f>HYPERLINK("https://klasma.github.io/Logging_2021/kartor/A 19656-2026 karta.png", "A 19656-2026")</f>
        <v/>
      </c>
      <c r="V29">
        <f>HYPERLINK("https://klasma.github.io/Logging_2021/klagomål/A 19656-2026 FSC-klagomål.docx", "A 19656-2026")</f>
        <v/>
      </c>
      <c r="W29">
        <f>HYPERLINK("https://klasma.github.io/Logging_2021/klagomålsmail/A 19656-2026 FSC-klagomål mail.docx", "A 19656-2026")</f>
        <v/>
      </c>
      <c r="X29">
        <f>HYPERLINK("https://klasma.github.io/Logging_2021/tillsyn/A 19656-2026 tillsynsbegäran.docx", "A 19656-2026")</f>
        <v/>
      </c>
      <c r="Y29">
        <f>HYPERLINK("https://klasma.github.io/Logging_2021/tillsynsmail/A 19656-2026 tillsynsbegäran mail.docx", "A 19656-2026")</f>
        <v/>
      </c>
    </row>
    <row r="30" ht="15" customHeight="1">
      <c r="A30" t="inlineStr">
        <is>
          <t>A 14475-2024</t>
        </is>
      </c>
      <c r="B30" s="1" t="n">
        <v>45394</v>
      </c>
      <c r="C30" s="1" t="n">
        <v>46199</v>
      </c>
      <c r="D30" t="inlineStr">
        <is>
          <t>DALARNAS LÄN</t>
        </is>
      </c>
      <c r="E30" t="inlineStr">
        <is>
          <t>VANSBRO</t>
        </is>
      </c>
      <c r="G30" t="n">
        <v>20.4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Dropptaggsvamp</t>
        </is>
      </c>
      <c r="S30">
        <f>HYPERLINK("https://klasma.github.io/Logging_2021/artfynd/A 14475-2024 artfynd.xlsx", "A 14475-2024")</f>
        <v/>
      </c>
      <c r="T30">
        <f>HYPERLINK("https://klasma.github.io/Logging_2021/kartor/A 14475-2024 karta.png", "A 14475-2024")</f>
        <v/>
      </c>
      <c r="V30">
        <f>HYPERLINK("https://klasma.github.io/Logging_2021/klagomål/A 14475-2024 FSC-klagomål.docx", "A 14475-2024")</f>
        <v/>
      </c>
      <c r="W30">
        <f>HYPERLINK("https://klasma.github.io/Logging_2021/klagomålsmail/A 14475-2024 FSC-klagomål mail.docx", "A 14475-2024")</f>
        <v/>
      </c>
      <c r="X30">
        <f>HYPERLINK("https://klasma.github.io/Logging_2021/tillsyn/A 14475-2024 tillsynsbegäran.docx", "A 14475-2024")</f>
        <v/>
      </c>
      <c r="Y30">
        <f>HYPERLINK("https://klasma.github.io/Logging_2021/tillsynsmail/A 14475-2024 tillsynsbegäran mail.docx", "A 14475-2024")</f>
        <v/>
      </c>
    </row>
    <row r="31" ht="15" customHeight="1">
      <c r="A31" t="inlineStr">
        <is>
          <t>A 58009-2023</t>
        </is>
      </c>
      <c r="B31" s="1" t="n">
        <v>45247</v>
      </c>
      <c r="C31" s="1" t="n">
        <v>46199</v>
      </c>
      <c r="D31" t="inlineStr">
        <is>
          <t>DALARNAS LÄN</t>
        </is>
      </c>
      <c r="E31" t="inlineStr">
        <is>
          <t>VANSBRO</t>
        </is>
      </c>
      <c r="G31" t="n">
        <v>0.5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Sädesärla
Orre</t>
        </is>
      </c>
      <c r="S31">
        <f>HYPERLINK("https://klasma.github.io/Logging_2021/artfynd/A 58009-2023 artfynd.xlsx", "A 58009-2023")</f>
        <v/>
      </c>
      <c r="T31">
        <f>HYPERLINK("https://klasma.github.io/Logging_2021/kartor/A 58009-2023 karta.png", "A 58009-2023")</f>
        <v/>
      </c>
      <c r="V31">
        <f>HYPERLINK("https://klasma.github.io/Logging_2021/klagomål/A 58009-2023 FSC-klagomål.docx", "A 58009-2023")</f>
        <v/>
      </c>
      <c r="W31">
        <f>HYPERLINK("https://klasma.github.io/Logging_2021/klagomålsmail/A 58009-2023 FSC-klagomål mail.docx", "A 58009-2023")</f>
        <v/>
      </c>
      <c r="X31">
        <f>HYPERLINK("https://klasma.github.io/Logging_2021/tillsyn/A 58009-2023 tillsynsbegäran.docx", "A 58009-2023")</f>
        <v/>
      </c>
      <c r="Y31">
        <f>HYPERLINK("https://klasma.github.io/Logging_2021/tillsynsmail/A 58009-2023 tillsynsbegäran mail.docx", "A 58009-2023")</f>
        <v/>
      </c>
      <c r="Z31">
        <f>HYPERLINK("https://klasma.github.io/Logging_2021/fåglar/A 58009-2023 prioriterade fågelarter.docx", "A 58009-2023")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46199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46199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27052-2025</t>
        </is>
      </c>
      <c r="B35" s="1" t="n">
        <v>45811</v>
      </c>
      <c r="C35" s="1" t="n">
        <v>46199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HYPERLINK("https://klasma.github.io/Logging_2021/artfynd/A 27052-2025 artfynd.xlsx", "A 27052-2025")</f>
        <v/>
      </c>
      <c r="T35">
        <f>HYPERLINK("https://klasma.github.io/Logging_2021/kartor/A 27052-2025 karta.png", "A 27052-2025")</f>
        <v/>
      </c>
      <c r="V35">
        <f>HYPERLINK("https://klasma.github.io/Logging_2021/klagomål/A 27052-2025 FSC-klagomål.docx", "A 27052-2025")</f>
        <v/>
      </c>
      <c r="W35">
        <f>HYPERLINK("https://klasma.github.io/Logging_2021/klagomålsmail/A 27052-2025 FSC-klagomål mail.docx", "A 27052-2025")</f>
        <v/>
      </c>
      <c r="X35">
        <f>HYPERLINK("https://klasma.github.io/Logging_2021/tillsyn/A 27052-2025 tillsynsbegäran.docx", "A 27052-2025")</f>
        <v/>
      </c>
      <c r="Y35">
        <f>HYPERLINK("https://klasma.github.io/Logging_2021/tillsynsmail/A 27052-2025 tillsynsbegäran mail.docx", "A 27052-2025")</f>
        <v/>
      </c>
      <c r="Z35">
        <f>HYPERLINK("https://klasma.github.io/Logging_2021/fåglar/A 27052-2025 prioriterade fågelarter.docx", "A 27052-2025")</f>
        <v/>
      </c>
    </row>
    <row r="36" ht="15" customHeight="1">
      <c r="A36" t="inlineStr">
        <is>
          <t>A 48109-2025</t>
        </is>
      </c>
      <c r="B36" s="1" t="n">
        <v>45933</v>
      </c>
      <c r="C36" s="1" t="n">
        <v>46199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Gränsticka</t>
        </is>
      </c>
      <c r="S36">
        <f>HYPERLINK("https://klasma.github.io/Logging_2021/artfynd/A 48109-2025 artfynd.xlsx", "A 48109-2025")</f>
        <v/>
      </c>
      <c r="T36">
        <f>HYPERLINK("https://klasma.github.io/Logging_2021/kartor/A 48109-2025 karta.png", "A 48109-2025")</f>
        <v/>
      </c>
      <c r="V36">
        <f>HYPERLINK("https://klasma.github.io/Logging_2021/klagomål/A 48109-2025 FSC-klagomål.docx", "A 48109-2025")</f>
        <v/>
      </c>
      <c r="W36">
        <f>HYPERLINK("https://klasma.github.io/Logging_2021/klagomålsmail/A 48109-2025 FSC-klagomål mail.docx", "A 48109-2025")</f>
        <v/>
      </c>
      <c r="X36">
        <f>HYPERLINK("https://klasma.github.io/Logging_2021/tillsyn/A 48109-2025 tillsynsbegäran.docx", "A 48109-2025")</f>
        <v/>
      </c>
      <c r="Y36">
        <f>HYPERLINK("https://klasma.github.io/Logging_2021/tillsynsmail/A 48109-2025 tillsynsbegäran mail.docx", "A 48109-2025")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46199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33003-2025</t>
        </is>
      </c>
      <c r="B38" s="1" t="n">
        <v>45840</v>
      </c>
      <c r="C38" s="1" t="n">
        <v>46199</v>
      </c>
      <c r="D38" t="inlineStr">
        <is>
          <t>DALARNAS LÄN</t>
        </is>
      </c>
      <c r="E38" t="inlineStr">
        <is>
          <t>VANSBRO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33003-2025 artfynd.xlsx", "A 33003-2025")</f>
        <v/>
      </c>
      <c r="T38">
        <f>HYPERLINK("https://klasma.github.io/Logging_2021/kartor/A 33003-2025 karta.png", "A 33003-2025")</f>
        <v/>
      </c>
      <c r="U38">
        <f>HYPERLINK("https://klasma.github.io/Logging_2021/knärot/A 33003-2025 karta knärot.png", "A 33003-2025")</f>
        <v/>
      </c>
      <c r="V38">
        <f>HYPERLINK("https://klasma.github.io/Logging_2021/klagomål/A 33003-2025 FSC-klagomål.docx", "A 33003-2025")</f>
        <v/>
      </c>
      <c r="W38">
        <f>HYPERLINK("https://klasma.github.io/Logging_2021/klagomålsmail/A 33003-2025 FSC-klagomål mail.docx", "A 33003-2025")</f>
        <v/>
      </c>
      <c r="X38">
        <f>HYPERLINK("https://klasma.github.io/Logging_2021/tillsyn/A 33003-2025 tillsynsbegäran.docx", "A 33003-2025")</f>
        <v/>
      </c>
      <c r="Y38">
        <f>HYPERLINK("https://klasma.github.io/Logging_2021/tillsynsmail/A 33003-2025 tillsynsbegäran mail.docx", "A 33003-2025")</f>
        <v/>
      </c>
    </row>
    <row r="39" ht="15" customHeight="1">
      <c r="A39" t="inlineStr">
        <is>
          <t>A 3918-2026</t>
        </is>
      </c>
      <c r="B39" s="1" t="n">
        <v>46043</v>
      </c>
      <c r="C39" s="1" t="n">
        <v>46199</v>
      </c>
      <c r="D39" t="inlineStr">
        <is>
          <t>DALARNAS LÄN</t>
        </is>
      </c>
      <c r="E39" t="inlineStr">
        <is>
          <t>VANSBRO</t>
        </is>
      </c>
      <c r="G39" t="n">
        <v>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HYPERLINK("https://klasma.github.io/Logging_2021/artfynd/A 3918-2026 artfynd.xlsx", "A 3918-2026")</f>
        <v/>
      </c>
      <c r="T39">
        <f>HYPERLINK("https://klasma.github.io/Logging_2021/kartor/A 3918-2026 karta.png", "A 3918-2026")</f>
        <v/>
      </c>
      <c r="V39">
        <f>HYPERLINK("https://klasma.github.io/Logging_2021/klagomål/A 3918-2026 FSC-klagomål.docx", "A 3918-2026")</f>
        <v/>
      </c>
      <c r="W39">
        <f>HYPERLINK("https://klasma.github.io/Logging_2021/klagomålsmail/A 3918-2026 FSC-klagomål mail.docx", "A 3918-2026")</f>
        <v/>
      </c>
      <c r="X39">
        <f>HYPERLINK("https://klasma.github.io/Logging_2021/tillsyn/A 3918-2026 tillsynsbegäran.docx", "A 3918-2026")</f>
        <v/>
      </c>
      <c r="Y39">
        <f>HYPERLINK("https://klasma.github.io/Logging_2021/tillsynsmail/A 3918-2026 tillsynsbegäran mail.docx", "A 3918-2026")</f>
        <v/>
      </c>
      <c r="Z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s="1" t="n">
        <v>46051</v>
      </c>
      <c r="C40" s="1" t="n">
        <v>46199</v>
      </c>
      <c r="D40" t="inlineStr">
        <is>
          <t>DALARNAS LÄN</t>
        </is>
      </c>
      <c r="E40" t="inlineStr">
        <is>
          <t>VANSBRO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rörsvepemossa</t>
        </is>
      </c>
      <c r="S40">
        <f>HYPERLINK("https://klasma.github.io/Logging_2021/artfynd/A 5659-2026 artfynd.xlsx", "A 5659-2026")</f>
        <v/>
      </c>
      <c r="T40">
        <f>HYPERLINK("https://klasma.github.io/Logging_2021/kartor/A 5659-2026 karta.png", "A 5659-2026")</f>
        <v/>
      </c>
      <c r="V40">
        <f>HYPERLINK("https://klasma.github.io/Logging_2021/klagomål/A 5659-2026 FSC-klagomål.docx", "A 5659-2026")</f>
        <v/>
      </c>
      <c r="W40">
        <f>HYPERLINK("https://klasma.github.io/Logging_2021/klagomålsmail/A 5659-2026 FSC-klagomål mail.docx", "A 5659-2026")</f>
        <v/>
      </c>
      <c r="X40">
        <f>HYPERLINK("https://klasma.github.io/Logging_2021/tillsyn/A 5659-2026 tillsynsbegäran.docx", "A 5659-2026")</f>
        <v/>
      </c>
      <c r="Y40">
        <f>HYPERLINK("https://klasma.github.io/Logging_2021/tillsynsmail/A 5659-2026 tillsynsbegäran mail.docx", "A 5659-2026")</f>
        <v/>
      </c>
    </row>
    <row r="41" ht="15" customHeight="1">
      <c r="A41" t="inlineStr">
        <is>
          <t>A 37219-2024</t>
        </is>
      </c>
      <c r="B41" s="1" t="n">
        <v>45539</v>
      </c>
      <c r="C41" s="1" t="n">
        <v>46199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HYPERLINK("https://klasma.github.io/Logging_2021/artfynd/A 37219-2024 artfynd.xlsx", "A 37219-2024")</f>
        <v/>
      </c>
      <c r="T41">
        <f>HYPERLINK("https://klasma.github.io/Logging_2021/kartor/A 37219-2024 karta.png", "A 37219-2024")</f>
        <v/>
      </c>
      <c r="V41">
        <f>HYPERLINK("https://klasma.github.io/Logging_2021/klagomål/A 37219-2024 FSC-klagomål.docx", "A 37219-2024")</f>
        <v/>
      </c>
      <c r="W41">
        <f>HYPERLINK("https://klasma.github.io/Logging_2021/klagomålsmail/A 37219-2024 FSC-klagomål mail.docx", "A 37219-2024")</f>
        <v/>
      </c>
      <c r="X41">
        <f>HYPERLINK("https://klasma.github.io/Logging_2021/tillsyn/A 37219-2024 tillsynsbegäran.docx", "A 37219-2024")</f>
        <v/>
      </c>
      <c r="Y41">
        <f>HYPERLINK("https://klasma.github.io/Logging_2021/tillsynsmail/A 37219-2024 tillsynsbegäran mail.docx", "A 37219-2024")</f>
        <v/>
      </c>
      <c r="Z41">
        <f>HYPERLINK("https://klasma.github.io/Logging_2021/fåglar/A 37219-2024 prioriterade fågelarter.docx", "A 37219-2024")</f>
        <v/>
      </c>
    </row>
    <row r="42" ht="15" customHeight="1">
      <c r="A42" t="inlineStr">
        <is>
          <t>A 20076-2026</t>
        </is>
      </c>
      <c r="B42" s="1" t="n">
        <v>46136</v>
      </c>
      <c r="C42" s="1" t="n">
        <v>46199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HYPERLINK("https://klasma.github.io/Logging_2021/artfynd/A 20076-2026 artfynd.xlsx", "A 20076-2026")</f>
        <v/>
      </c>
      <c r="T42">
        <f>HYPERLINK("https://klasma.github.io/Logging_2021/kartor/A 20076-2026 karta.png", "A 20076-2026")</f>
        <v/>
      </c>
      <c r="V42">
        <f>HYPERLINK("https://klasma.github.io/Logging_2021/klagomål/A 20076-2026 FSC-klagomål.docx", "A 20076-2026")</f>
        <v/>
      </c>
      <c r="W42">
        <f>HYPERLINK("https://klasma.github.io/Logging_2021/klagomålsmail/A 20076-2026 FSC-klagomål mail.docx", "A 20076-2026")</f>
        <v/>
      </c>
      <c r="X42">
        <f>HYPERLINK("https://klasma.github.io/Logging_2021/tillsyn/A 20076-2026 tillsynsbegäran.docx", "A 20076-2026")</f>
        <v/>
      </c>
      <c r="Y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s="1" t="n">
        <v>45956</v>
      </c>
      <c r="C43" s="1" t="n">
        <v>46199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HYPERLINK("https://klasma.github.io/Logging_2021/artfynd/A 52675-2025 artfynd.xlsx", "A 52675-2025")</f>
        <v/>
      </c>
      <c r="T43">
        <f>HYPERLINK("https://klasma.github.io/Logging_2021/kartor/A 52675-2025 karta.png", "A 52675-2025")</f>
        <v/>
      </c>
      <c r="V43">
        <f>HYPERLINK("https://klasma.github.io/Logging_2021/klagomål/A 52675-2025 FSC-klagomål.docx", "A 52675-2025")</f>
        <v/>
      </c>
      <c r="W43">
        <f>HYPERLINK("https://klasma.github.io/Logging_2021/klagomålsmail/A 52675-2025 FSC-klagomål mail.docx", "A 52675-2025")</f>
        <v/>
      </c>
      <c r="X43">
        <f>HYPERLINK("https://klasma.github.io/Logging_2021/tillsyn/A 52675-2025 tillsynsbegäran.docx", "A 52675-2025")</f>
        <v/>
      </c>
      <c r="Y43">
        <f>HYPERLINK("https://klasma.github.io/Logging_2021/tillsynsmail/A 52675-2025 tillsynsbegäran mail.docx", "A 52675-2025")</f>
        <v/>
      </c>
    </row>
    <row r="44" ht="15" customHeight="1">
      <c r="A44" t="inlineStr">
        <is>
          <t>A 57810-2023</t>
        </is>
      </c>
      <c r="B44" s="1" t="n">
        <v>45247</v>
      </c>
      <c r="C44" s="1" t="n">
        <v>46199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Järnsparv</t>
        </is>
      </c>
      <c r="S44">
        <f>HYPERLINK("https://klasma.github.io/Logging_2021/artfynd/A 57810-2023 artfynd.xlsx", "A 57810-2023")</f>
        <v/>
      </c>
      <c r="T44">
        <f>HYPERLINK("https://klasma.github.io/Logging_2021/kartor/A 57810-2023 karta.png", "A 57810-2023")</f>
        <v/>
      </c>
      <c r="V44">
        <f>HYPERLINK("https://klasma.github.io/Logging_2021/klagomål/A 57810-2023 FSC-klagomål.docx", "A 57810-2023")</f>
        <v/>
      </c>
      <c r="W44">
        <f>HYPERLINK("https://klasma.github.io/Logging_2021/klagomålsmail/A 57810-2023 FSC-klagomål mail.docx", "A 57810-2023")</f>
        <v/>
      </c>
      <c r="X44">
        <f>HYPERLINK("https://klasma.github.io/Logging_2021/tillsyn/A 57810-2023 tillsynsbegäran.docx", "A 57810-2023")</f>
        <v/>
      </c>
      <c r="Y44">
        <f>HYPERLINK("https://klasma.github.io/Logging_2021/tillsynsmail/A 57810-2023 tillsynsbegäran mail.docx", "A 57810-2023")</f>
        <v/>
      </c>
      <c r="Z44">
        <f>HYPERLINK("https://klasma.github.io/Logging_2021/fåglar/A 57810-2023 prioriterade fågelarter.docx", "A 57810-2023")</f>
        <v/>
      </c>
    </row>
    <row r="45" ht="15" customHeight="1">
      <c r="A45" t="inlineStr">
        <is>
          <t>A 26756-2026</t>
        </is>
      </c>
      <c r="B45" s="1" t="n">
        <v>46184</v>
      </c>
      <c r="C45" s="1" t="n">
        <v>46199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HYPERLINK("https://klasma.github.io/Logging_2021/artfynd/A 26756-2026 artfynd.xlsx", "A 26756-2026")</f>
        <v/>
      </c>
      <c r="T45">
        <f>HYPERLINK("https://klasma.github.io/Logging_2021/kartor/A 26756-2026 karta.png", "A 26756-2026")</f>
        <v/>
      </c>
      <c r="V45">
        <f>HYPERLINK("https://klasma.github.io/Logging_2021/klagomål/A 26756-2026 FSC-klagomål.docx", "A 26756-2026")</f>
        <v/>
      </c>
      <c r="W45">
        <f>HYPERLINK("https://klasma.github.io/Logging_2021/klagomålsmail/A 26756-2026 FSC-klagomål mail.docx", "A 26756-2026")</f>
        <v/>
      </c>
      <c r="X45">
        <f>HYPERLINK("https://klasma.github.io/Logging_2021/tillsyn/A 26756-2026 tillsynsbegäran.docx", "A 26756-2026")</f>
        <v/>
      </c>
      <c r="Y45">
        <f>HYPERLINK("https://klasma.github.io/Logging_2021/tillsynsmail/A 26756-2026 tillsynsbegäran mail.docx", "A 26756-2026")</f>
        <v/>
      </c>
      <c r="Z45">
        <f>HYPERLINK("https://klasma.github.io/Logging_2021/fåglar/A 26756-2026 prioriterade fågelarter.docx", "A 26756-2026")</f>
        <v/>
      </c>
    </row>
    <row r="46" ht="15" customHeight="1">
      <c r="A46" t="inlineStr">
        <is>
          <t>A 3854-2024</t>
        </is>
      </c>
      <c r="B46" s="1" t="n">
        <v>45322</v>
      </c>
      <c r="C46" s="1" t="n">
        <v>46199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HYPERLINK("https://klasma.github.io/Logging_2021/artfynd/A 3854-2024 artfynd.xlsx", "A 3854-2024")</f>
        <v/>
      </c>
      <c r="T46">
        <f>HYPERLINK("https://klasma.github.io/Logging_2021/kartor/A 3854-2024 karta.png", "A 3854-2024")</f>
        <v/>
      </c>
      <c r="V46">
        <f>HYPERLINK("https://klasma.github.io/Logging_2021/klagomål/A 3854-2024 FSC-klagomål.docx", "A 3854-2024")</f>
        <v/>
      </c>
      <c r="W46">
        <f>HYPERLINK("https://klasma.github.io/Logging_2021/klagomålsmail/A 3854-2024 FSC-klagomål mail.docx", "A 3854-2024")</f>
        <v/>
      </c>
      <c r="X46">
        <f>HYPERLINK("https://klasma.github.io/Logging_2021/tillsyn/A 3854-2024 tillsynsbegäran.docx", "A 3854-2024")</f>
        <v/>
      </c>
      <c r="Y46">
        <f>HYPERLINK("https://klasma.github.io/Logging_2021/tillsynsmail/A 3854-2024 tillsynsbegäran mail.docx", "A 3854-2024")</f>
        <v/>
      </c>
    </row>
    <row r="47" ht="15" customHeight="1">
      <c r="A47" t="inlineStr">
        <is>
          <t>A 54453-2024</t>
        </is>
      </c>
      <c r="B47" s="1" t="n">
        <v>45617</v>
      </c>
      <c r="C47" s="1" t="n">
        <v>46199</v>
      </c>
      <c r="D47" t="inlineStr">
        <is>
          <t>DALARNAS LÄN</t>
        </is>
      </c>
      <c r="E47" t="inlineStr">
        <is>
          <t>VANSBRO</t>
        </is>
      </c>
      <c r="G47" t="n">
        <v>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HYPERLINK("https://klasma.github.io/Logging_2021/artfynd/A 54453-2024 artfynd.xlsx", "A 54453-2024")</f>
        <v/>
      </c>
      <c r="T47">
        <f>HYPERLINK("https://klasma.github.io/Logging_2021/kartor/A 54453-2024 karta.png", "A 54453-2024")</f>
        <v/>
      </c>
      <c r="V47">
        <f>HYPERLINK("https://klasma.github.io/Logging_2021/klagomål/A 54453-2024 FSC-klagomål.docx", "A 54453-2024")</f>
        <v/>
      </c>
      <c r="W47">
        <f>HYPERLINK("https://klasma.github.io/Logging_2021/klagomålsmail/A 54453-2024 FSC-klagomål mail.docx", "A 54453-2024")</f>
        <v/>
      </c>
      <c r="X47">
        <f>HYPERLINK("https://klasma.github.io/Logging_2021/tillsyn/A 54453-2024 tillsynsbegäran.docx", "A 54453-2024")</f>
        <v/>
      </c>
      <c r="Y47">
        <f>HYPERLINK("https://klasma.github.io/Logging_2021/tillsynsmail/A 54453-2024 tillsynsbegäran mail.docx", "A 54453-2024")</f>
        <v/>
      </c>
    </row>
    <row r="48" ht="15" customHeight="1">
      <c r="A48" t="inlineStr">
        <is>
          <t>A 33250-2024</t>
        </is>
      </c>
      <c r="B48" s="1" t="n">
        <v>45518</v>
      </c>
      <c r="C48" s="1" t="n">
        <v>46199</v>
      </c>
      <c r="D48" t="inlineStr">
        <is>
          <t>DALARNAS LÄN</t>
        </is>
      </c>
      <c r="E48" t="inlineStr">
        <is>
          <t>VANSBRO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Reliktbock</t>
        </is>
      </c>
      <c r="S48">
        <f>HYPERLINK("https://klasma.github.io/Logging_2021/artfynd/A 33250-2024 artfynd.xlsx", "A 33250-2024")</f>
        <v/>
      </c>
      <c r="T48">
        <f>HYPERLINK("https://klasma.github.io/Logging_2021/kartor/A 33250-2024 karta.png", "A 33250-2024")</f>
        <v/>
      </c>
      <c r="V48">
        <f>HYPERLINK("https://klasma.github.io/Logging_2021/klagomål/A 33250-2024 FSC-klagomål.docx", "A 33250-2024")</f>
        <v/>
      </c>
      <c r="W48">
        <f>HYPERLINK("https://klasma.github.io/Logging_2021/klagomålsmail/A 33250-2024 FSC-klagomål mail.docx", "A 33250-2024")</f>
        <v/>
      </c>
      <c r="X48">
        <f>HYPERLINK("https://klasma.github.io/Logging_2021/tillsyn/A 33250-2024 tillsynsbegäran.docx", "A 33250-2024")</f>
        <v/>
      </c>
      <c r="Y48">
        <f>HYPERLINK("https://klasma.github.io/Logging_2021/tillsynsmail/A 33250-2024 tillsynsbegäran mail.docx", "A 33250-2024")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46199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46199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46199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46199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46199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46199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46199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46199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46199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46199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53850-2022</t>
        </is>
      </c>
      <c r="B61" s="1" t="n">
        <v>44880</v>
      </c>
      <c r="C61" s="1" t="n">
        <v>46199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41216-2022</t>
        </is>
      </c>
      <c r="B62" s="1" t="n">
        <v>44826</v>
      </c>
      <c r="C62" s="1" t="n">
        <v>46199</v>
      </c>
      <c r="D62" t="inlineStr">
        <is>
          <t>DALARNAS LÄN</t>
        </is>
      </c>
      <c r="E62" t="inlineStr">
        <is>
          <t>VANSBRO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46199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46199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52385-2021</t>
        </is>
      </c>
      <c r="B66" s="1" t="n">
        <v>44465</v>
      </c>
      <c r="C66" s="1" t="n">
        <v>46199</v>
      </c>
      <c r="D66" t="inlineStr">
        <is>
          <t>DALARNAS LÄN</t>
        </is>
      </c>
      <c r="E66" t="inlineStr">
        <is>
          <t>VANSBRO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46199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46199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</v>
      </c>
      <c r="C69" s="1" t="n">
        <v>46199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46199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46199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41709-2022</t>
        </is>
      </c>
      <c r="B72" s="1" t="n">
        <v>44827</v>
      </c>
      <c r="C72" s="1" t="n">
        <v>46199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46199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46199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</v>
      </c>
      <c r="C75" s="1" t="n">
        <v>46199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46199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56098-2021</t>
        </is>
      </c>
      <c r="B77" s="1" t="n">
        <v>44477</v>
      </c>
      <c r="C77" s="1" t="n">
        <v>46199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46199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</v>
      </c>
      <c r="C79" s="1" t="n">
        <v>46199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</v>
      </c>
      <c r="C80" s="1" t="n">
        <v>46199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</v>
      </c>
      <c r="C81" s="1" t="n">
        <v>46199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38253-2022</t>
        </is>
      </c>
      <c r="B82" s="1" t="n">
        <v>44812</v>
      </c>
      <c r="C82" s="1" t="n">
        <v>46199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</v>
      </c>
      <c r="C83" s="1" t="n">
        <v>46199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46199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</v>
      </c>
      <c r="C85" s="1" t="n">
        <v>46199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15972-2025</t>
        </is>
      </c>
      <c r="B86" s="1" t="n">
        <v>45749</v>
      </c>
      <c r="C86" s="1" t="n">
        <v>46199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23085-2022</t>
        </is>
      </c>
      <c r="B87" s="1" t="n">
        <v>44719</v>
      </c>
      <c r="C87" s="1" t="n">
        <v>46199</v>
      </c>
      <c r="D87" t="inlineStr">
        <is>
          <t>DALARNAS LÄN</t>
        </is>
      </c>
      <c r="E87" t="inlineStr">
        <is>
          <t>VANSBRO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43589-2022</t>
        </is>
      </c>
      <c r="B88" s="1" t="n">
        <v>44837</v>
      </c>
      <c r="C88" s="1" t="n">
        <v>46199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30544-2024</t>
        </is>
      </c>
      <c r="B89" s="1" t="n">
        <v>45492</v>
      </c>
      <c r="C89" s="1" t="n">
        <v>46199</v>
      </c>
      <c r="D89" t="inlineStr">
        <is>
          <t>DALARNAS LÄN</t>
        </is>
      </c>
      <c r="E89" t="inlineStr">
        <is>
          <t>VANSBRO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57255-2025</t>
        </is>
      </c>
      <c r="B90" s="1" t="n">
        <v>45979</v>
      </c>
      <c r="C90" s="1" t="n">
        <v>46199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</v>
      </c>
      <c r="C91" s="1" t="n">
        <v>46199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29411-2024</t>
        </is>
      </c>
      <c r="B92" s="1" t="n">
        <v>45483</v>
      </c>
      <c r="C92" s="1" t="n">
        <v>46199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35943-2024</t>
        </is>
      </c>
      <c r="B93" s="1" t="n">
        <v>45533</v>
      </c>
      <c r="C93" s="1" t="n">
        <v>46199</v>
      </c>
      <c r="D93" t="inlineStr">
        <is>
          <t>DALARNAS LÄN</t>
        </is>
      </c>
      <c r="E93" t="inlineStr">
        <is>
          <t>VANSBRO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38670-2025</t>
        </is>
      </c>
      <c r="B94" s="1" t="n">
        <v>45884</v>
      </c>
      <c r="C94" s="1" t="n">
        <v>46199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23792-2025</t>
        </is>
      </c>
      <c r="B95" s="1" t="n">
        <v>45793</v>
      </c>
      <c r="C95" s="1" t="n">
        <v>46199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32383-2024</t>
        </is>
      </c>
      <c r="B96" s="1" t="n">
        <v>45512</v>
      </c>
      <c r="C96" s="1" t="n">
        <v>46199</v>
      </c>
      <c r="D96" t="inlineStr">
        <is>
          <t>DALARNAS LÄN</t>
        </is>
      </c>
      <c r="E96" t="inlineStr">
        <is>
          <t>VANSBRO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53839-2022</t>
        </is>
      </c>
      <c r="B97" s="1" t="n">
        <v>44880</v>
      </c>
      <c r="C97" s="1" t="n">
        <v>46199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39179-2025</t>
        </is>
      </c>
      <c r="B98" s="1" t="n">
        <v>45888</v>
      </c>
      <c r="C98" s="1" t="n">
        <v>46199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39177-2025</t>
        </is>
      </c>
      <c r="B99" s="1" t="n">
        <v>45888</v>
      </c>
      <c r="C99" s="1" t="n">
        <v>46199</v>
      </c>
      <c r="D99" t="inlineStr">
        <is>
          <t>DALARNAS LÄN</t>
        </is>
      </c>
      <c r="E99" t="inlineStr">
        <is>
          <t>VANSBRO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4760-2025</t>
        </is>
      </c>
      <c r="B100" s="1" t="n">
        <v>45688</v>
      </c>
      <c r="C100" s="1" t="n">
        <v>46199</v>
      </c>
      <c r="D100" t="inlineStr">
        <is>
          <t>DALARNAS LÄN</t>
        </is>
      </c>
      <c r="E100" t="inlineStr">
        <is>
          <t>VANSBRO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39173-2025</t>
        </is>
      </c>
      <c r="B101" s="1" t="n">
        <v>45888</v>
      </c>
      <c r="C101" s="1" t="n">
        <v>46199</v>
      </c>
      <c r="D101" t="inlineStr">
        <is>
          <t>DALARNAS LÄN</t>
        </is>
      </c>
      <c r="E101" t="inlineStr">
        <is>
          <t>VANSBRO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49565-2022</t>
        </is>
      </c>
      <c r="B102" s="1" t="n">
        <v>44862</v>
      </c>
      <c r="C102" s="1" t="n">
        <v>46199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72635-2021</t>
        </is>
      </c>
      <c r="B103" s="1" t="n">
        <v>44546</v>
      </c>
      <c r="C103" s="1" t="n">
        <v>46199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47790-2024</t>
        </is>
      </c>
      <c r="B104" s="1" t="n">
        <v>45588</v>
      </c>
      <c r="C104" s="1" t="n">
        <v>46199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35516-2024</t>
        </is>
      </c>
      <c r="B105" s="1" t="n">
        <v>45531</v>
      </c>
      <c r="C105" s="1" t="n">
        <v>46199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24522-2025</t>
        </is>
      </c>
      <c r="B106" s="1" t="n">
        <v>45798</v>
      </c>
      <c r="C106" s="1" t="n">
        <v>46199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57716-2025</t>
        </is>
      </c>
      <c r="B107" s="1" t="n">
        <v>45981</v>
      </c>
      <c r="C107" s="1" t="n">
        <v>46199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24384-2024</t>
        </is>
      </c>
      <c r="B108" s="1" t="n">
        <v>45457</v>
      </c>
      <c r="C108" s="1" t="n">
        <v>46199</v>
      </c>
      <c r="D108" t="inlineStr">
        <is>
          <t>DALARNAS LÄN</t>
        </is>
      </c>
      <c r="E108" t="inlineStr">
        <is>
          <t>VANSBRO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21966-2024</t>
        </is>
      </c>
      <c r="B109" s="1" t="n">
        <v>45443</v>
      </c>
      <c r="C109" s="1" t="n">
        <v>46199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39502-2025</t>
        </is>
      </c>
      <c r="B110" s="1" t="n">
        <v>45890</v>
      </c>
      <c r="C110" s="1" t="n">
        <v>46199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39490-2025</t>
        </is>
      </c>
      <c r="B111" s="1" t="n">
        <v>45890</v>
      </c>
      <c r="C111" s="1" t="n">
        <v>46199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58733-2025</t>
        </is>
      </c>
      <c r="B112" s="1" t="n">
        <v>45986</v>
      </c>
      <c r="C112" s="1" t="n">
        <v>46199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51601-2023</t>
        </is>
      </c>
      <c r="B113" s="1" t="n">
        <v>45222</v>
      </c>
      <c r="C113" s="1" t="n">
        <v>46199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40884-2025</t>
        </is>
      </c>
      <c r="B114" s="1" t="n">
        <v>45897</v>
      </c>
      <c r="C114" s="1" t="n">
        <v>46199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42209-2025</t>
        </is>
      </c>
      <c r="B115" s="1" t="n">
        <v>45904</v>
      </c>
      <c r="C115" s="1" t="n">
        <v>46199</v>
      </c>
      <c r="D115" t="inlineStr">
        <is>
          <t>DALARNAS LÄN</t>
        </is>
      </c>
      <c r="E115" t="inlineStr">
        <is>
          <t>VANSBRO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12016-2024</t>
        </is>
      </c>
      <c r="B116" s="1" t="n">
        <v>45377</v>
      </c>
      <c r="C116" s="1" t="n">
        <v>46199</v>
      </c>
      <c r="D116" t="inlineStr">
        <is>
          <t>DALARNAS LÄN</t>
        </is>
      </c>
      <c r="E116" t="inlineStr">
        <is>
          <t>VANSBRO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26508-2025</t>
        </is>
      </c>
      <c r="B117" s="1" t="n">
        <v>45807</v>
      </c>
      <c r="C117" s="1" t="n">
        <v>46199</v>
      </c>
      <c r="D117" t="inlineStr">
        <is>
          <t>DALARNAS LÄN</t>
        </is>
      </c>
      <c r="E117" t="inlineStr">
        <is>
          <t>VANSBRO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26510-2025</t>
        </is>
      </c>
      <c r="B118" s="1" t="n">
        <v>45807</v>
      </c>
      <c r="C118" s="1" t="n">
        <v>46199</v>
      </c>
      <c r="D118" t="inlineStr">
        <is>
          <t>DALARNAS LÄN</t>
        </is>
      </c>
      <c r="E118" t="inlineStr">
        <is>
          <t>VANSBRO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32820-2024</t>
        </is>
      </c>
      <c r="B119" s="1" t="n">
        <v>45516</v>
      </c>
      <c r="C119" s="1" t="n">
        <v>46199</v>
      </c>
      <c r="D119" t="inlineStr">
        <is>
          <t>DALARNAS LÄN</t>
        </is>
      </c>
      <c r="E119" t="inlineStr">
        <is>
          <t>VANSBRO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43139-2025</t>
        </is>
      </c>
      <c r="B120" s="1" t="n">
        <v>45909</v>
      </c>
      <c r="C120" s="1" t="n">
        <v>46199</v>
      </c>
      <c r="D120" t="inlineStr">
        <is>
          <t>DALARNAS LÄN</t>
        </is>
      </c>
      <c r="E120" t="inlineStr">
        <is>
          <t>VANSBRO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26990-2025</t>
        </is>
      </c>
      <c r="B121" s="1" t="n">
        <v>45811</v>
      </c>
      <c r="C121" s="1" t="n">
        <v>46199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26995-2025</t>
        </is>
      </c>
      <c r="B122" s="1" t="n">
        <v>45811</v>
      </c>
      <c r="C122" s="1" t="n">
        <v>46199</v>
      </c>
      <c r="D122" t="inlineStr">
        <is>
          <t>DALARNAS LÄN</t>
        </is>
      </c>
      <c r="E122" t="inlineStr">
        <is>
          <t>VANSBRO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41290-2023</t>
        </is>
      </c>
      <c r="B123" s="1" t="n">
        <v>45174</v>
      </c>
      <c r="C123" s="1" t="n">
        <v>46199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60848-2024</t>
        </is>
      </c>
      <c r="B124" s="1" t="n">
        <v>45644</v>
      </c>
      <c r="C124" s="1" t="n">
        <v>46199</v>
      </c>
      <c r="D124" t="inlineStr">
        <is>
          <t>DALARNAS LÄN</t>
        </is>
      </c>
      <c r="E124" t="inlineStr">
        <is>
          <t>VANSBRO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6050-2025</t>
        </is>
      </c>
      <c r="B125" s="1" t="n">
        <v>45695</v>
      </c>
      <c r="C125" s="1" t="n">
        <v>46199</v>
      </c>
      <c r="D125" t="inlineStr">
        <is>
          <t>DALARNAS LÄN</t>
        </is>
      </c>
      <c r="E125" t="inlineStr">
        <is>
          <t>VANSBRO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58874-2025</t>
        </is>
      </c>
      <c r="B126" s="1" t="n">
        <v>45987</v>
      </c>
      <c r="C126" s="1" t="n">
        <v>46199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29492-2023</t>
        </is>
      </c>
      <c r="B127" s="1" t="n">
        <v>45106</v>
      </c>
      <c r="C127" s="1" t="n">
        <v>46199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63816-2021</t>
        </is>
      </c>
      <c r="B128" s="1" t="n">
        <v>44509</v>
      </c>
      <c r="C128" s="1" t="n">
        <v>46199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17.6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30392-2024</t>
        </is>
      </c>
      <c r="B129" s="1" t="n">
        <v>45491</v>
      </c>
      <c r="C129" s="1" t="n">
        <v>46199</v>
      </c>
      <c r="D129" t="inlineStr">
        <is>
          <t>DALARNAS LÄN</t>
        </is>
      </c>
      <c r="E129" t="inlineStr">
        <is>
          <t>VANSBRO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28469-2025</t>
        </is>
      </c>
      <c r="B130" s="1" t="n">
        <v>45819</v>
      </c>
      <c r="C130" s="1" t="n">
        <v>46199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61653-2024</t>
        </is>
      </c>
      <c r="B131" s="1" t="n">
        <v>45646</v>
      </c>
      <c r="C131" s="1" t="n">
        <v>46199</v>
      </c>
      <c r="D131" t="inlineStr">
        <is>
          <t>DALARNAS LÄN</t>
        </is>
      </c>
      <c r="E131" t="inlineStr">
        <is>
          <t>VANSBRO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29281-2025</t>
        </is>
      </c>
      <c r="B132" s="1" t="n">
        <v>45824</v>
      </c>
      <c r="C132" s="1" t="n">
        <v>46199</v>
      </c>
      <c r="D132" t="inlineStr">
        <is>
          <t>DALARNAS LÄN</t>
        </is>
      </c>
      <c r="E132" t="inlineStr">
        <is>
          <t>VANSBRO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38034-2024</t>
        </is>
      </c>
      <c r="B133" s="1" t="n">
        <v>45544</v>
      </c>
      <c r="C133" s="1" t="n">
        <v>46199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60145-2025</t>
        </is>
      </c>
      <c r="B134" s="1" t="n">
        <v>45994</v>
      </c>
      <c r="C134" s="1" t="n">
        <v>46199</v>
      </c>
      <c r="D134" t="inlineStr">
        <is>
          <t>DALARNAS LÄN</t>
        </is>
      </c>
      <c r="E134" t="inlineStr">
        <is>
          <t>VANSBRO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60229-2025</t>
        </is>
      </c>
      <c r="B135" s="1" t="n">
        <v>45994</v>
      </c>
      <c r="C135" s="1" t="n">
        <v>46199</v>
      </c>
      <c r="D135" t="inlineStr">
        <is>
          <t>DALARNAS LÄN</t>
        </is>
      </c>
      <c r="E135" t="inlineStr">
        <is>
          <t>VANSBRO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31196-2025</t>
        </is>
      </c>
      <c r="B136" s="1" t="n">
        <v>45832</v>
      </c>
      <c r="C136" s="1" t="n">
        <v>46199</v>
      </c>
      <c r="D136" t="inlineStr">
        <is>
          <t>DALARNAS LÄN</t>
        </is>
      </c>
      <c r="E136" t="inlineStr">
        <is>
          <t>VANSBRO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61598-2025</t>
        </is>
      </c>
      <c r="B137" s="1" t="n">
        <v>46002</v>
      </c>
      <c r="C137" s="1" t="n">
        <v>46199</v>
      </c>
      <c r="D137" t="inlineStr">
        <is>
          <t>DALARNAS LÄN</t>
        </is>
      </c>
      <c r="E137" t="inlineStr">
        <is>
          <t>VANSBRO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31499-2025</t>
        </is>
      </c>
      <c r="B138" s="1" t="n">
        <v>45833</v>
      </c>
      <c r="C138" s="1" t="n">
        <v>46199</v>
      </c>
      <c r="D138" t="inlineStr">
        <is>
          <t>DALARNAS LÄN</t>
        </is>
      </c>
      <c r="E138" t="inlineStr">
        <is>
          <t>VANSBRO</t>
        </is>
      </c>
      <c r="G138" t="n">
        <v>27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31489-2025</t>
        </is>
      </c>
      <c r="B139" s="1" t="n">
        <v>45833</v>
      </c>
      <c r="C139" s="1" t="n">
        <v>46199</v>
      </c>
      <c r="D139" t="inlineStr">
        <is>
          <t>DALARNAS LÄN</t>
        </is>
      </c>
      <c r="E139" t="inlineStr">
        <is>
          <t>VANSBRO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47833-2025</t>
        </is>
      </c>
      <c r="B140" s="1" t="n">
        <v>45932</v>
      </c>
      <c r="C140" s="1" t="n">
        <v>46199</v>
      </c>
      <c r="D140" t="inlineStr">
        <is>
          <t>DALARNAS LÄN</t>
        </is>
      </c>
      <c r="E140" t="inlineStr">
        <is>
          <t>VANSBRO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47897-2025</t>
        </is>
      </c>
      <c r="B141" s="1" t="n">
        <v>45932</v>
      </c>
      <c r="C141" s="1" t="n">
        <v>46199</v>
      </c>
      <c r="D141" t="inlineStr">
        <is>
          <t>DALARNAS LÄN</t>
        </is>
      </c>
      <c r="E141" t="inlineStr">
        <is>
          <t>VANSBRO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32040-2025</t>
        </is>
      </c>
      <c r="B142" s="1" t="n">
        <v>45835</v>
      </c>
      <c r="C142" s="1" t="n">
        <v>46199</v>
      </c>
      <c r="D142" t="inlineStr">
        <is>
          <t>DALARNAS LÄN</t>
        </is>
      </c>
      <c r="E142" t="inlineStr">
        <is>
          <t>VANSBRO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48733-2025</t>
        </is>
      </c>
      <c r="B143" s="1" t="n">
        <v>45936</v>
      </c>
      <c r="C143" s="1" t="n">
        <v>46199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43139-2023</t>
        </is>
      </c>
      <c r="B144" s="1" t="n">
        <v>45183</v>
      </c>
      <c r="C144" s="1" t="n">
        <v>46199</v>
      </c>
      <c r="D144" t="inlineStr">
        <is>
          <t>DALARNAS LÄN</t>
        </is>
      </c>
      <c r="E144" t="inlineStr">
        <is>
          <t>VANSBRO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48102-2025</t>
        </is>
      </c>
      <c r="B145" s="1" t="n">
        <v>45933</v>
      </c>
      <c r="C145" s="1" t="n">
        <v>46199</v>
      </c>
      <c r="D145" t="inlineStr">
        <is>
          <t>DALARNAS LÄN</t>
        </is>
      </c>
      <c r="E145" t="inlineStr">
        <is>
          <t>VANSBRO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48840-2025</t>
        </is>
      </c>
      <c r="B146" s="1" t="n">
        <v>45937</v>
      </c>
      <c r="C146" s="1" t="n">
        <v>46199</v>
      </c>
      <c r="D146" t="inlineStr">
        <is>
          <t>DALARNAS LÄN</t>
        </is>
      </c>
      <c r="E146" t="inlineStr">
        <is>
          <t>VANSBRO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33109-2025</t>
        </is>
      </c>
      <c r="B147" s="1" t="n">
        <v>45840</v>
      </c>
      <c r="C147" s="1" t="n">
        <v>46199</v>
      </c>
      <c r="D147" t="inlineStr">
        <is>
          <t>DALARNAS LÄN</t>
        </is>
      </c>
      <c r="E147" t="inlineStr">
        <is>
          <t>VANSBRO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33036-2025</t>
        </is>
      </c>
      <c r="B148" s="1" t="n">
        <v>45840</v>
      </c>
      <c r="C148" s="1" t="n">
        <v>46199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33056-2025</t>
        </is>
      </c>
      <c r="B149" s="1" t="n">
        <v>45840</v>
      </c>
      <c r="C149" s="1" t="n">
        <v>46199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49677-2025</t>
        </is>
      </c>
      <c r="B150" s="1" t="n">
        <v>45939</v>
      </c>
      <c r="C150" s="1" t="n">
        <v>46199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33000-2025</t>
        </is>
      </c>
      <c r="B151" s="1" t="n">
        <v>45840</v>
      </c>
      <c r="C151" s="1" t="n">
        <v>46199</v>
      </c>
      <c r="D151" t="inlineStr">
        <is>
          <t>DALARNAS LÄN</t>
        </is>
      </c>
      <c r="E151" t="inlineStr">
        <is>
          <t>VANSBRO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49679-2025</t>
        </is>
      </c>
      <c r="B152" s="1" t="n">
        <v>45939</v>
      </c>
      <c r="C152" s="1" t="n">
        <v>46199</v>
      </c>
      <c r="D152" t="inlineStr">
        <is>
          <t>DALARNAS LÄN</t>
        </is>
      </c>
      <c r="E152" t="inlineStr">
        <is>
          <t>VANSBRO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49673-2025</t>
        </is>
      </c>
      <c r="B153" s="1" t="n">
        <v>45939</v>
      </c>
      <c r="C153" s="1" t="n">
        <v>46199</v>
      </c>
      <c r="D153" t="inlineStr">
        <is>
          <t>DALARNAS LÄN</t>
        </is>
      </c>
      <c r="E153" t="inlineStr">
        <is>
          <t>VANSBRO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49617-2025</t>
        </is>
      </c>
      <c r="B154" s="1" t="n">
        <v>45939</v>
      </c>
      <c r="C154" s="1" t="n">
        <v>46199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34440-2025</t>
        </is>
      </c>
      <c r="B155" s="1" t="n">
        <v>45846</v>
      </c>
      <c r="C155" s="1" t="n">
        <v>46199</v>
      </c>
      <c r="D155" t="inlineStr">
        <is>
          <t>DALARNAS LÄN</t>
        </is>
      </c>
      <c r="E155" t="inlineStr">
        <is>
          <t>VANSBRO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43868-2025</t>
        </is>
      </c>
      <c r="B156" s="1" t="n">
        <v>45912</v>
      </c>
      <c r="C156" s="1" t="n">
        <v>46199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50622-2025</t>
        </is>
      </c>
      <c r="B157" s="1" t="n">
        <v>45945</v>
      </c>
      <c r="C157" s="1" t="n">
        <v>46199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4953-2025</t>
        </is>
      </c>
      <c r="B158" s="1" t="n">
        <v>45689</v>
      </c>
      <c r="C158" s="1" t="n">
        <v>46199</v>
      </c>
      <c r="D158" t="inlineStr">
        <is>
          <t>DALARNAS LÄN</t>
        </is>
      </c>
      <c r="E158" t="inlineStr">
        <is>
          <t>VANSBRO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50687-2025</t>
        </is>
      </c>
      <c r="B159" s="1" t="n">
        <v>45945</v>
      </c>
      <c r="C159" s="1" t="n">
        <v>46199</v>
      </c>
      <c r="D159" t="inlineStr">
        <is>
          <t>DALARNAS LÄN</t>
        </is>
      </c>
      <c r="E159" t="inlineStr">
        <is>
          <t>VANSBRO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51414-2025</t>
        </is>
      </c>
      <c r="B160" s="1" t="n">
        <v>45950</v>
      </c>
      <c r="C160" s="1" t="n">
        <v>46199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51400-2024</t>
        </is>
      </c>
      <c r="B161" s="1" t="n">
        <v>45604</v>
      </c>
      <c r="C161" s="1" t="n">
        <v>46199</v>
      </c>
      <c r="D161" t="inlineStr">
        <is>
          <t>DALARNAS LÄN</t>
        </is>
      </c>
      <c r="E161" t="inlineStr">
        <is>
          <t>VANSBRO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35284-2025</t>
        </is>
      </c>
      <c r="B162" s="1" t="n">
        <v>45854</v>
      </c>
      <c r="C162" s="1" t="n">
        <v>46199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51855-2025</t>
        </is>
      </c>
      <c r="B163" s="1" t="n">
        <v>45952</v>
      </c>
      <c r="C163" s="1" t="n">
        <v>46199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35782-2025</t>
        </is>
      </c>
      <c r="B164" s="1" t="n">
        <v>45860</v>
      </c>
      <c r="C164" s="1" t="n">
        <v>46199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52442-2025</t>
        </is>
      </c>
      <c r="B165" s="1" t="n">
        <v>45954</v>
      </c>
      <c r="C165" s="1" t="n">
        <v>46199</v>
      </c>
      <c r="D165" t="inlineStr">
        <is>
          <t>DALARNAS LÄN</t>
        </is>
      </c>
      <c r="E165" t="inlineStr">
        <is>
          <t>VANSBRO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17366-2025</t>
        </is>
      </c>
      <c r="B166" s="1" t="n">
        <v>45756</v>
      </c>
      <c r="C166" s="1" t="n">
        <v>46199</v>
      </c>
      <c r="D166" t="inlineStr">
        <is>
          <t>DALARNAS LÄN</t>
        </is>
      </c>
      <c r="E166" t="inlineStr">
        <is>
          <t>VANSBRO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20189-2025</t>
        </is>
      </c>
      <c r="B167" s="1" t="n">
        <v>45772</v>
      </c>
      <c r="C167" s="1" t="n">
        <v>46199</v>
      </c>
      <c r="D167" t="inlineStr">
        <is>
          <t>DALARNAS LÄN</t>
        </is>
      </c>
      <c r="E167" t="inlineStr">
        <is>
          <t>VANSBRO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52673-2025</t>
        </is>
      </c>
      <c r="B168" s="1" t="n">
        <v>45956</v>
      </c>
      <c r="C168" s="1" t="n">
        <v>46199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2419-2026</t>
        </is>
      </c>
      <c r="B169" s="1" t="n">
        <v>46034</v>
      </c>
      <c r="C169" s="1" t="n">
        <v>46199</v>
      </c>
      <c r="D169" t="inlineStr">
        <is>
          <t>DALARNAS LÄN</t>
        </is>
      </c>
      <c r="E169" t="inlineStr">
        <is>
          <t>VANSBRO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52676-2025</t>
        </is>
      </c>
      <c r="B170" s="1" t="n">
        <v>45956</v>
      </c>
      <c r="C170" s="1" t="n">
        <v>46199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16830-2025</t>
        </is>
      </c>
      <c r="B171" s="1" t="n">
        <v>45754</v>
      </c>
      <c r="C171" s="1" t="n">
        <v>46199</v>
      </c>
      <c r="D171" t="inlineStr">
        <is>
          <t>DALARNAS LÄN</t>
        </is>
      </c>
      <c r="E171" t="inlineStr">
        <is>
          <t>VANSBRO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1472-2026</t>
        </is>
      </c>
      <c r="B172" s="1" t="n">
        <v>46033</v>
      </c>
      <c r="C172" s="1" t="n">
        <v>46199</v>
      </c>
      <c r="D172" t="inlineStr">
        <is>
          <t>DALARNAS LÄN</t>
        </is>
      </c>
      <c r="E172" t="inlineStr">
        <is>
          <t>VANSBRO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53315-2025</t>
        </is>
      </c>
      <c r="B173" s="1" t="n">
        <v>45959</v>
      </c>
      <c r="C173" s="1" t="n">
        <v>46199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1155-2026</t>
        </is>
      </c>
      <c r="B174" s="1" t="n">
        <v>46031</v>
      </c>
      <c r="C174" s="1" t="n">
        <v>46199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36382-2025</t>
        </is>
      </c>
      <c r="B175" s="1" t="n">
        <v>45868</v>
      </c>
      <c r="C175" s="1" t="n">
        <v>46199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2196-2026</t>
        </is>
      </c>
      <c r="B176" s="1" t="n">
        <v>46036</v>
      </c>
      <c r="C176" s="1" t="n">
        <v>46199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2483-2026</t>
        </is>
      </c>
      <c r="B177" s="1" t="n">
        <v>46037</v>
      </c>
      <c r="C177" s="1" t="n">
        <v>46199</v>
      </c>
      <c r="D177" t="inlineStr">
        <is>
          <t>DALARNAS LÄN</t>
        </is>
      </c>
      <c r="E177" t="inlineStr">
        <is>
          <t>VANSBRO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30889-2024</t>
        </is>
      </c>
      <c r="B178" s="1" t="n">
        <v>45498</v>
      </c>
      <c r="C178" s="1" t="n">
        <v>46199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6632-2023</t>
        </is>
      </c>
      <c r="B179" s="1" t="n">
        <v>44966</v>
      </c>
      <c r="C179" s="1" t="n">
        <v>46199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54100-2025</t>
        </is>
      </c>
      <c r="B180" s="1" t="n">
        <v>45964</v>
      </c>
      <c r="C180" s="1" t="n">
        <v>46199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2728-2026</t>
        </is>
      </c>
      <c r="B181" s="1" t="n">
        <v>46037</v>
      </c>
      <c r="C181" s="1" t="n">
        <v>46199</v>
      </c>
      <c r="D181" t="inlineStr">
        <is>
          <t>DALARNAS LÄN</t>
        </is>
      </c>
      <c r="E181" t="inlineStr">
        <is>
          <t>VANSBRO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3422-2026</t>
        </is>
      </c>
      <c r="B182" s="1" t="n">
        <v>46042</v>
      </c>
      <c r="C182" s="1" t="n">
        <v>46199</v>
      </c>
      <c r="D182" t="inlineStr">
        <is>
          <t>DALARNAS LÄN</t>
        </is>
      </c>
      <c r="E182" t="inlineStr">
        <is>
          <t>VANSBRO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3363-2026</t>
        </is>
      </c>
      <c r="B183" s="1" t="n">
        <v>46042</v>
      </c>
      <c r="C183" s="1" t="n">
        <v>46199</v>
      </c>
      <c r="D183" t="inlineStr">
        <is>
          <t>DALARNAS LÄN</t>
        </is>
      </c>
      <c r="E183" t="inlineStr">
        <is>
          <t>VANSBRO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53989-2025</t>
        </is>
      </c>
      <c r="B184" s="1" t="n">
        <v>45961</v>
      </c>
      <c r="C184" s="1" t="n">
        <v>46199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24982-2023</t>
        </is>
      </c>
      <c r="B185" s="1" t="n">
        <v>45085</v>
      </c>
      <c r="C185" s="1" t="n">
        <v>46199</v>
      </c>
      <c r="D185" t="inlineStr">
        <is>
          <t>DALARNAS LÄN</t>
        </is>
      </c>
      <c r="E185" t="inlineStr">
        <is>
          <t>VANSBRO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3428-2026</t>
        </is>
      </c>
      <c r="B186" s="1" t="n">
        <v>46042</v>
      </c>
      <c r="C186" s="1" t="n">
        <v>46199</v>
      </c>
      <c r="D186" t="inlineStr">
        <is>
          <t>DALARNAS LÄN</t>
        </is>
      </c>
      <c r="E186" t="inlineStr">
        <is>
          <t>VANSBRO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54579-2025</t>
        </is>
      </c>
      <c r="B187" s="1" t="n">
        <v>45965</v>
      </c>
      <c r="C187" s="1" t="n">
        <v>46199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54342-2025</t>
        </is>
      </c>
      <c r="B188" s="1" t="n">
        <v>45965</v>
      </c>
      <c r="C188" s="1" t="n">
        <v>46199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24481-2023</t>
        </is>
      </c>
      <c r="B189" s="1" t="n">
        <v>45082</v>
      </c>
      <c r="C189" s="1" t="n">
        <v>46199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54736-2025</t>
        </is>
      </c>
      <c r="B190" s="1" t="n">
        <v>45966</v>
      </c>
      <c r="C190" s="1" t="n">
        <v>46199</v>
      </c>
      <c r="D190" t="inlineStr">
        <is>
          <t>DALARNAS LÄN</t>
        </is>
      </c>
      <c r="E190" t="inlineStr">
        <is>
          <t>VANSBRO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37285-2025</t>
        </is>
      </c>
      <c r="B191" s="1" t="n">
        <v>45876</v>
      </c>
      <c r="C191" s="1" t="n">
        <v>46199</v>
      </c>
      <c r="D191" t="inlineStr">
        <is>
          <t>DALARNAS LÄN</t>
        </is>
      </c>
      <c r="E191" t="inlineStr">
        <is>
          <t>VANSBRO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54591-2025</t>
        </is>
      </c>
      <c r="B192" s="1" t="n">
        <v>45965</v>
      </c>
      <c r="C192" s="1" t="n">
        <v>46199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37287-2025</t>
        </is>
      </c>
      <c r="B193" s="1" t="n">
        <v>45876</v>
      </c>
      <c r="C193" s="1" t="n">
        <v>46199</v>
      </c>
      <c r="D193" t="inlineStr">
        <is>
          <t>DALARNAS LÄN</t>
        </is>
      </c>
      <c r="E193" t="inlineStr">
        <is>
          <t>VANSBRO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54453-2025</t>
        </is>
      </c>
      <c r="B194" s="1" t="n">
        <v>45965</v>
      </c>
      <c r="C194" s="1" t="n">
        <v>46199</v>
      </c>
      <c r="D194" t="inlineStr">
        <is>
          <t>DALARNAS LÄN</t>
        </is>
      </c>
      <c r="E194" t="inlineStr">
        <is>
          <t>VANSBRO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4027-2026</t>
        </is>
      </c>
      <c r="B195" s="1" t="n">
        <v>46044</v>
      </c>
      <c r="C195" s="1" t="n">
        <v>46199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20931-2022</t>
        </is>
      </c>
      <c r="B196" s="1" t="n">
        <v>44701</v>
      </c>
      <c r="C196" s="1" t="n">
        <v>46199</v>
      </c>
      <c r="D196" t="inlineStr">
        <is>
          <t>DALARNAS LÄN</t>
        </is>
      </c>
      <c r="E196" t="inlineStr">
        <is>
          <t>VANSBRO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43570-2023</t>
        </is>
      </c>
      <c r="B197" s="1" t="n">
        <v>45184</v>
      </c>
      <c r="C197" s="1" t="n">
        <v>46199</v>
      </c>
      <c r="D197" t="inlineStr">
        <is>
          <t>DALARNAS LÄN</t>
        </is>
      </c>
      <c r="E197" t="inlineStr">
        <is>
          <t>VANSBRO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55767-2025</t>
        </is>
      </c>
      <c r="B198" s="1" t="n">
        <v>45972</v>
      </c>
      <c r="C198" s="1" t="n">
        <v>46199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5335-2026</t>
        </is>
      </c>
      <c r="B199" s="1" t="n">
        <v>46050</v>
      </c>
      <c r="C199" s="1" t="n">
        <v>46199</v>
      </c>
      <c r="D199" t="inlineStr">
        <is>
          <t>DALARNAS LÄN</t>
        </is>
      </c>
      <c r="E199" t="inlineStr">
        <is>
          <t>VANSBRO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4970-2026</t>
        </is>
      </c>
      <c r="B200" s="1" t="n">
        <v>46049</v>
      </c>
      <c r="C200" s="1" t="n">
        <v>46199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4937-2026</t>
        </is>
      </c>
      <c r="B201" s="1" t="n">
        <v>46048</v>
      </c>
      <c r="C201" s="1" t="n">
        <v>46199</v>
      </c>
      <c r="D201" t="inlineStr">
        <is>
          <t>DALARNAS LÄN</t>
        </is>
      </c>
      <c r="E201" t="inlineStr">
        <is>
          <t>VANSBRO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5080-2026</t>
        </is>
      </c>
      <c r="B202" s="1" t="n">
        <v>46049</v>
      </c>
      <c r="C202" s="1" t="n">
        <v>46199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4998-2026</t>
        </is>
      </c>
      <c r="B203" s="1" t="n">
        <v>46049</v>
      </c>
      <c r="C203" s="1" t="n">
        <v>46199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6076-2026</t>
        </is>
      </c>
      <c r="B204" s="1" t="n">
        <v>46052</v>
      </c>
      <c r="C204" s="1" t="n">
        <v>46199</v>
      </c>
      <c r="D204" t="inlineStr">
        <is>
          <t>DALARNAS LÄN</t>
        </is>
      </c>
      <c r="E204" t="inlineStr">
        <is>
          <t>VANSBRO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5747-2026</t>
        </is>
      </c>
      <c r="B205" s="1" t="n">
        <v>46051</v>
      </c>
      <c r="C205" s="1" t="n">
        <v>46199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56043-2025</t>
        </is>
      </c>
      <c r="B206" s="1" t="n">
        <v>45973</v>
      </c>
      <c r="C206" s="1" t="n">
        <v>46199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20185-2025</t>
        </is>
      </c>
      <c r="B207" s="1" t="n">
        <v>45772</v>
      </c>
      <c r="C207" s="1" t="n">
        <v>46199</v>
      </c>
      <c r="D207" t="inlineStr">
        <is>
          <t>DALARNAS LÄN</t>
        </is>
      </c>
      <c r="E207" t="inlineStr">
        <is>
          <t>VANSBRO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56280-2025</t>
        </is>
      </c>
      <c r="B208" s="1" t="n">
        <v>45974</v>
      </c>
      <c r="C208" s="1" t="n">
        <v>46199</v>
      </c>
      <c r="D208" t="inlineStr">
        <is>
          <t>DALARNAS LÄN</t>
        </is>
      </c>
      <c r="E208" t="inlineStr">
        <is>
          <t>VANSBRO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7259-2026</t>
        </is>
      </c>
      <c r="B209" s="1" t="n">
        <v>46058</v>
      </c>
      <c r="C209" s="1" t="n">
        <v>46199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7236-2026</t>
        </is>
      </c>
      <c r="B210" s="1" t="n">
        <v>46058</v>
      </c>
      <c r="C210" s="1" t="n">
        <v>46199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7014-2026</t>
        </is>
      </c>
      <c r="B211" s="1" t="n">
        <v>46057</v>
      </c>
      <c r="C211" s="1" t="n">
        <v>46199</v>
      </c>
      <c r="D211" t="inlineStr">
        <is>
          <t>DALARNAS LÄN</t>
        </is>
      </c>
      <c r="E211" t="inlineStr">
        <is>
          <t>VANSBRO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4954-2025</t>
        </is>
      </c>
      <c r="B212" s="1" t="n">
        <v>45689</v>
      </c>
      <c r="C212" s="1" t="n">
        <v>46199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35780-2024</t>
        </is>
      </c>
      <c r="B213" s="1" t="n">
        <v>45532</v>
      </c>
      <c r="C213" s="1" t="n">
        <v>46199</v>
      </c>
      <c r="D213" t="inlineStr">
        <is>
          <t>DALARNAS LÄN</t>
        </is>
      </c>
      <c r="E213" t="inlineStr">
        <is>
          <t>VANSBRO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46466-2024</t>
        </is>
      </c>
      <c r="B214" s="1" t="n">
        <v>45582</v>
      </c>
      <c r="C214" s="1" t="n">
        <v>46199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7779-2026</t>
        </is>
      </c>
      <c r="B215" s="1" t="n">
        <v>46062</v>
      </c>
      <c r="C215" s="1" t="n">
        <v>46199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54423-2024</t>
        </is>
      </c>
      <c r="B216" s="1" t="n">
        <v>45617</v>
      </c>
      <c r="C216" s="1" t="n">
        <v>46199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572-2024</t>
        </is>
      </c>
      <c r="B217" s="1" t="n">
        <v>45299</v>
      </c>
      <c r="C217" s="1" t="n">
        <v>46199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56773-2023</t>
        </is>
      </c>
      <c r="B218" s="1" t="n">
        <v>45244</v>
      </c>
      <c r="C218" s="1" t="n">
        <v>46199</v>
      </c>
      <c r="D218" t="inlineStr">
        <is>
          <t>DALARNAS LÄN</t>
        </is>
      </c>
      <c r="E218" t="inlineStr">
        <is>
          <t>VANSBRO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50533-2024</t>
        </is>
      </c>
      <c r="B219" s="1" t="n">
        <v>45601</v>
      </c>
      <c r="C219" s="1" t="n">
        <v>46199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3258-2026</t>
        </is>
      </c>
      <c r="B220" s="1" t="n">
        <v>46041</v>
      </c>
      <c r="C220" s="1" t="n">
        <v>46199</v>
      </c>
      <c r="D220" t="inlineStr">
        <is>
          <t>DALARNAS LÄN</t>
        </is>
      </c>
      <c r="E220" t="inlineStr">
        <is>
          <t>VANSBRO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28924-2024</t>
        </is>
      </c>
      <c r="B221" s="1" t="n">
        <v>45481</v>
      </c>
      <c r="C221" s="1" t="n">
        <v>46199</v>
      </c>
      <c r="D221" t="inlineStr">
        <is>
          <t>DALARNAS LÄN</t>
        </is>
      </c>
      <c r="E221" t="inlineStr">
        <is>
          <t>VANSBRO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59142-2024</t>
        </is>
      </c>
      <c r="B222" s="1" t="n">
        <v>45637</v>
      </c>
      <c r="C222" s="1" t="n">
        <v>46199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1140-2025</t>
        </is>
      </c>
      <c r="B223" s="1" t="n">
        <v>45666</v>
      </c>
      <c r="C223" s="1" t="n">
        <v>46199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39336-2023</t>
        </is>
      </c>
      <c r="B224" s="1" t="n">
        <v>45166</v>
      </c>
      <c r="C224" s="1" t="n">
        <v>46199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59856-2024</t>
        </is>
      </c>
      <c r="B225" s="1" t="n">
        <v>45639</v>
      </c>
      <c r="C225" s="1" t="n">
        <v>46199</v>
      </c>
      <c r="D225" t="inlineStr">
        <is>
          <t>DALARNAS LÄN</t>
        </is>
      </c>
      <c r="E225" t="inlineStr">
        <is>
          <t>VANSBRO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25916-2022</t>
        </is>
      </c>
      <c r="B226" s="1" t="n">
        <v>44734</v>
      </c>
      <c r="C226" s="1" t="n">
        <v>46199</v>
      </c>
      <c r="D226" t="inlineStr">
        <is>
          <t>DALARNAS LÄN</t>
        </is>
      </c>
      <c r="E226" t="inlineStr">
        <is>
          <t>VANSBRO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56269-2023</t>
        </is>
      </c>
      <c r="B227" s="1" t="n">
        <v>45240</v>
      </c>
      <c r="C227" s="1" t="n">
        <v>46199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64072-2025</t>
        </is>
      </c>
      <c r="B228" s="1" t="n">
        <v>46021</v>
      </c>
      <c r="C228" s="1" t="n">
        <v>46199</v>
      </c>
      <c r="D228" t="inlineStr">
        <is>
          <t>DALARNAS LÄN</t>
        </is>
      </c>
      <c r="E228" t="inlineStr">
        <is>
          <t>VANSBRO</t>
        </is>
      </c>
      <c r="G228" t="n">
        <v>19.1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2190-2025</t>
        </is>
      </c>
      <c r="B229" s="1" t="n">
        <v>45673</v>
      </c>
      <c r="C229" s="1" t="n">
        <v>46199</v>
      </c>
      <c r="D229" t="inlineStr">
        <is>
          <t>DALARNAS LÄN</t>
        </is>
      </c>
      <c r="E229" t="inlineStr">
        <is>
          <t>VANSBRO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9417-2026</t>
        </is>
      </c>
      <c r="B230" s="1" t="n">
        <v>46071</v>
      </c>
      <c r="C230" s="1" t="n">
        <v>46199</v>
      </c>
      <c r="D230" t="inlineStr">
        <is>
          <t>DALARNAS LÄN</t>
        </is>
      </c>
      <c r="E230" t="inlineStr">
        <is>
          <t>VANSBRO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7764-2026</t>
        </is>
      </c>
      <c r="B231" s="1" t="n">
        <v>46062</v>
      </c>
      <c r="C231" s="1" t="n">
        <v>46199</v>
      </c>
      <c r="D231" t="inlineStr">
        <is>
          <t>DALARNAS LÄN</t>
        </is>
      </c>
      <c r="E231" t="inlineStr">
        <is>
          <t>VANSBRO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57903-2024</t>
        </is>
      </c>
      <c r="B232" s="1" t="n">
        <v>45631</v>
      </c>
      <c r="C232" s="1" t="n">
        <v>46199</v>
      </c>
      <c r="D232" t="inlineStr">
        <is>
          <t>DALARNAS LÄN</t>
        </is>
      </c>
      <c r="E232" t="inlineStr">
        <is>
          <t>VANSBRO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51396-2022</t>
        </is>
      </c>
      <c r="B233" s="1" t="n">
        <v>44869</v>
      </c>
      <c r="C233" s="1" t="n">
        <v>46199</v>
      </c>
      <c r="D233" t="inlineStr">
        <is>
          <t>DALARNAS LÄN</t>
        </is>
      </c>
      <c r="E233" t="inlineStr">
        <is>
          <t>VANSBRO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11350-2026</t>
        </is>
      </c>
      <c r="B234" s="1" t="n">
        <v>46082</v>
      </c>
      <c r="C234" s="1" t="n">
        <v>46199</v>
      </c>
      <c r="D234" t="inlineStr">
        <is>
          <t>DALARNAS LÄN</t>
        </is>
      </c>
      <c r="E234" t="inlineStr">
        <is>
          <t>VANSBRO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11349-2026</t>
        </is>
      </c>
      <c r="B235" s="1" t="n">
        <v>46082</v>
      </c>
      <c r="C235" s="1" t="n">
        <v>46199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57904-2024</t>
        </is>
      </c>
      <c r="B236" s="1" t="n">
        <v>45631</v>
      </c>
      <c r="C236" s="1" t="n">
        <v>46199</v>
      </c>
      <c r="D236" t="inlineStr">
        <is>
          <t>DALARNAS LÄN</t>
        </is>
      </c>
      <c r="E236" t="inlineStr">
        <is>
          <t>VANSBRO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11603-2026</t>
        </is>
      </c>
      <c r="B237" s="1" t="n">
        <v>46084</v>
      </c>
      <c r="C237" s="1" t="n">
        <v>46199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2147-2025</t>
        </is>
      </c>
      <c r="B238" s="1" t="n">
        <v>45672</v>
      </c>
      <c r="C238" s="1" t="n">
        <v>46199</v>
      </c>
      <c r="D238" t="inlineStr">
        <is>
          <t>DALARNAS LÄN</t>
        </is>
      </c>
      <c r="E238" t="inlineStr">
        <is>
          <t>VANSBRO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12475-2026</t>
        </is>
      </c>
      <c r="B239" s="1" t="n">
        <v>46090</v>
      </c>
      <c r="C239" s="1" t="n">
        <v>46199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13392-2026</t>
        </is>
      </c>
      <c r="B240" s="1" t="n">
        <v>46094</v>
      </c>
      <c r="C240" s="1" t="n">
        <v>46199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39974-2022</t>
        </is>
      </c>
      <c r="B241" s="1" t="n">
        <v>44820</v>
      </c>
      <c r="C241" s="1" t="n">
        <v>46199</v>
      </c>
      <c r="D241" t="inlineStr">
        <is>
          <t>DALARNAS LÄN</t>
        </is>
      </c>
      <c r="E241" t="inlineStr">
        <is>
          <t>VANSBRO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61662-2024</t>
        </is>
      </c>
      <c r="B242" s="1" t="n">
        <v>45646</v>
      </c>
      <c r="C242" s="1" t="n">
        <v>46199</v>
      </c>
      <c r="D242" t="inlineStr">
        <is>
          <t>DALARNAS LÄN</t>
        </is>
      </c>
      <c r="E242" t="inlineStr">
        <is>
          <t>VANSBRO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61663-2024</t>
        </is>
      </c>
      <c r="B243" s="1" t="n">
        <v>45646</v>
      </c>
      <c r="C243" s="1" t="n">
        <v>46199</v>
      </c>
      <c r="D243" t="inlineStr">
        <is>
          <t>DALARNAS LÄN</t>
        </is>
      </c>
      <c r="E243" t="inlineStr">
        <is>
          <t>VANSBRO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13495-2026</t>
        </is>
      </c>
      <c r="B244" s="1" t="n">
        <v>46094</v>
      </c>
      <c r="C244" s="1" t="n">
        <v>46199</v>
      </c>
      <c r="D244" t="inlineStr">
        <is>
          <t>DALARNAS LÄN</t>
        </is>
      </c>
      <c r="E244" t="inlineStr">
        <is>
          <t>VANSBRO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13403-2026</t>
        </is>
      </c>
      <c r="B245" s="1" t="n">
        <v>46094</v>
      </c>
      <c r="C245" s="1" t="n">
        <v>46199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13506-2026</t>
        </is>
      </c>
      <c r="B246" s="1" t="n">
        <v>46094</v>
      </c>
      <c r="C246" s="1" t="n">
        <v>46199</v>
      </c>
      <c r="D246" t="inlineStr">
        <is>
          <t>DALARNAS LÄN</t>
        </is>
      </c>
      <c r="E246" t="inlineStr">
        <is>
          <t>VANSBRO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51414-2021</t>
        </is>
      </c>
      <c r="B247" s="1" t="n">
        <v>44461</v>
      </c>
      <c r="C247" s="1" t="n">
        <v>46199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52572-2023</t>
        </is>
      </c>
      <c r="B248" s="1" t="n">
        <v>45225</v>
      </c>
      <c r="C248" s="1" t="n">
        <v>46199</v>
      </c>
      <c r="D248" t="inlineStr">
        <is>
          <t>DALARNAS LÄN</t>
        </is>
      </c>
      <c r="E248" t="inlineStr">
        <is>
          <t>VANSBRO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5017-2025</t>
        </is>
      </c>
      <c r="B249" s="1" t="n">
        <v>45691</v>
      </c>
      <c r="C249" s="1" t="n">
        <v>46199</v>
      </c>
      <c r="D249" t="inlineStr">
        <is>
          <t>DALARNAS LÄN</t>
        </is>
      </c>
      <c r="E249" t="inlineStr">
        <is>
          <t>VANSBRO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5019-2025</t>
        </is>
      </c>
      <c r="B250" s="1" t="n">
        <v>45691</v>
      </c>
      <c r="C250" s="1" t="n">
        <v>46199</v>
      </c>
      <c r="D250" t="inlineStr">
        <is>
          <t>DALARNAS LÄN</t>
        </is>
      </c>
      <c r="E250" t="inlineStr">
        <is>
          <t>VANSBRO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14112-2026</t>
        </is>
      </c>
      <c r="B251" s="1" t="n">
        <v>46099</v>
      </c>
      <c r="C251" s="1" t="n">
        <v>46199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4680-2023</t>
        </is>
      </c>
      <c r="B252" s="1" t="n">
        <v>44957</v>
      </c>
      <c r="C252" s="1" t="n">
        <v>46199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44679-2023</t>
        </is>
      </c>
      <c r="B253" s="1" t="n">
        <v>45189</v>
      </c>
      <c r="C253" s="1" t="n">
        <v>46199</v>
      </c>
      <c r="D253" t="inlineStr">
        <is>
          <t>DALARNAS LÄN</t>
        </is>
      </c>
      <c r="E253" t="inlineStr">
        <is>
          <t>VANSBRO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61646-2024</t>
        </is>
      </c>
      <c r="B254" s="1" t="n">
        <v>45646</v>
      </c>
      <c r="C254" s="1" t="n">
        <v>46199</v>
      </c>
      <c r="D254" t="inlineStr">
        <is>
          <t>DALARNAS LÄN</t>
        </is>
      </c>
      <c r="E254" t="inlineStr">
        <is>
          <t>VANSBRO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35288-2024</t>
        </is>
      </c>
      <c r="B255" s="1" t="n">
        <v>45530</v>
      </c>
      <c r="C255" s="1" t="n">
        <v>46199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18658-2025</t>
        </is>
      </c>
      <c r="B256" s="1" t="n">
        <v>45763</v>
      </c>
      <c r="C256" s="1" t="n">
        <v>46199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12917-2026</t>
        </is>
      </c>
      <c r="B257" s="1" t="n">
        <v>46092</v>
      </c>
      <c r="C257" s="1" t="n">
        <v>46199</v>
      </c>
      <c r="D257" t="inlineStr">
        <is>
          <t>DALARNAS LÄN</t>
        </is>
      </c>
      <c r="E257" t="inlineStr">
        <is>
          <t>VANSBRO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18859-2025</t>
        </is>
      </c>
      <c r="B258" s="1" t="n">
        <v>45764</v>
      </c>
      <c r="C258" s="1" t="n">
        <v>46199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15408-2026</t>
        </is>
      </c>
      <c r="B259" s="1" t="n">
        <v>46106</v>
      </c>
      <c r="C259" s="1" t="n">
        <v>46199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15676-2026</t>
        </is>
      </c>
      <c r="B260" s="1" t="n">
        <v>46106</v>
      </c>
      <c r="C260" s="1" t="n">
        <v>46199</v>
      </c>
      <c r="D260" t="inlineStr">
        <is>
          <t>DALARNAS LÄN</t>
        </is>
      </c>
      <c r="E260" t="inlineStr">
        <is>
          <t>VANSBRO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18304-2025</t>
        </is>
      </c>
      <c r="B261" s="1" t="n">
        <v>45762</v>
      </c>
      <c r="C261" s="1" t="n">
        <v>46199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16134-2026</t>
        </is>
      </c>
      <c r="B262" s="1" t="n">
        <v>46108</v>
      </c>
      <c r="C262" s="1" t="n">
        <v>46199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16669-2026</t>
        </is>
      </c>
      <c r="B263" s="1" t="n">
        <v>46112</v>
      </c>
      <c r="C263" s="1" t="n">
        <v>46199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13327-2025</t>
        </is>
      </c>
      <c r="B264" s="1" t="n">
        <v>45735</v>
      </c>
      <c r="C264" s="1" t="n">
        <v>46199</v>
      </c>
      <c r="D264" t="inlineStr">
        <is>
          <t>DALARNAS LÄN</t>
        </is>
      </c>
      <c r="E264" t="inlineStr">
        <is>
          <t>VANSBRO</t>
        </is>
      </c>
      <c r="F264" t="inlineStr">
        <is>
          <t>Kommuner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16952-2026</t>
        </is>
      </c>
      <c r="B265" s="1" t="n">
        <v>46114</v>
      </c>
      <c r="C265" s="1" t="n">
        <v>46199</v>
      </c>
      <c r="D265" t="inlineStr">
        <is>
          <t>DALARNAS LÄN</t>
        </is>
      </c>
      <c r="E265" t="inlineStr">
        <is>
          <t>VANSBRO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16948-2026</t>
        </is>
      </c>
      <c r="B266" s="1" t="n">
        <v>46113</v>
      </c>
      <c r="C266" s="1" t="n">
        <v>46199</v>
      </c>
      <c r="D266" t="inlineStr">
        <is>
          <t>DALARNAS LÄN</t>
        </is>
      </c>
      <c r="E266" t="inlineStr">
        <is>
          <t>VANSBRO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4951-2025</t>
        </is>
      </c>
      <c r="B267" s="1" t="n">
        <v>45689</v>
      </c>
      <c r="C267" s="1" t="n">
        <v>46199</v>
      </c>
      <c r="D267" t="inlineStr">
        <is>
          <t>DALARNAS LÄN</t>
        </is>
      </c>
      <c r="E267" t="inlineStr">
        <is>
          <t>VANSBRO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4952-2025</t>
        </is>
      </c>
      <c r="B268" s="1" t="n">
        <v>45689</v>
      </c>
      <c r="C268" s="1" t="n">
        <v>46199</v>
      </c>
      <c r="D268" t="inlineStr">
        <is>
          <t>DALARNAS LÄN</t>
        </is>
      </c>
      <c r="E268" t="inlineStr">
        <is>
          <t>VANSBRO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23018-2026</t>
        </is>
      </c>
      <c r="B269" s="1" t="n">
        <v>46161</v>
      </c>
      <c r="C269" s="1" t="n">
        <v>46199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23059-2026</t>
        </is>
      </c>
      <c r="B270" s="1" t="n">
        <v>46161</v>
      </c>
      <c r="C270" s="1" t="n">
        <v>46199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17321-2026</t>
        </is>
      </c>
      <c r="B271" s="1" t="n">
        <v>46119</v>
      </c>
      <c r="C271" s="1" t="n">
        <v>46199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17553-2026</t>
        </is>
      </c>
      <c r="B272" s="1" t="n">
        <v>46120</v>
      </c>
      <c r="C272" s="1" t="n">
        <v>46199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17609-2026</t>
        </is>
      </c>
      <c r="B273" s="1" t="n">
        <v>46121</v>
      </c>
      <c r="C273" s="1" t="n">
        <v>46199</v>
      </c>
      <c r="D273" t="inlineStr">
        <is>
          <t>DALARNAS LÄN</t>
        </is>
      </c>
      <c r="E273" t="inlineStr">
        <is>
          <t>VANSBRO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17613-2026</t>
        </is>
      </c>
      <c r="B274" s="1" t="n">
        <v>46121</v>
      </c>
      <c r="C274" s="1" t="n">
        <v>46199</v>
      </c>
      <c r="D274" t="inlineStr">
        <is>
          <t>DALARNAS LÄN</t>
        </is>
      </c>
      <c r="E274" t="inlineStr">
        <is>
          <t>VANSBRO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8694-2023</t>
        </is>
      </c>
      <c r="B275" s="1" t="n">
        <v>44972</v>
      </c>
      <c r="C275" s="1" t="n">
        <v>46199</v>
      </c>
      <c r="D275" t="inlineStr">
        <is>
          <t>DALARNAS LÄN</t>
        </is>
      </c>
      <c r="E275" t="inlineStr">
        <is>
          <t>VANSBRO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17552-2026</t>
        </is>
      </c>
      <c r="B276" s="1" t="n">
        <v>46120</v>
      </c>
      <c r="C276" s="1" t="n">
        <v>46199</v>
      </c>
      <c r="D276" t="inlineStr">
        <is>
          <t>DALARNAS LÄN</t>
        </is>
      </c>
      <c r="E276" t="inlineStr">
        <is>
          <t>VANSBRO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59736-2022</t>
        </is>
      </c>
      <c r="B277" s="1" t="n">
        <v>44908</v>
      </c>
      <c r="C277" s="1" t="n">
        <v>46199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17551-2026</t>
        </is>
      </c>
      <c r="B278" s="1" t="n">
        <v>46120</v>
      </c>
      <c r="C278" s="1" t="n">
        <v>46199</v>
      </c>
      <c r="D278" t="inlineStr">
        <is>
          <t>DALARNAS LÄN</t>
        </is>
      </c>
      <c r="E278" t="inlineStr">
        <is>
          <t>VANSBRO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17604-2026</t>
        </is>
      </c>
      <c r="B279" s="1" t="n">
        <v>46121</v>
      </c>
      <c r="C279" s="1" t="n">
        <v>46199</v>
      </c>
      <c r="D279" t="inlineStr">
        <is>
          <t>DALARNAS LÄN</t>
        </is>
      </c>
      <c r="E279" t="inlineStr">
        <is>
          <t>VANSBRO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18068-2026</t>
        </is>
      </c>
      <c r="B280" s="1" t="n">
        <v>46125</v>
      </c>
      <c r="C280" s="1" t="n">
        <v>46199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46165-2021</t>
        </is>
      </c>
      <c r="B281" s="1" t="n">
        <v>44442</v>
      </c>
      <c r="C281" s="1" t="n">
        <v>46199</v>
      </c>
      <c r="D281" t="inlineStr">
        <is>
          <t>DALARNAS LÄN</t>
        </is>
      </c>
      <c r="E281" t="inlineStr">
        <is>
          <t>VANSBRO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23780-2026</t>
        </is>
      </c>
      <c r="B282" s="1" t="n">
        <v>46164</v>
      </c>
      <c r="C282" s="1" t="n">
        <v>46199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17998-2026</t>
        </is>
      </c>
      <c r="B283" s="1" t="n">
        <v>46124</v>
      </c>
      <c r="C283" s="1" t="n">
        <v>46199</v>
      </c>
      <c r="D283" t="inlineStr">
        <is>
          <t>DALARNAS LÄN</t>
        </is>
      </c>
      <c r="E283" t="inlineStr">
        <is>
          <t>VANSBRO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18140-2026</t>
        </is>
      </c>
      <c r="B284" s="1" t="n">
        <v>46125</v>
      </c>
      <c r="C284" s="1" t="n">
        <v>46199</v>
      </c>
      <c r="D284" t="inlineStr">
        <is>
          <t>DALARNAS LÄN</t>
        </is>
      </c>
      <c r="E284" t="inlineStr">
        <is>
          <t>VANSBRO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23752-2026</t>
        </is>
      </c>
      <c r="B285" s="1" t="n">
        <v>46164</v>
      </c>
      <c r="C285" s="1" t="n">
        <v>46199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18586-2026</t>
        </is>
      </c>
      <c r="B286" s="1" t="n">
        <v>46127</v>
      </c>
      <c r="C286" s="1" t="n">
        <v>46199</v>
      </c>
      <c r="D286" t="inlineStr">
        <is>
          <t>DALARNAS LÄN</t>
        </is>
      </c>
      <c r="E286" t="inlineStr">
        <is>
          <t>VANSBRO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18243-2026</t>
        </is>
      </c>
      <c r="B287" s="1" t="n">
        <v>46126</v>
      </c>
      <c r="C287" s="1" t="n">
        <v>46199</v>
      </c>
      <c r="D287" t="inlineStr">
        <is>
          <t>DALARNAS LÄN</t>
        </is>
      </c>
      <c r="E287" t="inlineStr">
        <is>
          <t>VANSBRO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18577-2026</t>
        </is>
      </c>
      <c r="B288" s="1" t="n">
        <v>46127</v>
      </c>
      <c r="C288" s="1" t="n">
        <v>46199</v>
      </c>
      <c r="D288" t="inlineStr">
        <is>
          <t>DALARNAS LÄN</t>
        </is>
      </c>
      <c r="E288" t="inlineStr">
        <is>
          <t>VANSBRO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18588-2026</t>
        </is>
      </c>
      <c r="B289" s="1" t="n">
        <v>46127</v>
      </c>
      <c r="C289" s="1" t="n">
        <v>46199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51606-2023</t>
        </is>
      </c>
      <c r="B290" s="1" t="n">
        <v>45222</v>
      </c>
      <c r="C290" s="1" t="n">
        <v>46199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18580-2026</t>
        </is>
      </c>
      <c r="B291" s="1" t="n">
        <v>46127</v>
      </c>
      <c r="C291" s="1" t="n">
        <v>46199</v>
      </c>
      <c r="D291" t="inlineStr">
        <is>
          <t>DALARNAS LÄN</t>
        </is>
      </c>
      <c r="E291" t="inlineStr">
        <is>
          <t>VANSBRO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18823-2026</t>
        </is>
      </c>
      <c r="B292" s="1" t="n">
        <v>46128</v>
      </c>
      <c r="C292" s="1" t="n">
        <v>46199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18717-2026</t>
        </is>
      </c>
      <c r="B293" s="1" t="n">
        <v>46128</v>
      </c>
      <c r="C293" s="1" t="n">
        <v>46199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5477-2023</t>
        </is>
      </c>
      <c r="B294" s="1" t="n">
        <v>44960</v>
      </c>
      <c r="C294" s="1" t="n">
        <v>46199</v>
      </c>
      <c r="D294" t="inlineStr">
        <is>
          <t>DALARNAS LÄN</t>
        </is>
      </c>
      <c r="E294" t="inlineStr">
        <is>
          <t>VANSBRO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25045-2026</t>
        </is>
      </c>
      <c r="B295" s="1" t="n">
        <v>46174</v>
      </c>
      <c r="C295" s="1" t="n">
        <v>46199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18709-2026</t>
        </is>
      </c>
      <c r="B296" s="1" t="n">
        <v>46128</v>
      </c>
      <c r="C296" s="1" t="n">
        <v>46199</v>
      </c>
      <c r="D296" t="inlineStr">
        <is>
          <t>DALARNAS LÄN</t>
        </is>
      </c>
      <c r="E296" t="inlineStr">
        <is>
          <t>VANSBRO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11274-2024</t>
        </is>
      </c>
      <c r="B297" s="1" t="n">
        <v>45371</v>
      </c>
      <c r="C297" s="1" t="n">
        <v>46199</v>
      </c>
      <c r="D297" t="inlineStr">
        <is>
          <t>DALARNAS LÄN</t>
        </is>
      </c>
      <c r="E297" t="inlineStr">
        <is>
          <t>VANSBRO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60031-2022</t>
        </is>
      </c>
      <c r="B298" s="1" t="n">
        <v>44909</v>
      </c>
      <c r="C298" s="1" t="n">
        <v>46199</v>
      </c>
      <c r="D298" t="inlineStr">
        <is>
          <t>DALARNAS LÄN</t>
        </is>
      </c>
      <c r="E298" t="inlineStr">
        <is>
          <t>VANSBRO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57947-2023</t>
        </is>
      </c>
      <c r="B299" s="1" t="n">
        <v>45247</v>
      </c>
      <c r="C299" s="1" t="n">
        <v>46199</v>
      </c>
      <c r="D299" t="inlineStr">
        <is>
          <t>DALARNAS LÄN</t>
        </is>
      </c>
      <c r="E299" t="inlineStr">
        <is>
          <t>VANSBRO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33829-2024</t>
        </is>
      </c>
      <c r="B300" s="1" t="n">
        <v>45520</v>
      </c>
      <c r="C300" s="1" t="n">
        <v>46199</v>
      </c>
      <c r="D300" t="inlineStr">
        <is>
          <t>DALARNAS LÄN</t>
        </is>
      </c>
      <c r="E300" t="inlineStr">
        <is>
          <t>VANSBRO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35299-2024</t>
        </is>
      </c>
      <c r="B301" s="1" t="n">
        <v>45530</v>
      </c>
      <c r="C301" s="1" t="n">
        <v>46199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24202-2026</t>
        </is>
      </c>
      <c r="B302" s="1" t="n">
        <v>46168</v>
      </c>
      <c r="C302" s="1" t="n">
        <v>46199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24277-2026</t>
        </is>
      </c>
      <c r="B303" s="1" t="n">
        <v>46169</v>
      </c>
      <c r="C303" s="1" t="n">
        <v>46199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28007-2025</t>
        </is>
      </c>
      <c r="B304" s="1" t="n">
        <v>45817</v>
      </c>
      <c r="C304" s="1" t="n">
        <v>46199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19809-2026</t>
        </is>
      </c>
      <c r="B305" s="1" t="n">
        <v>46135</v>
      </c>
      <c r="C305" s="1" t="n">
        <v>46199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13062-2023</t>
        </is>
      </c>
      <c r="B306" s="1" t="n">
        <v>45002</v>
      </c>
      <c r="C306" s="1" t="n">
        <v>46199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62622-2022</t>
        </is>
      </c>
      <c r="B307" s="1" t="n">
        <v>44925</v>
      </c>
      <c r="C307" s="1" t="n">
        <v>46199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17841-2024</t>
        </is>
      </c>
      <c r="B308" s="1" t="n">
        <v>45418</v>
      </c>
      <c r="C308" s="1" t="n">
        <v>46199</v>
      </c>
      <c r="D308" t="inlineStr">
        <is>
          <t>DALARNAS LÄN</t>
        </is>
      </c>
      <c r="E308" t="inlineStr">
        <is>
          <t>VANSBRO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27080-2024</t>
        </is>
      </c>
      <c r="B309" s="1" t="n">
        <v>45471</v>
      </c>
      <c r="C309" s="1" t="n">
        <v>46199</v>
      </c>
      <c r="D309" t="inlineStr">
        <is>
          <t>DALARNAS LÄN</t>
        </is>
      </c>
      <c r="E309" t="inlineStr">
        <is>
          <t>VANSBRO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20669-2025</t>
        </is>
      </c>
      <c r="B310" s="1" t="n">
        <v>45776</v>
      </c>
      <c r="C310" s="1" t="n">
        <v>46199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26387-2025</t>
        </is>
      </c>
      <c r="B311" s="1" t="n">
        <v>45806</v>
      </c>
      <c r="C311" s="1" t="n">
        <v>46199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53828-2021</t>
        </is>
      </c>
      <c r="B312" s="1" t="n">
        <v>44469</v>
      </c>
      <c r="C312" s="1" t="n">
        <v>46199</v>
      </c>
      <c r="D312" t="inlineStr">
        <is>
          <t>DALARNAS LÄN</t>
        </is>
      </c>
      <c r="E312" t="inlineStr">
        <is>
          <t>VANSBRO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21973-2024</t>
        </is>
      </c>
      <c r="B313" s="1" t="n">
        <v>45443</v>
      </c>
      <c r="C313" s="1" t="n">
        <v>46199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20208-2026</t>
        </is>
      </c>
      <c r="B314" s="1" t="n">
        <v>46139</v>
      </c>
      <c r="C314" s="1" t="n">
        <v>46199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27000-2025</t>
        </is>
      </c>
      <c r="B315" s="1" t="n">
        <v>45811</v>
      </c>
      <c r="C315" s="1" t="n">
        <v>46199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5386-2024</t>
        </is>
      </c>
      <c r="B316" s="1" t="n">
        <v>45331</v>
      </c>
      <c r="C316" s="1" t="n">
        <v>46199</v>
      </c>
      <c r="D316" t="inlineStr">
        <is>
          <t>DALARNAS LÄN</t>
        </is>
      </c>
      <c r="E316" t="inlineStr">
        <is>
          <t>VANSBRO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21117-2024</t>
        </is>
      </c>
      <c r="B317" s="1" t="n">
        <v>45440</v>
      </c>
      <c r="C317" s="1" t="n">
        <v>46199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5420-2024</t>
        </is>
      </c>
      <c r="B318" s="1" t="n">
        <v>45331</v>
      </c>
      <c r="C318" s="1" t="n">
        <v>46199</v>
      </c>
      <c r="D318" t="inlineStr">
        <is>
          <t>DALARNAS LÄN</t>
        </is>
      </c>
      <c r="E318" t="inlineStr">
        <is>
          <t>VANSBRO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11598-2025</t>
        </is>
      </c>
      <c r="B319" s="1" t="n">
        <v>45727</v>
      </c>
      <c r="C319" s="1" t="n">
        <v>46199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9145-2025</t>
        </is>
      </c>
      <c r="B320" s="1" t="n">
        <v>45714</v>
      </c>
      <c r="C320" s="1" t="n">
        <v>46199</v>
      </c>
      <c r="D320" t="inlineStr">
        <is>
          <t>DALARNAS LÄN</t>
        </is>
      </c>
      <c r="E320" t="inlineStr">
        <is>
          <t>VANSBRO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50258-2024</t>
        </is>
      </c>
      <c r="B321" s="1" t="n">
        <v>45600</v>
      </c>
      <c r="C321" s="1" t="n">
        <v>46199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45.8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23899-2023</t>
        </is>
      </c>
      <c r="B322" s="1" t="n">
        <v>45078</v>
      </c>
      <c r="C322" s="1" t="n">
        <v>46199</v>
      </c>
      <c r="D322" t="inlineStr">
        <is>
          <t>DALARNAS LÄN</t>
        </is>
      </c>
      <c r="E322" t="inlineStr">
        <is>
          <t>VANSBRO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11485-2024</t>
        </is>
      </c>
      <c r="B323" s="1" t="n">
        <v>45372</v>
      </c>
      <c r="C323" s="1" t="n">
        <v>46199</v>
      </c>
      <c r="D323" t="inlineStr">
        <is>
          <t>DALARNAS LÄN</t>
        </is>
      </c>
      <c r="E323" t="inlineStr">
        <is>
          <t>VANSBRO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36855-2022</t>
        </is>
      </c>
      <c r="B324" s="1" t="n">
        <v>44805</v>
      </c>
      <c r="C324" s="1" t="n">
        <v>46199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5648-2026</t>
        </is>
      </c>
      <c r="B325" s="1" t="n">
        <v>46051</v>
      </c>
      <c r="C325" s="1" t="n">
        <v>46199</v>
      </c>
      <c r="D325" t="inlineStr">
        <is>
          <t>DALARNAS LÄN</t>
        </is>
      </c>
      <c r="E325" t="inlineStr">
        <is>
          <t>VANSBRO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45608-2023</t>
        </is>
      </c>
      <c r="B326" s="1" t="n">
        <v>45194</v>
      </c>
      <c r="C326" s="1" t="n">
        <v>46199</v>
      </c>
      <c r="D326" t="inlineStr">
        <is>
          <t>DALARNAS LÄN</t>
        </is>
      </c>
      <c r="E326" t="inlineStr">
        <is>
          <t>VANSBRO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49819-2025</t>
        </is>
      </c>
      <c r="B327" s="1" t="n">
        <v>45940</v>
      </c>
      <c r="C327" s="1" t="n">
        <v>46199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13639-2022</t>
        </is>
      </c>
      <c r="B328" s="1" t="n">
        <v>44648</v>
      </c>
      <c r="C328" s="1" t="n">
        <v>46199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64071-2025</t>
        </is>
      </c>
      <c r="B329" s="1" t="n">
        <v>46021</v>
      </c>
      <c r="C329" s="1" t="n">
        <v>46199</v>
      </c>
      <c r="D329" t="inlineStr">
        <is>
          <t>DALARNAS LÄN</t>
        </is>
      </c>
      <c r="E329" t="inlineStr">
        <is>
          <t>VANSBRO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25958-2026</t>
        </is>
      </c>
      <c r="B330" s="1" t="n">
        <v>46181</v>
      </c>
      <c r="C330" s="1" t="n">
        <v>46199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921-2025</t>
        </is>
      </c>
      <c r="B331" s="1" t="n">
        <v>45665</v>
      </c>
      <c r="C331" s="1" t="n">
        <v>46199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18306-2025</t>
        </is>
      </c>
      <c r="B332" s="1" t="n">
        <v>45762</v>
      </c>
      <c r="C332" s="1" t="n">
        <v>46199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26689-2026</t>
        </is>
      </c>
      <c r="B333" s="1" t="n">
        <v>46184</v>
      </c>
      <c r="C333" s="1" t="n">
        <v>46199</v>
      </c>
      <c r="D333" t="inlineStr">
        <is>
          <t>DALARNAS LÄN</t>
        </is>
      </c>
      <c r="E333" t="inlineStr">
        <is>
          <t>VANSBRO</t>
        </is>
      </c>
      <c r="F333" t="inlineStr">
        <is>
          <t>Övriga statliga verk och myndigheter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56988-2023</t>
        </is>
      </c>
      <c r="B334" s="1" t="n">
        <v>45244</v>
      </c>
      <c r="C334" s="1" t="n">
        <v>46199</v>
      </c>
      <c r="D334" t="inlineStr">
        <is>
          <t>DALARNAS LÄN</t>
        </is>
      </c>
      <c r="E334" t="inlineStr">
        <is>
          <t>VANSBRO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35699-2023</t>
        </is>
      </c>
      <c r="B335" s="1" t="n">
        <v>45147</v>
      </c>
      <c r="C335" s="1" t="n">
        <v>46199</v>
      </c>
      <c r="D335" t="inlineStr">
        <is>
          <t>DALARNAS LÄN</t>
        </is>
      </c>
      <c r="E335" t="inlineStr">
        <is>
          <t>VANSBRO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6643-2025</t>
        </is>
      </c>
      <c r="B336" s="1" t="n">
        <v>45700</v>
      </c>
      <c r="C336" s="1" t="n">
        <v>46199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26542-2026</t>
        </is>
      </c>
      <c r="B337" s="1" t="n">
        <v>46183</v>
      </c>
      <c r="C337" s="1" t="n">
        <v>46199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10013-2024</t>
        </is>
      </c>
      <c r="B338" s="1" t="n">
        <v>45363</v>
      </c>
      <c r="C338" s="1" t="n">
        <v>46199</v>
      </c>
      <c r="D338" t="inlineStr">
        <is>
          <t>DALARNAS LÄN</t>
        </is>
      </c>
      <c r="E338" t="inlineStr">
        <is>
          <t>VANSBRO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24827-2022</t>
        </is>
      </c>
      <c r="B339" s="1" t="n">
        <v>44728</v>
      </c>
      <c r="C339" s="1" t="n">
        <v>46199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24839-2022</t>
        </is>
      </c>
      <c r="B340" s="1" t="n">
        <v>44728</v>
      </c>
      <c r="C340" s="1" t="n">
        <v>46199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28011-2025</t>
        </is>
      </c>
      <c r="B341" s="1" t="n">
        <v>45817</v>
      </c>
      <c r="C341" s="1" t="n">
        <v>46199</v>
      </c>
      <c r="D341" t="inlineStr">
        <is>
          <t>DALARNAS LÄN</t>
        </is>
      </c>
      <c r="E341" t="inlineStr">
        <is>
          <t>VANSBRO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43254-2023</t>
        </is>
      </c>
      <c r="B342" s="1" t="n">
        <v>45183</v>
      </c>
      <c r="C342" s="1" t="n">
        <v>46199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43258-2023</t>
        </is>
      </c>
      <c r="B343" s="1" t="n">
        <v>45183</v>
      </c>
      <c r="C343" s="1" t="n">
        <v>46199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20732-2026</t>
        </is>
      </c>
      <c r="B344" s="1" t="n">
        <v>46141</v>
      </c>
      <c r="C344" s="1" t="n">
        <v>46199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11007-2026</t>
        </is>
      </c>
      <c r="B345" s="1" t="n">
        <v>46079</v>
      </c>
      <c r="C345" s="1" t="n">
        <v>46199</v>
      </c>
      <c r="D345" t="inlineStr">
        <is>
          <t>DALARNAS LÄN</t>
        </is>
      </c>
      <c r="E345" t="inlineStr">
        <is>
          <t>VANSBRO</t>
        </is>
      </c>
      <c r="F345" t="inlineStr">
        <is>
          <t>Övriga statliga verk och myndigheter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27344-2026</t>
        </is>
      </c>
      <c r="B346" s="1" t="n">
        <v>46188</v>
      </c>
      <c r="C346" s="1" t="n">
        <v>46199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823-2025</t>
        </is>
      </c>
      <c r="B347" s="1" t="n">
        <v>45665</v>
      </c>
      <c r="C347" s="1" t="n">
        <v>46199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25496-2024</t>
        </is>
      </c>
      <c r="B348" s="1" t="n">
        <v>45463</v>
      </c>
      <c r="C348" s="1" t="n">
        <v>46199</v>
      </c>
      <c r="D348" t="inlineStr">
        <is>
          <t>DALARNAS LÄN</t>
        </is>
      </c>
      <c r="E348" t="inlineStr">
        <is>
          <t>VANSBRO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40290-2023</t>
        </is>
      </c>
      <c r="B349" s="1" t="n">
        <v>45169</v>
      </c>
      <c r="C349" s="1" t="n">
        <v>46199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27195-2026</t>
        </is>
      </c>
      <c r="B350" s="1" t="n">
        <v>46188</v>
      </c>
      <c r="C350" s="1" t="n">
        <v>46199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43658-2023</t>
        </is>
      </c>
      <c r="B351" s="1" t="n">
        <v>45187</v>
      </c>
      <c r="C351" s="1" t="n">
        <v>46199</v>
      </c>
      <c r="D351" t="inlineStr">
        <is>
          <t>DALARNAS LÄN</t>
        </is>
      </c>
      <c r="E351" t="inlineStr">
        <is>
          <t>VANSBRO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50741-2022</t>
        </is>
      </c>
      <c r="B352" s="1" t="n">
        <v>44867</v>
      </c>
      <c r="C352" s="1" t="n">
        <v>46199</v>
      </c>
      <c r="D352" t="inlineStr">
        <is>
          <t>DALARNAS LÄN</t>
        </is>
      </c>
      <c r="E352" t="inlineStr">
        <is>
          <t>VANSBRO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27334-2026</t>
        </is>
      </c>
      <c r="B353" s="1" t="n">
        <v>46188</v>
      </c>
      <c r="C353" s="1" t="n">
        <v>46199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15088-2025</t>
        </is>
      </c>
      <c r="B354" s="1" t="n">
        <v>45744</v>
      </c>
      <c r="C354" s="1" t="n">
        <v>46199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27631-2026</t>
        </is>
      </c>
      <c r="B355" s="1" t="n">
        <v>46190</v>
      </c>
      <c r="C355" s="1" t="n">
        <v>46199</v>
      </c>
      <c r="D355" t="inlineStr">
        <is>
          <t>DALARNAS LÄN</t>
        </is>
      </c>
      <c r="E355" t="inlineStr">
        <is>
          <t>VANSBRO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50125-2023</t>
        </is>
      </c>
      <c r="B356" s="1" t="n">
        <v>45215</v>
      </c>
      <c r="C356" s="1" t="n">
        <v>46199</v>
      </c>
      <c r="D356" t="inlineStr">
        <is>
          <t>DALARNAS LÄN</t>
        </is>
      </c>
      <c r="E356" t="inlineStr">
        <is>
          <t>VANSBRO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50141-2023</t>
        </is>
      </c>
      <c r="B357" s="1" t="n">
        <v>45215</v>
      </c>
      <c r="C357" s="1" t="n">
        <v>46199</v>
      </c>
      <c r="D357" t="inlineStr">
        <is>
          <t>DALARNAS LÄN</t>
        </is>
      </c>
      <c r="E357" t="inlineStr">
        <is>
          <t>VANSBRO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27629-2026</t>
        </is>
      </c>
      <c r="B358" s="1" t="n">
        <v>46190</v>
      </c>
      <c r="C358" s="1" t="n">
        <v>46199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16827-2025</t>
        </is>
      </c>
      <c r="B359" s="1" t="n">
        <v>45754</v>
      </c>
      <c r="C359" s="1" t="n">
        <v>46199</v>
      </c>
      <c r="D359" t="inlineStr">
        <is>
          <t>DALARNAS LÄN</t>
        </is>
      </c>
      <c r="E359" t="inlineStr">
        <is>
          <t>VANSBRO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59435-2023</t>
        </is>
      </c>
      <c r="B360" s="1" t="n">
        <v>45254</v>
      </c>
      <c r="C360" s="1" t="n">
        <v>46199</v>
      </c>
      <c r="D360" t="inlineStr">
        <is>
          <t>DALARNAS LÄN</t>
        </is>
      </c>
      <c r="E360" t="inlineStr">
        <is>
          <t>VANSBRO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3843-2024</t>
        </is>
      </c>
      <c r="B361" s="1" t="n">
        <v>45322</v>
      </c>
      <c r="C361" s="1" t="n">
        <v>46199</v>
      </c>
      <c r="D361" t="inlineStr">
        <is>
          <t>DALARNAS LÄN</t>
        </is>
      </c>
      <c r="E361" t="inlineStr">
        <is>
          <t>VANSBRO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59600-2023</t>
        </is>
      </c>
      <c r="B362" s="1" t="n">
        <v>45254</v>
      </c>
      <c r="C362" s="1" t="n">
        <v>46199</v>
      </c>
      <c r="D362" t="inlineStr">
        <is>
          <t>DALARNAS LÄN</t>
        </is>
      </c>
      <c r="E362" t="inlineStr">
        <is>
          <t>VANSBRO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27930-2026</t>
        </is>
      </c>
      <c r="B363" s="1" t="n">
        <v>46191</v>
      </c>
      <c r="C363" s="1" t="n">
        <v>46199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555-2023</t>
        </is>
      </c>
      <c r="B364" s="1" t="n">
        <v>44930</v>
      </c>
      <c r="C364" s="1" t="n">
        <v>46199</v>
      </c>
      <c r="D364" t="inlineStr">
        <is>
          <t>DALARNAS LÄN</t>
        </is>
      </c>
      <c r="E364" t="inlineStr">
        <is>
          <t>VANSBRO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27117-2026</t>
        </is>
      </c>
      <c r="B365" s="1" t="n">
        <v>46188</v>
      </c>
      <c r="C365" s="1" t="n">
        <v>46199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26669-2026</t>
        </is>
      </c>
      <c r="B366" s="1" t="n">
        <v>46184</v>
      </c>
      <c r="C366" s="1" t="n">
        <v>46199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27937-2026</t>
        </is>
      </c>
      <c r="B367" s="1" t="n">
        <v>46191</v>
      </c>
      <c r="C367" s="1" t="n">
        <v>46199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21744-2026</t>
        </is>
      </c>
      <c r="B368" s="1" t="n">
        <v>46149</v>
      </c>
      <c r="C368" s="1" t="n">
        <v>46199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55078-2022</t>
        </is>
      </c>
      <c r="B369" s="1" t="n">
        <v>44886</v>
      </c>
      <c r="C369" s="1" t="n">
        <v>46199</v>
      </c>
      <c r="D369" t="inlineStr">
        <is>
          <t>DALARNAS LÄN</t>
        </is>
      </c>
      <c r="E369" t="inlineStr">
        <is>
          <t>VANSBRO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27932-2026</t>
        </is>
      </c>
      <c r="B370" s="1" t="n">
        <v>46191</v>
      </c>
      <c r="C370" s="1" t="n">
        <v>46199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7864-2024</t>
        </is>
      </c>
      <c r="B371" s="1" t="n">
        <v>45350</v>
      </c>
      <c r="C371" s="1" t="n">
        <v>46199</v>
      </c>
      <c r="D371" t="inlineStr">
        <is>
          <t>DALARNAS LÄN</t>
        </is>
      </c>
      <c r="E371" t="inlineStr">
        <is>
          <t>VANSBRO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22379-2026</t>
        </is>
      </c>
      <c r="B372" s="1" t="n">
        <v>46154</v>
      </c>
      <c r="C372" s="1" t="n">
        <v>46199</v>
      </c>
      <c r="D372" t="inlineStr">
        <is>
          <t>DALARNAS LÄN</t>
        </is>
      </c>
      <c r="E372" t="inlineStr">
        <is>
          <t>VANSBRO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22384-2026</t>
        </is>
      </c>
      <c r="B373" s="1" t="n">
        <v>46154</v>
      </c>
      <c r="C373" s="1" t="n">
        <v>46199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28069-2026</t>
        </is>
      </c>
      <c r="B374" s="1" t="n">
        <v>46195</v>
      </c>
      <c r="C374" s="1" t="n">
        <v>46199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20419-2025</t>
        </is>
      </c>
      <c r="B375" s="1" t="n">
        <v>45775</v>
      </c>
      <c r="C375" s="1" t="n">
        <v>46199</v>
      </c>
      <c r="D375" t="inlineStr">
        <is>
          <t>DALARNAS LÄN</t>
        </is>
      </c>
      <c r="E375" t="inlineStr">
        <is>
          <t>VANSBRO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61717-2023</t>
        </is>
      </c>
      <c r="B376" s="1" t="n">
        <v>45265</v>
      </c>
      <c r="C376" s="1" t="n">
        <v>46199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2938-2024</t>
        </is>
      </c>
      <c r="B377" s="1" t="n">
        <v>45315</v>
      </c>
      <c r="C377" s="1" t="n">
        <v>46199</v>
      </c>
      <c r="D377" t="inlineStr">
        <is>
          <t>DALARNAS LÄN</t>
        </is>
      </c>
      <c r="E377" t="inlineStr">
        <is>
          <t>VANSBRO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39484-2025</t>
        </is>
      </c>
      <c r="B378" s="1" t="n">
        <v>45890</v>
      </c>
      <c r="C378" s="1" t="n">
        <v>46199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28480-2026</t>
        </is>
      </c>
      <c r="B379" s="1" t="n">
        <v>46197</v>
      </c>
      <c r="C379" s="1" t="n">
        <v>46199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27242-2026</t>
        </is>
      </c>
      <c r="B380" s="1" t="n">
        <v>46188</v>
      </c>
      <c r="C380" s="1" t="n">
        <v>46199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11408-2025</t>
        </is>
      </c>
      <c r="B381" s="1" t="n">
        <v>45726</v>
      </c>
      <c r="C381" s="1" t="n">
        <v>46199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33837-2024</t>
        </is>
      </c>
      <c r="B382" s="1" t="n">
        <v>45520</v>
      </c>
      <c r="C382" s="1" t="n">
        <v>46199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28466-2026</t>
        </is>
      </c>
      <c r="B383" s="1" t="n">
        <v>46197</v>
      </c>
      <c r="C383" s="1" t="n">
        <v>46199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35537-2024</t>
        </is>
      </c>
      <c r="B384" s="1" t="n">
        <v>45531</v>
      </c>
      <c r="C384" s="1" t="n">
        <v>46199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61515-2022</t>
        </is>
      </c>
      <c r="B385" s="1" t="n">
        <v>44916</v>
      </c>
      <c r="C385" s="1" t="n">
        <v>46199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46199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5581-2023</t>
        </is>
      </c>
      <c r="B387" s="1" t="n">
        <v>44960</v>
      </c>
      <c r="C387" s="1" t="n">
        <v>46199</v>
      </c>
      <c r="D387" t="inlineStr">
        <is>
          <t>DALARNAS LÄN</t>
        </is>
      </c>
      <c r="E387" t="inlineStr">
        <is>
          <t>VANSBRO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41371-2022</t>
        </is>
      </c>
      <c r="B388" s="1" t="n">
        <v>44826</v>
      </c>
      <c r="C388" s="1" t="n">
        <v>46199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7142-2023</t>
        </is>
      </c>
      <c r="B389" s="1" t="n">
        <v>44970</v>
      </c>
      <c r="C389" s="1" t="n">
        <v>46199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17807-2022</t>
        </is>
      </c>
      <c r="B390" s="1" t="n">
        <v>44673</v>
      </c>
      <c r="C390" s="1" t="n">
        <v>46199</v>
      </c>
      <c r="D390" t="inlineStr">
        <is>
          <t>DALARNAS LÄN</t>
        </is>
      </c>
      <c r="E390" t="inlineStr">
        <is>
          <t>VANSBRO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54159-2022</t>
        </is>
      </c>
      <c r="B391" s="1" t="n">
        <v>44881</v>
      </c>
      <c r="C391" s="1" t="n">
        <v>46199</v>
      </c>
      <c r="D391" t="inlineStr">
        <is>
          <t>DALARNAS LÄN</t>
        </is>
      </c>
      <c r="E391" t="inlineStr">
        <is>
          <t>VANSBRO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22756-2024</t>
        </is>
      </c>
      <c r="B392" s="1" t="n">
        <v>45448</v>
      </c>
      <c r="C392" s="1" t="n">
        <v>46199</v>
      </c>
      <c r="D392" t="inlineStr">
        <is>
          <t>DALARNAS LÄN</t>
        </is>
      </c>
      <c r="E392" t="inlineStr">
        <is>
          <t>VANSBRO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625-2023</t>
        </is>
      </c>
      <c r="B393" s="1" t="n">
        <v>44930</v>
      </c>
      <c r="C393" s="1" t="n">
        <v>46199</v>
      </c>
      <c r="D393" t="inlineStr">
        <is>
          <t>DALARNAS LÄN</t>
        </is>
      </c>
      <c r="E393" t="inlineStr">
        <is>
          <t>VANSBRO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30342-2023</t>
        </is>
      </c>
      <c r="B394" s="1" t="n">
        <v>45111</v>
      </c>
      <c r="C394" s="1" t="n">
        <v>46199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49509-2024</t>
        </is>
      </c>
      <c r="B395" s="1" t="n">
        <v>45596</v>
      </c>
      <c r="C395" s="1" t="n">
        <v>46199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55942-2023</t>
        </is>
      </c>
      <c r="B396" s="1" t="n">
        <v>45240</v>
      </c>
      <c r="C396" s="1" t="n">
        <v>46199</v>
      </c>
      <c r="D396" t="inlineStr">
        <is>
          <t>DALARNAS LÄN</t>
        </is>
      </c>
      <c r="E396" t="inlineStr">
        <is>
          <t>VANSBRO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56129-2023</t>
        </is>
      </c>
      <c r="B397" s="1" t="n">
        <v>45240</v>
      </c>
      <c r="C397" s="1" t="n">
        <v>46199</v>
      </c>
      <c r="D397" t="inlineStr">
        <is>
          <t>DALARNAS LÄN</t>
        </is>
      </c>
      <c r="E397" t="inlineStr">
        <is>
          <t>VANSBRO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48005-2022</t>
        </is>
      </c>
      <c r="B398" s="1" t="n">
        <v>44855</v>
      </c>
      <c r="C398" s="1" t="n">
        <v>46199</v>
      </c>
      <c r="D398" t="inlineStr">
        <is>
          <t>DALARNAS LÄN</t>
        </is>
      </c>
      <c r="E398" t="inlineStr">
        <is>
          <t>VANSBRO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34882-2022</t>
        </is>
      </c>
      <c r="B399" s="1" t="n">
        <v>44796</v>
      </c>
      <c r="C399" s="1" t="n">
        <v>46199</v>
      </c>
      <c r="D399" t="inlineStr">
        <is>
          <t>DALARNAS LÄN</t>
        </is>
      </c>
      <c r="E399" t="inlineStr">
        <is>
          <t>VANSBRO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49921-2023</t>
        </is>
      </c>
      <c r="B400" s="1" t="n">
        <v>45214</v>
      </c>
      <c r="C400" s="1" t="n">
        <v>46199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27089-2024</t>
        </is>
      </c>
      <c r="B401" s="1" t="n">
        <v>45471</v>
      </c>
      <c r="C401" s="1" t="n">
        <v>46199</v>
      </c>
      <c r="D401" t="inlineStr">
        <is>
          <t>DALARNAS LÄN</t>
        </is>
      </c>
      <c r="E401" t="inlineStr">
        <is>
          <t>VANSBRO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45356-2024</t>
        </is>
      </c>
      <c r="B402" s="1" t="n">
        <v>45576</v>
      </c>
      <c r="C402" s="1" t="n">
        <v>46199</v>
      </c>
      <c r="D402" t="inlineStr">
        <is>
          <t>DALARNAS LÄN</t>
        </is>
      </c>
      <c r="E402" t="inlineStr">
        <is>
          <t>VANSBRO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4955-2025</t>
        </is>
      </c>
      <c r="B403" s="1" t="n">
        <v>45689</v>
      </c>
      <c r="C403" s="1" t="n">
        <v>46199</v>
      </c>
      <c r="D403" t="inlineStr">
        <is>
          <t>DALARNAS LÄN</t>
        </is>
      </c>
      <c r="E403" t="inlineStr">
        <is>
          <t>VANSBRO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9296-2023</t>
        </is>
      </c>
      <c r="B404" s="1" t="n">
        <v>44980</v>
      </c>
      <c r="C404" s="1" t="n">
        <v>46199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21418-2023</t>
        </is>
      </c>
      <c r="B405" s="1" t="n">
        <v>45063</v>
      </c>
      <c r="C405" s="1" t="n">
        <v>46199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55570-2023</t>
        </is>
      </c>
      <c r="B406" s="1" t="n">
        <v>45238</v>
      </c>
      <c r="C406" s="1" t="n">
        <v>46199</v>
      </c>
      <c r="D406" t="inlineStr">
        <is>
          <t>DALARNAS LÄN</t>
        </is>
      </c>
      <c r="E406" t="inlineStr">
        <is>
          <t>VANSBRO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757-2023</t>
        </is>
      </c>
      <c r="B407" s="1" t="n">
        <v>44931</v>
      </c>
      <c r="C407" s="1" t="n">
        <v>46199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53498-2024</t>
        </is>
      </c>
      <c r="B408" s="1" t="n">
        <v>45614</v>
      </c>
      <c r="C408" s="1" t="n">
        <v>46199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48111-2024</t>
        </is>
      </c>
      <c r="B409" s="1" t="n">
        <v>45589</v>
      </c>
      <c r="C409" s="1" t="n">
        <v>46199</v>
      </c>
      <c r="D409" t="inlineStr">
        <is>
          <t>DALARNAS LÄN</t>
        </is>
      </c>
      <c r="E409" t="inlineStr">
        <is>
          <t>VANSBRO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9298-2023</t>
        </is>
      </c>
      <c r="B410" s="1" t="n">
        <v>44980</v>
      </c>
      <c r="C410" s="1" t="n">
        <v>46199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34738-2023</t>
        </is>
      </c>
      <c r="B411" s="1" t="n">
        <v>45141</v>
      </c>
      <c r="C411" s="1" t="n">
        <v>46199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40382-2023</t>
        </is>
      </c>
      <c r="B412" s="1" t="n">
        <v>45169</v>
      </c>
      <c r="C412" s="1" t="n">
        <v>46199</v>
      </c>
      <c r="D412" t="inlineStr">
        <is>
          <t>DALARNAS LÄN</t>
        </is>
      </c>
      <c r="E412" t="inlineStr">
        <is>
          <t>VANSBRO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40383-2023</t>
        </is>
      </c>
      <c r="B413" s="1" t="n">
        <v>45169</v>
      </c>
      <c r="C413" s="1" t="n">
        <v>46199</v>
      </c>
      <c r="D413" t="inlineStr">
        <is>
          <t>DALARNAS LÄN</t>
        </is>
      </c>
      <c r="E413" t="inlineStr">
        <is>
          <t>VANSBRO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34277-2022</t>
        </is>
      </c>
      <c r="B414" s="1" t="n">
        <v>44791</v>
      </c>
      <c r="C414" s="1" t="n">
        <v>46199</v>
      </c>
      <c r="D414" t="inlineStr">
        <is>
          <t>DALARNAS LÄN</t>
        </is>
      </c>
      <c r="E414" t="inlineStr">
        <is>
          <t>VANSBRO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380-2024</t>
        </is>
      </c>
      <c r="B415" s="1" t="n">
        <v>45296</v>
      </c>
      <c r="C415" s="1" t="n">
        <v>46199</v>
      </c>
      <c r="D415" t="inlineStr">
        <is>
          <t>DALARNAS LÄN</t>
        </is>
      </c>
      <c r="E415" t="inlineStr">
        <is>
          <t>VANSBRO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8447-2022</t>
        </is>
      </c>
      <c r="B416" s="1" t="n">
        <v>44612</v>
      </c>
      <c r="C416" s="1" t="n">
        <v>46199</v>
      </c>
      <c r="D416" t="inlineStr">
        <is>
          <t>DALARNAS LÄN</t>
        </is>
      </c>
      <c r="E416" t="inlineStr">
        <is>
          <t>VANSBRO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57735-2024</t>
        </is>
      </c>
      <c r="B417" s="1" t="n">
        <v>45630</v>
      </c>
      <c r="C417" s="1" t="n">
        <v>46199</v>
      </c>
      <c r="D417" t="inlineStr">
        <is>
          <t>DALARNAS LÄN</t>
        </is>
      </c>
      <c r="E417" t="inlineStr">
        <is>
          <t>VANSBRO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57737-2024</t>
        </is>
      </c>
      <c r="B418" s="1" t="n">
        <v>45630</v>
      </c>
      <c r="C418" s="1" t="n">
        <v>46199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35365-2022</t>
        </is>
      </c>
      <c r="B419" s="1" t="n">
        <v>44798</v>
      </c>
      <c r="C419" s="1" t="n">
        <v>46199</v>
      </c>
      <c r="D419" t="inlineStr">
        <is>
          <t>DALARNAS LÄN</t>
        </is>
      </c>
      <c r="E419" t="inlineStr">
        <is>
          <t>VANSBRO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10886-2025</t>
        </is>
      </c>
      <c r="B420" s="1" t="n">
        <v>45722</v>
      </c>
      <c r="C420" s="1" t="n">
        <v>46199</v>
      </c>
      <c r="D420" t="inlineStr">
        <is>
          <t>DALARNAS LÄN</t>
        </is>
      </c>
      <c r="E420" t="inlineStr">
        <is>
          <t>VANSBRO</t>
        </is>
      </c>
      <c r="G420" t="n">
        <v>15.5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33520-2024</t>
        </is>
      </c>
      <c r="B421" s="1" t="n">
        <v>45519</v>
      </c>
      <c r="C421" s="1" t="n">
        <v>46199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62398-2021</t>
        </is>
      </c>
      <c r="B422" s="1" t="n">
        <v>44503</v>
      </c>
      <c r="C422" s="1" t="n">
        <v>46199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22.1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23432-2024</t>
        </is>
      </c>
      <c r="B423" s="1" t="n">
        <v>45453</v>
      </c>
      <c r="C423" s="1" t="n">
        <v>46199</v>
      </c>
      <c r="D423" t="inlineStr">
        <is>
          <t>DALARNAS LÄN</t>
        </is>
      </c>
      <c r="E423" t="inlineStr">
        <is>
          <t>VANSBRO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1050-2025</t>
        </is>
      </c>
      <c r="B424" s="1" t="n">
        <v>45666</v>
      </c>
      <c r="C424" s="1" t="n">
        <v>46199</v>
      </c>
      <c r="D424" t="inlineStr">
        <is>
          <t>DALARNAS LÄN</t>
        </is>
      </c>
      <c r="E424" t="inlineStr">
        <is>
          <t>VANSBRO</t>
        </is>
      </c>
      <c r="F424" t="inlineStr">
        <is>
          <t>Övriga statliga verk och myndigheter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16823-2025</t>
        </is>
      </c>
      <c r="B425" s="1" t="n">
        <v>45754</v>
      </c>
      <c r="C425" s="1" t="n">
        <v>46199</v>
      </c>
      <c r="D425" t="inlineStr">
        <is>
          <t>DALARNAS LÄN</t>
        </is>
      </c>
      <c r="E425" t="inlineStr">
        <is>
          <t>VANSBRO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8793-2025</t>
        </is>
      </c>
      <c r="B426" s="1" t="n">
        <v>45712</v>
      </c>
      <c r="C426" s="1" t="n">
        <v>46199</v>
      </c>
      <c r="D426" t="inlineStr">
        <is>
          <t>DALARNAS LÄN</t>
        </is>
      </c>
      <c r="E426" t="inlineStr">
        <is>
          <t>VANSBRO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60036-2023</t>
        </is>
      </c>
      <c r="B427" s="1" t="n">
        <v>45258</v>
      </c>
      <c r="C427" s="1" t="n">
        <v>46199</v>
      </c>
      <c r="D427" t="inlineStr">
        <is>
          <t>DALARNAS LÄN</t>
        </is>
      </c>
      <c r="E427" t="inlineStr">
        <is>
          <t>VANSBRO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2086-2024</t>
        </is>
      </c>
      <c r="B428" s="1" t="n">
        <v>45309</v>
      </c>
      <c r="C428" s="1" t="n">
        <v>46199</v>
      </c>
      <c r="D428" t="inlineStr">
        <is>
          <t>DALARNAS LÄN</t>
        </is>
      </c>
      <c r="E428" t="inlineStr">
        <is>
          <t>VANSBRO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18882-2025</t>
        </is>
      </c>
      <c r="B429" s="1" t="n">
        <v>45764</v>
      </c>
      <c r="C429" s="1" t="n">
        <v>46199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47824-2023</t>
        </is>
      </c>
      <c r="B430" s="1" t="n">
        <v>45204</v>
      </c>
      <c r="C430" s="1" t="n">
        <v>46199</v>
      </c>
      <c r="D430" t="inlineStr">
        <is>
          <t>DALARNAS LÄN</t>
        </is>
      </c>
      <c r="E430" t="inlineStr">
        <is>
          <t>VANSBRO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42824-2023</t>
        </is>
      </c>
      <c r="B431" s="1" t="n">
        <v>45182</v>
      </c>
      <c r="C431" s="1" t="n">
        <v>46199</v>
      </c>
      <c r="D431" t="inlineStr">
        <is>
          <t>DALARNAS LÄN</t>
        </is>
      </c>
      <c r="E431" t="inlineStr">
        <is>
          <t>VANSBRO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56986-2023</t>
        </is>
      </c>
      <c r="B432" s="1" t="n">
        <v>45244</v>
      </c>
      <c r="C432" s="1" t="n">
        <v>46199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42207-2021</t>
        </is>
      </c>
      <c r="B433" s="1" t="n">
        <v>44426</v>
      </c>
      <c r="C433" s="1" t="n">
        <v>46199</v>
      </c>
      <c r="D433" t="inlineStr">
        <is>
          <t>DALARNAS LÄN</t>
        </is>
      </c>
      <c r="E433" t="inlineStr">
        <is>
          <t>VANSBRO</t>
        </is>
      </c>
      <c r="G433" t="n">
        <v>25.5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29288-2024</t>
        </is>
      </c>
      <c r="B434" s="1" t="n">
        <v>45483</v>
      </c>
      <c r="C434" s="1" t="n">
        <v>46199</v>
      </c>
      <c r="D434" t="inlineStr">
        <is>
          <t>DALARNAS LÄN</t>
        </is>
      </c>
      <c r="E434" t="inlineStr">
        <is>
          <t>VANSBRO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21616-2025</t>
        </is>
      </c>
      <c r="B435" s="1" t="n">
        <v>45783</v>
      </c>
      <c r="C435" s="1" t="n">
        <v>46199</v>
      </c>
      <c r="D435" t="inlineStr">
        <is>
          <t>DALARNAS LÄN</t>
        </is>
      </c>
      <c r="E435" t="inlineStr">
        <is>
          <t>VANSBRO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2558-2025</t>
        </is>
      </c>
      <c r="B436" s="1" t="n">
        <v>45674</v>
      </c>
      <c r="C436" s="1" t="n">
        <v>46199</v>
      </c>
      <c r="D436" t="inlineStr">
        <is>
          <t>DALARNAS LÄN</t>
        </is>
      </c>
      <c r="E436" t="inlineStr">
        <is>
          <t>VANSBRO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21656-2025</t>
        </is>
      </c>
      <c r="B437" s="1" t="n">
        <v>45783</v>
      </c>
      <c r="C437" s="1" t="n">
        <v>46199</v>
      </c>
      <c r="D437" t="inlineStr">
        <is>
          <t>DALARNAS LÄN</t>
        </is>
      </c>
      <c r="E437" t="inlineStr">
        <is>
          <t>VANSBRO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2026-06-26T00:52:30Z</dcterms:created>
  <dcterms:modified xmlns:dcterms="http://purl.org/dc/terms/" xmlns:xsi="http://www.w3.org/2001/XMLSchema-instance" xsi:type="dcterms:W3CDTF">2026-06-26T00:52:30Z</dcterms:modified>
</cp:coreProperties>
</file>