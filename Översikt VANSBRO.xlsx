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46314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46314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46314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46314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46314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41917-2026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46303</v>
      </c>
      <c r="E7" s="1" t="n">
        <v>46314</v>
      </c>
      <c r="F7" t="inlineStr">
        <is>
          <t>DALARNAS LÄN</t>
        </is>
      </c>
      <c r="G7" t="inlineStr">
        <is>
          <t>VANSBRO</t>
        </is>
      </c>
      <c r="I7" t="n">
        <v>7.5</v>
      </c>
      <c r="J7" t="n">
        <v>6</v>
      </c>
      <c r="K7" t="n">
        <v>3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23</v>
      </c>
      <c r="U7" t="n">
        <v>23</v>
      </c>
      <c r="V7" s="2" t="inlineStr">
        <is>
          <t>Garnlav
Rynkskinn
Tallticka
Talltita
Tretåig hackspett
Ullticka
Bollvitmossa
Mindre märgborre
Plattlummer
Mattlummer
Spillkråka
Revlummer</t>
        </is>
      </c>
      <c r="W7">
        <f>HYPERLINK("https://klasma.github.io/Logging_2021/artfynd/A 41917-2026 artfynd.xlsx", "A 41917-2026")</f>
        <v/>
      </c>
      <c r="X7">
        <f>HYPERLINK("https://klasma.github.io/Logging_2021/kartor/A 41917-2026 karta.png", "A 41917-2026")</f>
        <v/>
      </c>
      <c r="Y7">
        <f>HYPERLINK("https://klasma.github.io/Logging_2021/kartor_geotiff/A 41917-2026 georefererad karta.tif", "A 41917-2026")</f>
        <v/>
      </c>
      <c r="AA7">
        <f>HYPERLINK("https://klasma.github.io/Logging_2021/klagomål/A 41917-2026 FSC-klagomål.docx", "A 41917-2026")</f>
        <v/>
      </c>
      <c r="AB7">
        <f>HYPERLINK("https://klasma.github.io/Logging_2021/klagomålsmail/A 41917-2026 FSC-klagomål mail.docx", "A 41917-2026")</f>
        <v/>
      </c>
      <c r="AC7">
        <f>HYPERLINK("https://klasma.github.io/Logging_2021/tillsyn/A 41917-2026 tillsynsbegäran.docx", "A 41917-2026")</f>
        <v/>
      </c>
      <c r="AD7">
        <f>HYPERLINK("https://klasma.github.io/Logging_2021/tillsynsmail/A 41917-2026 tillsynsbegäran mail.docx", "A 41917-2026")</f>
        <v/>
      </c>
      <c r="AE7">
        <f>HYPERLINK("https://klasma.github.io/Logging_2021/fåglar/A 41917-2026 prioriterade fågelarter.docx", "A 41917-2026")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46314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46314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46314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46314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46314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46314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46314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46314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46314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46314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46314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22</v>
      </c>
      <c r="U18" t="n">
        <v>22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46314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33005-2025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46314</v>
      </c>
      <c r="F20" t="inlineStr">
        <is>
          <t>DALARNAS LÄN</t>
        </is>
      </c>
      <c r="G20" t="inlineStr">
        <is>
          <t>VANSBRO</t>
        </is>
      </c>
      <c r="I20" t="n">
        <v>5.5</v>
      </c>
      <c r="J20" t="n">
        <v>2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17</v>
      </c>
      <c r="U20" t="n">
        <v>17</v>
      </c>
      <c r="V20" s="2" t="inlineStr">
        <is>
          <t>Knärot
Kolflarnlav
Mörk kolflarnlav
Tretåig hackspett
Mindre märgborre</t>
        </is>
      </c>
      <c r="W20">
        <f>HYPERLINK("https://klasma.github.io/Logging_2021/artfynd/A 33005-2025 artfynd.xlsx", "A 33005-2025")</f>
        <v/>
      </c>
      <c r="X20">
        <f>HYPERLINK("https://klasma.github.io/Logging_2021/kartor/A 33005-2025 karta.png", "A 33005-2025")</f>
        <v/>
      </c>
      <c r="Y20">
        <f>HYPERLINK("https://klasma.github.io/Logging_2021/kartor_geotiff/A 33005-2025 georefererad karta.tif", "A 33005-2025")</f>
        <v/>
      </c>
      <c r="Z20">
        <f>HYPERLINK("https://klasma.github.io/Logging_2021/knärot/A 33005-2025 karta knärot.png", "A 33005-2025")</f>
        <v/>
      </c>
      <c r="AA20">
        <f>HYPERLINK("https://klasma.github.io/Logging_2021/klagomål/A 33005-2025 FSC-klagomål.docx", "A 33005-2025")</f>
        <v/>
      </c>
      <c r="AB20">
        <f>HYPERLINK("https://klasma.github.io/Logging_2021/klagomålsmail/A 33005-2025 FSC-klagomål mail.docx", "A 33005-2025")</f>
        <v/>
      </c>
      <c r="AC20">
        <f>HYPERLINK("https://klasma.github.io/Logging_2021/tillsyn/A 33005-2025 tillsynsbegäran.docx", "A 33005-2025")</f>
        <v/>
      </c>
      <c r="AD20">
        <f>HYPERLINK("https://klasma.github.io/Logging_2021/tillsynsmail/A 33005-2025 tillsynsbegäran mail.docx", "A 33005-2025")</f>
        <v/>
      </c>
      <c r="AE20">
        <f>HYPERLINK("https://klasma.github.io/Logging_2021/fåglar/A 33005-2025 prioriterade fågelarter.docx", "A 33005-2025")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46314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46314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46314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46314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46314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46314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46314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46314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46314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46314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41377-2026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46301</v>
      </c>
      <c r="E31" s="1" t="n">
        <v>46314</v>
      </c>
      <c r="F31" t="inlineStr">
        <is>
          <t>DALARNAS LÄN</t>
        </is>
      </c>
      <c r="G31" t="inlineStr">
        <is>
          <t>VANSBRO</t>
        </is>
      </c>
      <c r="I31" t="n">
        <v>0.6</v>
      </c>
      <c r="J31" t="n">
        <v>1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3</v>
      </c>
      <c r="T31" t="n">
        <v>4</v>
      </c>
      <c r="U31" t="n">
        <v>0</v>
      </c>
      <c r="V31" s="2" t="inlineStr">
        <is>
          <t>Garnlav
Knärot
Ullticka</t>
        </is>
      </c>
      <c r="W31">
        <f>HYPERLINK("https://klasma.github.io/Logging_2021/artfynd/A 41377-2026 artfynd.xlsx", "A 41377-2026")</f>
        <v/>
      </c>
      <c r="X31">
        <f>HYPERLINK("https://klasma.github.io/Logging_2021/kartor/A 41377-2026 karta.png", "A 41377-2026")</f>
        <v/>
      </c>
      <c r="Y31">
        <f>HYPERLINK("https://klasma.github.io/Logging_2021/kartor_geotiff/A 41377-2026 georefererad karta.tif", "A 41377-2026")</f>
        <v/>
      </c>
      <c r="Z31">
        <f>HYPERLINK("https://klasma.github.io/Logging_2021/knärot/A 41377-2026 karta knärot.png", "A 41377-2026")</f>
        <v/>
      </c>
      <c r="AA31">
        <f>HYPERLINK("https://klasma.github.io/Logging_2021/klagomål/A 41377-2026 FSC-klagomål.docx", "A 41377-2026")</f>
        <v/>
      </c>
      <c r="AB31">
        <f>HYPERLINK("https://klasma.github.io/Logging_2021/klagomålsmail/A 41377-2026 FSC-klagomål mail.docx", "A 41377-2026")</f>
        <v/>
      </c>
      <c r="AC31">
        <f>HYPERLINK("https://klasma.github.io/Logging_2021/tillsyn/A 41377-2026 tillsynsbegäran.docx", "A 41377-2026")</f>
        <v/>
      </c>
      <c r="AD31">
        <f>HYPERLINK("https://klasma.github.io/Logging_2021/tillsynsmail/A 41377-2026 tillsynsbegäran mail.docx", "A 41377-2026")</f>
        <v/>
      </c>
    </row>
    <row r="32" ht="15" customHeight="1">
      <c r="A32" t="inlineStr">
        <is>
          <t>A 41690-2026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46314</v>
      </c>
      <c r="F32" t="inlineStr">
        <is>
          <t>DALARNAS LÄN</t>
        </is>
      </c>
      <c r="G32" t="inlineStr">
        <is>
          <t>VANSBRO</t>
        </is>
      </c>
      <c r="I32" t="n">
        <v>2.4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Drillsnäppa
Ullticka
Älg</t>
        </is>
      </c>
      <c r="W32">
        <f>HYPERLINK("https://klasma.github.io/Logging_2021/artfynd/A 41690-2026 artfynd.xlsx", "A 41690-2026")</f>
        <v/>
      </c>
      <c r="X32">
        <f>HYPERLINK("https://klasma.github.io/Logging_2021/kartor/A 41690-2026 karta.png", "A 41690-2026")</f>
        <v/>
      </c>
      <c r="Y32">
        <f>HYPERLINK("https://klasma.github.io/Logging_2021/kartor_geotiff/A 41690-2026 georefererad karta.tif", "A 41690-2026")</f>
        <v/>
      </c>
      <c r="AA32">
        <f>HYPERLINK("https://klasma.github.io/Logging_2021/klagomål/A 41690-2026 FSC-klagomål.docx", "A 41690-2026")</f>
        <v/>
      </c>
      <c r="AB32">
        <f>HYPERLINK("https://klasma.github.io/Logging_2021/klagomålsmail/A 41690-2026 FSC-klagomål mail.docx", "A 41690-2026")</f>
        <v/>
      </c>
      <c r="AC32">
        <f>HYPERLINK("https://klasma.github.io/Logging_2021/tillsyn/A 41690-2026 tillsynsbegäran.docx", "A 41690-2026")</f>
        <v/>
      </c>
      <c r="AD32">
        <f>HYPERLINK("https://klasma.github.io/Logging_2021/tillsynsmail/A 41690-2026 tillsynsbegäran mail.docx", "A 41690-2026")</f>
        <v/>
      </c>
      <c r="AE32">
        <f>HYPERLINK("https://klasma.github.io/Logging_2021/fåglar/A 41690-2026 prioriterade fågelarter.docx", "A 41690-2026")</f>
        <v/>
      </c>
    </row>
    <row r="33" ht="15" customHeight="1">
      <c r="A33" t="inlineStr">
        <is>
          <t>A 33000-2025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46314</v>
      </c>
      <c r="F33" t="inlineStr">
        <is>
          <t>DALARNAS LÄN</t>
        </is>
      </c>
      <c r="G33" t="inlineStr">
        <is>
          <t>VANSBRO</t>
        </is>
      </c>
      <c r="I33" t="n">
        <v>0.7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8</v>
      </c>
      <c r="U33" t="n">
        <v>8</v>
      </c>
      <c r="V33" s="2" t="inlineStr">
        <is>
          <t>Kolflarnlav
Mörk kolflarnlav
Tjäder</t>
        </is>
      </c>
      <c r="W33">
        <f>HYPERLINK("https://klasma.github.io/Logging_2021/artfynd/A 33000-2025 artfynd.xlsx", "A 33000-2025")</f>
        <v/>
      </c>
      <c r="X33">
        <f>HYPERLINK("https://klasma.github.io/Logging_2021/kartor/A 33000-2025 karta.png", "A 33000-2025")</f>
        <v/>
      </c>
      <c r="Y33">
        <f>HYPERLINK("https://klasma.github.io/Logging_2021/kartor_geotiff/A 33000-2025 georefererad karta.tif", "A 33000-2025")</f>
        <v/>
      </c>
      <c r="AA33">
        <f>HYPERLINK("https://klasma.github.io/Logging_2021/klagomål/A 33000-2025 FSC-klagomål.docx", "A 33000-2025")</f>
        <v/>
      </c>
      <c r="AB33">
        <f>HYPERLINK("https://klasma.github.io/Logging_2021/klagomålsmail/A 33000-2025 FSC-klagomål mail.docx", "A 33000-2025")</f>
        <v/>
      </c>
      <c r="AC33">
        <f>HYPERLINK("https://klasma.github.io/Logging_2021/tillsyn/A 33000-2025 tillsynsbegäran.docx", "A 33000-2025")</f>
        <v/>
      </c>
      <c r="AD33">
        <f>HYPERLINK("https://klasma.github.io/Logging_2021/tillsynsmail/A 33000-2025 tillsynsbegäran mail.docx", "A 33000-2025")</f>
        <v/>
      </c>
      <c r="AE33">
        <f>HYPERLINK("https://klasma.github.io/Logging_2021/fåglar/A 33000-2025 prioriterade fågelarter.docx", "A 33000-2025")</f>
        <v/>
      </c>
    </row>
    <row r="34" ht="15" customHeight="1">
      <c r="A34" t="inlineStr">
        <is>
          <t>A 33898-2022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46314</v>
      </c>
      <c r="F34" t="inlineStr">
        <is>
          <t>DALARNAS LÄN</t>
        </is>
      </c>
      <c r="G34" t="inlineStr">
        <is>
          <t>VANSBRO</t>
        </is>
      </c>
      <c r="I34" t="n">
        <v>2.8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Kungsfågel</t>
        </is>
      </c>
      <c r="W34">
        <f>HYPERLINK("https://klasma.github.io/Logging_2021/artfynd/A 33898-2022 artfynd.xlsx", "A 33898-2022")</f>
        <v/>
      </c>
      <c r="X34">
        <f>HYPERLINK("https://klasma.github.io/Logging_2021/kartor/A 33898-2022 karta.png", "A 33898-2022")</f>
        <v/>
      </c>
      <c r="Y34">
        <f>HYPERLINK("https://klasma.github.io/Logging_2021/kartor_geotiff/A 33898-2022 georefererad karta.tif", "A 33898-2022")</f>
        <v/>
      </c>
      <c r="Z34">
        <f>HYPERLINK("https://klasma.github.io/Logging_2021/knärot/A 33898-2022 karta knärot.png", "A 33898-2022")</f>
        <v/>
      </c>
      <c r="AA34">
        <f>HYPERLINK("https://klasma.github.io/Logging_2021/klagomål/A 33898-2022 FSC-klagomål.docx", "A 33898-2022")</f>
        <v/>
      </c>
      <c r="AB34">
        <f>HYPERLINK("https://klasma.github.io/Logging_2021/klagomålsmail/A 33898-2022 FSC-klagomål mail.docx", "A 33898-2022")</f>
        <v/>
      </c>
      <c r="AC34">
        <f>HYPERLINK("https://klasma.github.io/Logging_2021/tillsyn/A 33898-2022 tillsynsbegäran.docx", "A 33898-2022")</f>
        <v/>
      </c>
      <c r="AD34">
        <f>HYPERLINK("https://klasma.github.io/Logging_2021/tillsynsmail/A 33898-2022 tillsynsbegäran mail.docx", "A 33898-2022")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46314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46314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46314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19656-2026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46314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18.2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Ängsblåvinge
Berggräsfjäril</t>
        </is>
      </c>
      <c r="W38">
        <f>HYPERLINK("https://klasma.github.io/Logging_2021/artfynd/A 19656-2026 artfynd.xlsx", "A 19656-2026")</f>
        <v/>
      </c>
      <c r="X38">
        <f>HYPERLINK("https://klasma.github.io/Logging_2021/kartor/A 19656-2026 karta.png", "A 19656-2026")</f>
        <v/>
      </c>
      <c r="Y38">
        <f>HYPERLINK("https://klasma.github.io/Logging_2021/kartor_geotiff/A 19656-2026 georefererad karta.tif", "A 19656-2026")</f>
        <v/>
      </c>
      <c r="AA38">
        <f>HYPERLINK("https://klasma.github.io/Logging_2021/klagomål/A 19656-2026 FSC-klagomål.docx", "A 19656-2026")</f>
        <v/>
      </c>
      <c r="AB38">
        <f>HYPERLINK("https://klasma.github.io/Logging_2021/klagomålsmail/A 19656-2026 FSC-klagomål mail.docx", "A 19656-2026")</f>
        <v/>
      </c>
      <c r="AC38">
        <f>HYPERLINK("https://klasma.github.io/Logging_2021/tillsyn/A 19656-2026 tillsynsbegäran.docx", "A 19656-2026")</f>
        <v/>
      </c>
      <c r="AD38">
        <f>HYPERLINK("https://klasma.github.io/Logging_2021/tillsynsmail/A 19656-2026 tillsynsbegäran mail.docx", "A 19656-2026")</f>
        <v/>
      </c>
    </row>
    <row r="39" ht="15" customHeight="1">
      <c r="A39" t="inlineStr">
        <is>
          <t>A 14475-2024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45394</v>
      </c>
      <c r="E39" s="1" t="n">
        <v>46314</v>
      </c>
      <c r="F39" t="inlineStr">
        <is>
          <t>DALARNAS LÄN</t>
        </is>
      </c>
      <c r="G39" t="inlineStr">
        <is>
          <t>VANSBRO</t>
        </is>
      </c>
      <c r="I39" t="n">
        <v>20.4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3</v>
      </c>
      <c r="U39" t="n">
        <v>3</v>
      </c>
      <c r="V39" s="2" t="inlineStr">
        <is>
          <t>Garnlav
Dropptaggsvamp</t>
        </is>
      </c>
      <c r="W39">
        <f>HYPERLINK("https://klasma.github.io/Logging_2021/artfynd/A 14475-2024 artfynd.xlsx", "A 14475-2024")</f>
        <v/>
      </c>
      <c r="X39">
        <f>HYPERLINK("https://klasma.github.io/Logging_2021/kartor/A 14475-2024 karta.png", "A 14475-2024")</f>
        <v/>
      </c>
      <c r="Y39">
        <f>HYPERLINK("https://klasma.github.io/Logging_2021/kartor_geotiff/A 14475-2024 georefererad karta.tif", "A 14475-2024")</f>
        <v/>
      </c>
      <c r="AA39">
        <f>HYPERLINK("https://klasma.github.io/Logging_2021/klagomål/A 14475-2024 FSC-klagomål.docx", "A 14475-2024")</f>
        <v/>
      </c>
      <c r="AB39">
        <f>HYPERLINK("https://klasma.github.io/Logging_2021/klagomålsmail/A 14475-2024 FSC-klagomål mail.docx", "A 14475-2024")</f>
        <v/>
      </c>
      <c r="AC39">
        <f>HYPERLINK("https://klasma.github.io/Logging_2021/tillsyn/A 14475-2024 tillsynsbegäran.docx", "A 14475-2024")</f>
        <v/>
      </c>
      <c r="AD39">
        <f>HYPERLINK("https://klasma.github.io/Logging_2021/tillsynsmail/A 14475-2024 tillsynsbegäran mail.docx", "A 14475-2024")</f>
        <v/>
      </c>
    </row>
    <row r="40" ht="15" customHeight="1">
      <c r="A40" t="inlineStr">
        <is>
          <t>A 33793-2026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46314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0.9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Nästlav</t>
        </is>
      </c>
      <c r="W40">
        <f>HYPERLINK("https://klasma.github.io/Logging_2021/artfynd/A 33793-2026 artfynd.xlsx", "A 33793-2026")</f>
        <v/>
      </c>
      <c r="X40">
        <f>HYPERLINK("https://klasma.github.io/Logging_2021/kartor/A 33793-2026 karta.png", "A 33793-2026")</f>
        <v/>
      </c>
      <c r="Y40">
        <f>HYPERLINK("https://klasma.github.io/Logging_2021/kartor_geotiff/A 33793-2026 georefererad karta.tif", "A 33793-2026")</f>
        <v/>
      </c>
      <c r="AA40">
        <f>HYPERLINK("https://klasma.github.io/Logging_2021/klagomål/A 33793-2026 FSC-klagomål.docx", "A 33793-2026")</f>
        <v/>
      </c>
      <c r="AB40">
        <f>HYPERLINK("https://klasma.github.io/Logging_2021/klagomålsmail/A 33793-2026 FSC-klagomål mail.docx", "A 33793-2026")</f>
        <v/>
      </c>
      <c r="AC40">
        <f>HYPERLINK("https://klasma.github.io/Logging_2021/tillsyn/A 33793-2026 tillsynsbegäran.docx", "A 33793-2026")</f>
        <v/>
      </c>
      <c r="AD40">
        <f>HYPERLINK("https://klasma.github.io/Logging_2021/tillsynsmail/A 33793-2026 tillsynsbegäran mail.docx", "A 33793-2026")</f>
        <v/>
      </c>
    </row>
    <row r="41" ht="15" customHeight="1">
      <c r="A41" t="inlineStr">
        <is>
          <t>A 52675-2025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45956</v>
      </c>
      <c r="E41" s="1" t="n">
        <v>46314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4.5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Motaggsvamp</t>
        </is>
      </c>
      <c r="W41">
        <f>HYPERLINK("https://klasma.github.io/Logging_2021/artfynd/A 52675-2025 artfynd.xlsx", "A 52675-2025")</f>
        <v/>
      </c>
      <c r="X41">
        <f>HYPERLINK("https://klasma.github.io/Logging_2021/kartor/A 52675-2025 karta.png", "A 52675-2025")</f>
        <v/>
      </c>
      <c r="Y41">
        <f>HYPERLINK("https://klasma.github.io/Logging_2021/kartor_geotiff/A 52675-2025 georefererad karta.tif", "A 52675-2025")</f>
        <v/>
      </c>
      <c r="AA41">
        <f>HYPERLINK("https://klasma.github.io/Logging_2021/klagomål/A 52675-2025 FSC-klagomål.docx", "A 52675-2025")</f>
        <v/>
      </c>
      <c r="AB41">
        <f>HYPERLINK("https://klasma.github.io/Logging_2021/klagomålsmail/A 52675-2025 FSC-klagomål mail.docx", "A 52675-2025")</f>
        <v/>
      </c>
      <c r="AC41">
        <f>HYPERLINK("https://klasma.github.io/Logging_2021/tillsyn/A 52675-2025 tillsynsbegäran.docx", "A 52675-2025")</f>
        <v/>
      </c>
      <c r="AD41">
        <f>HYPERLINK("https://klasma.github.io/Logging_2021/tillsynsmail/A 52675-2025 tillsynsbegäran mail.docx", "A 52675-2025")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46314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HYPERLINK("https://klasma.github.io/Logging_2021/artfynd/A 20076-2026 artfynd.xlsx", "A 20076-2026")</f>
        <v/>
      </c>
      <c r="X42">
        <f>HYPERLINK("https://klasma.github.io/Logging_2021/kartor/A 20076-2026 karta.png", "A 20076-2026")</f>
        <v/>
      </c>
      <c r="Y42">
        <f>HYPERLINK("https://klasma.github.io/Logging_2021/kartor_geotiff/A 20076-2026 georefererad karta.tif", "A 20076-2026")</f>
        <v/>
      </c>
      <c r="AA42">
        <f>HYPERLINK("https://klasma.github.io/Logging_2021/klagomål/A 20076-2026 FSC-klagomål.docx", "A 20076-2026")</f>
        <v/>
      </c>
      <c r="AB42">
        <f>HYPERLINK("https://klasma.github.io/Logging_2021/klagomålsmail/A 20076-2026 FSC-klagomål mail.docx", "A 20076-2026")</f>
        <v/>
      </c>
      <c r="AC42">
        <f>HYPERLINK("https://klasma.github.io/Logging_2021/tillsyn/A 20076-2026 tillsynsbegäran.docx", "A 20076-2026")</f>
        <v/>
      </c>
      <c r="AD42">
        <f>HYPERLINK("https://klasma.github.io/Logging_2021/tillsynsmail/A 20076-2026 tillsynsbegäran mail.docx", "A 20076-2026")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46314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46314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46314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26756-2026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46314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11.4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HYPERLINK("https://klasma.github.io/Logging_2021/artfynd/A 26756-2026 artfynd.xlsx", "A 26756-2026")</f>
        <v/>
      </c>
      <c r="X46">
        <f>HYPERLINK("https://klasma.github.io/Logging_2021/kartor/A 26756-2026 karta.png", "A 26756-2026")</f>
        <v/>
      </c>
      <c r="Y46">
        <f>HYPERLINK("https://klasma.github.io/Logging_2021/kartor_geotiff/A 26756-2026 georefererad karta.tif", "A 26756-2026")</f>
        <v/>
      </c>
      <c r="AA46">
        <f>HYPERLINK("https://klasma.github.io/Logging_2021/klagomål/A 26756-2026 FSC-klagomål.docx", "A 26756-2026")</f>
        <v/>
      </c>
      <c r="AB46">
        <f>HYPERLINK("https://klasma.github.io/Logging_2021/klagomålsmail/A 26756-2026 FSC-klagomål mail.docx", "A 26756-2026")</f>
        <v/>
      </c>
      <c r="AC46">
        <f>HYPERLINK("https://klasma.github.io/Logging_2021/tillsyn/A 26756-2026 tillsynsbegäran.docx", "A 26756-2026")</f>
        <v/>
      </c>
      <c r="AD46">
        <f>HYPERLINK("https://klasma.github.io/Logging_2021/tillsynsmail/A 26756-2026 tillsynsbegäran mail.docx", "A 26756-2026")</f>
        <v/>
      </c>
      <c r="AE46">
        <f>HYPERLINK("https://klasma.github.io/Logging_2021/fåglar/A 26756-2026 prioriterade fågelarter.docx", "A 26756-2026")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46314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54453-2024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46314</v>
      </c>
      <c r="F48" t="inlineStr">
        <is>
          <t>DALARNAS LÄN</t>
        </is>
      </c>
      <c r="G48" t="inlineStr">
        <is>
          <t>VANSBRO</t>
        </is>
      </c>
      <c r="I48" t="n">
        <v>0.4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Skarp dropptaggsvamp</t>
        </is>
      </c>
      <c r="W48">
        <f>HYPERLINK("https://klasma.github.io/Logging_2021/artfynd/A 54453-2024 artfynd.xlsx", "A 54453-2024")</f>
        <v/>
      </c>
      <c r="X48">
        <f>HYPERLINK("https://klasma.github.io/Logging_2021/kartor/A 54453-2024 karta.png", "A 54453-2024")</f>
        <v/>
      </c>
      <c r="Y48">
        <f>HYPERLINK("https://klasma.github.io/Logging_2021/kartor_geotiff/A 54453-2024 georefererad karta.tif", "A 54453-2024")</f>
        <v/>
      </c>
      <c r="AA48">
        <f>HYPERLINK("https://klasma.github.io/Logging_2021/klagomål/A 54453-2024 FSC-klagomål.docx", "A 54453-2024")</f>
        <v/>
      </c>
      <c r="AB48">
        <f>HYPERLINK("https://klasma.github.io/Logging_2021/klagomålsmail/A 54453-2024 FSC-klagomål mail.docx", "A 54453-2024")</f>
        <v/>
      </c>
      <c r="AC48">
        <f>HYPERLINK("https://klasma.github.io/Logging_2021/tillsyn/A 54453-2024 tillsynsbegäran.docx", "A 54453-2024")</f>
        <v/>
      </c>
      <c r="AD48">
        <f>HYPERLINK("https://klasma.github.io/Logging_2021/tillsynsmail/A 54453-2024 tillsynsbegäran mail.docx", "A 54453-2024")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46314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46314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A 35533-2026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46262</v>
      </c>
      <c r="E51" s="1" t="n">
        <v>46314</v>
      </c>
      <c r="F51" t="inlineStr">
        <is>
          <t>DALARNAS LÄN</t>
        </is>
      </c>
      <c r="G51" t="inlineStr">
        <is>
          <t>VANSBRO</t>
        </is>
      </c>
      <c r="I51" t="n">
        <v>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HYPERLINK("https://klasma.github.io/Logging_2021/artfynd/A 35533-2026 artfynd.xlsx", "A 35533-2026")</f>
        <v/>
      </c>
      <c r="X51">
        <f>HYPERLINK("https://klasma.github.io/Logging_2021/kartor/A 35533-2026 karta.png", "A 35533-2026")</f>
        <v/>
      </c>
      <c r="Y51">
        <f>HYPERLINK("https://klasma.github.io/Logging_2021/kartor_geotiff/A 35533-2026 georefererad karta.tif", "A 35533-2026")</f>
        <v/>
      </c>
      <c r="Z51">
        <f>HYPERLINK("https://klasma.github.io/Logging_2021/knärot/A 35533-2026 karta knärot.png", "A 35533-2026")</f>
        <v/>
      </c>
      <c r="AA51">
        <f>HYPERLINK("https://klasma.github.io/Logging_2021/klagomål/A 35533-2026 FSC-klagomål.docx", "A 35533-2026")</f>
        <v/>
      </c>
      <c r="AB51">
        <f>HYPERLINK("https://klasma.github.io/Logging_2021/klagomålsmail/A 35533-2026 FSC-klagomål mail.docx", "A 35533-2026")</f>
        <v/>
      </c>
      <c r="AC51">
        <f>HYPERLINK("https://klasma.github.io/Logging_2021/tillsyn/A 35533-2026 tillsynsbegäran.docx", "A 35533-2026")</f>
        <v/>
      </c>
      <c r="AD51">
        <f>HYPERLINK("https://klasma.github.io/Logging_2021/tillsynsmail/A 35533-2026 tillsynsbegäran mail.docx", "A 35533-2026")</f>
        <v/>
      </c>
    </row>
    <row r="52" ht="15" customHeight="1">
      <c r="A52" t="inlineStr">
        <is>
          <t>A 27052-2025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45811</v>
      </c>
      <c r="E52" s="1" t="n">
        <v>46314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HYPERLINK("https://klasma.github.io/Logging_2021/artfynd/A 27052-2025 artfynd.xlsx", "A 27052-2025")</f>
        <v/>
      </c>
      <c r="X52">
        <f>HYPERLINK("https://klasma.github.io/Logging_2021/kartor/A 27052-2025 karta.png", "A 27052-2025")</f>
        <v/>
      </c>
      <c r="Y52">
        <f>HYPERLINK("https://klasma.github.io/Logging_2021/kartor_geotiff/A 27052-2025 georefererad karta.tif", "A 27052-2025")</f>
        <v/>
      </c>
      <c r="AA52">
        <f>HYPERLINK("https://klasma.github.io/Logging_2021/klagomål/A 27052-2025 FSC-klagomål.docx", "A 27052-2025")</f>
        <v/>
      </c>
      <c r="AB52">
        <f>HYPERLINK("https://klasma.github.io/Logging_2021/klagomålsmail/A 27052-2025 FSC-klagomål mail.docx", "A 27052-2025")</f>
        <v/>
      </c>
      <c r="AC52">
        <f>HYPERLINK("https://klasma.github.io/Logging_2021/tillsyn/A 27052-2025 tillsynsbegäran.docx", "A 27052-2025")</f>
        <v/>
      </c>
      <c r="AD52">
        <f>HYPERLINK("https://klasma.github.io/Logging_2021/tillsynsmail/A 27052-2025 tillsynsbegäran mail.docx", "A 27052-2025")</f>
        <v/>
      </c>
      <c r="AE52">
        <f>HYPERLINK("https://klasma.github.io/Logging_2021/fåglar/A 27052-2025 prioriterade fågelarter.docx", "A 27052-2025")</f>
        <v/>
      </c>
    </row>
    <row r="53" ht="15" customHeight="1">
      <c r="A53" t="inlineStr">
        <is>
          <t>A 32917-2025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46314</v>
      </c>
      <c r="F53" t="inlineStr">
        <is>
          <t>DALARNAS LÄN</t>
        </is>
      </c>
      <c r="G53" t="inlineStr">
        <is>
          <t>VANSBRO</t>
        </is>
      </c>
      <c r="I53" t="n">
        <v>6.6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2</v>
      </c>
      <c r="V53" s="2" t="inlineStr">
        <is>
          <t>Garnlav</t>
        </is>
      </c>
      <c r="W53">
        <f>HYPERLINK("https://klasma.github.io/Logging_2021/artfynd/A 32917-2025 artfynd.xlsx", "A 32917-2025")</f>
        <v/>
      </c>
      <c r="X53">
        <f>HYPERLINK("https://klasma.github.io/Logging_2021/kartor/A 32917-2025 karta.png", "A 32917-2025")</f>
        <v/>
      </c>
      <c r="Y53">
        <f>HYPERLINK("https://klasma.github.io/Logging_2021/kartor_geotiff/A 32917-2025 georefererad karta.tif", "A 32917-2025")</f>
        <v/>
      </c>
      <c r="AA53">
        <f>HYPERLINK("https://klasma.github.io/Logging_2021/klagomål/A 32917-2025 FSC-klagomål.docx", "A 32917-2025")</f>
        <v/>
      </c>
      <c r="AB53">
        <f>HYPERLINK("https://klasma.github.io/Logging_2021/klagomålsmail/A 32917-2025 FSC-klagomål mail.docx", "A 32917-2025")</f>
        <v/>
      </c>
      <c r="AC53">
        <f>HYPERLINK("https://klasma.github.io/Logging_2021/tillsyn/A 32917-2025 tillsynsbegäran.docx", "A 32917-2025")</f>
        <v/>
      </c>
      <c r="AD53">
        <f>HYPERLINK("https://klasma.github.io/Logging_2021/tillsynsmail/A 32917-2025 tillsynsbegäran mail.docx", "A 32917-2025")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46314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46314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46314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46314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46314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46314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46314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46314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46314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46314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46314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46314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46314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46314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46314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46314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46314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46314</v>
      </c>
      <c r="F71" t="inlineStr">
        <is>
          <t>DALARNAS LÄN</t>
        </is>
      </c>
      <c r="G71" t="inlineStr">
        <is>
          <t>VANSBRO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8890-2022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44614</v>
      </c>
      <c r="E72" s="1" t="n">
        <v>46314</v>
      </c>
      <c r="F72" t="inlineStr">
        <is>
          <t>DALARNAS LÄN</t>
        </is>
      </c>
      <c r="G72" t="inlineStr">
        <is>
          <t>VANSBRO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46314</v>
      </c>
      <c r="F73" t="inlineStr">
        <is>
          <t>DALARNAS LÄN</t>
        </is>
      </c>
      <c r="G73" t="inlineStr">
        <is>
          <t>VANSBRO</t>
        </is>
      </c>
      <c r="H73" t="inlineStr">
        <is>
          <t>Övriga statliga verk och myndigheter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46314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46314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46314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46314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44643</v>
      </c>
      <c r="E78" s="1" t="n">
        <v>46314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46314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46314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46314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46314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46314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45498</v>
      </c>
      <c r="E84" s="1" t="n">
        <v>46314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4680-2023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44957</v>
      </c>
      <c r="E85" s="1" t="n">
        <v>46314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55078-2022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46314</v>
      </c>
      <c r="F86" t="inlineStr">
        <is>
          <t>DALARNAS LÄN</t>
        </is>
      </c>
      <c r="G86" t="inlineStr">
        <is>
          <t>VANSBRO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45443</v>
      </c>
      <c r="E87" s="1" t="n">
        <v>46314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46314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45617</v>
      </c>
      <c r="E89" s="1" t="n">
        <v>46314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11408-2025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45726</v>
      </c>
      <c r="E90" s="1" t="n">
        <v>46314</v>
      </c>
      <c r="F90" t="inlineStr">
        <is>
          <t>DALARNAS LÄN</t>
        </is>
      </c>
      <c r="G90" t="inlineStr">
        <is>
          <t>VANSBRO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45078</v>
      </c>
      <c r="E91" s="1" t="n">
        <v>46314</v>
      </c>
      <c r="F91" t="inlineStr">
        <is>
          <t>DALARNAS LÄN</t>
        </is>
      </c>
      <c r="G91" t="inlineStr">
        <is>
          <t>VANSBRO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46314</v>
      </c>
      <c r="F92" t="inlineStr">
        <is>
          <t>DALARNAS LÄN</t>
        </is>
      </c>
      <c r="G92" t="inlineStr">
        <is>
          <t>VANSBRO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46314</v>
      </c>
      <c r="F93" t="inlineStr">
        <is>
          <t>DALARNAS LÄN</t>
        </is>
      </c>
      <c r="G93" t="inlineStr">
        <is>
          <t>VANSBRO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43254-2023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46314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46314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38034-2024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45544</v>
      </c>
      <c r="E96" s="1" t="n">
        <v>46314</v>
      </c>
      <c r="F96" t="inlineStr">
        <is>
          <t>DALARNAS LÄN</t>
        </is>
      </c>
      <c r="G96" t="inlineStr">
        <is>
          <t>VANSBRO</t>
        </is>
      </c>
      <c r="H96" t="inlineStr">
        <is>
          <t>Övriga statliga verk och myndigheter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46314</v>
      </c>
      <c r="F97" t="inlineStr">
        <is>
          <t>DALARNAS LÄN</t>
        </is>
      </c>
      <c r="G97" t="inlineStr">
        <is>
          <t>VANSBRO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45637</v>
      </c>
      <c r="E98" s="1" t="n">
        <v>46314</v>
      </c>
      <c r="F98" t="inlineStr">
        <is>
          <t>DALARNAS LÄN</t>
        </is>
      </c>
      <c r="G98" t="inlineStr">
        <is>
          <t>VANSBRO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46314</v>
      </c>
      <c r="F99" t="inlineStr">
        <is>
          <t>DALARNAS LÄN</t>
        </is>
      </c>
      <c r="G99" t="inlineStr">
        <is>
          <t>VANSBRO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46314</v>
      </c>
      <c r="F100" t="inlineStr">
        <is>
          <t>DALARNAS LÄN</t>
        </is>
      </c>
      <c r="G100" t="inlineStr">
        <is>
          <t>VANSBRO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45689</v>
      </c>
      <c r="E101" s="1" t="n">
        <v>46314</v>
      </c>
      <c r="F101" t="inlineStr">
        <is>
          <t>DALARNAS LÄN</t>
        </is>
      </c>
      <c r="G101" t="inlineStr">
        <is>
          <t>VANSBRO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45512</v>
      </c>
      <c r="E102" s="1" t="n">
        <v>46314</v>
      </c>
      <c r="F102" t="inlineStr">
        <is>
          <t>DALARNAS LÄN</t>
        </is>
      </c>
      <c r="G102" t="inlineStr">
        <is>
          <t>VANSBRO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46314</v>
      </c>
      <c r="F103" t="inlineStr">
        <is>
          <t>DALARNAS LÄN</t>
        </is>
      </c>
      <c r="G103" t="inlineStr">
        <is>
          <t>VANSBRO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46314</v>
      </c>
      <c r="F104" t="inlineStr">
        <is>
          <t>DALARNAS LÄN</t>
        </is>
      </c>
      <c r="G104" t="inlineStr">
        <is>
          <t>VANSBRO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46314</v>
      </c>
      <c r="F105" t="inlineStr">
        <is>
          <t>DALARNAS LÄN</t>
        </is>
      </c>
      <c r="G105" t="inlineStr">
        <is>
          <t>VANSBRO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45689</v>
      </c>
      <c r="E106" s="1" t="n">
        <v>46314</v>
      </c>
      <c r="F106" t="inlineStr">
        <is>
          <t>DALARNAS LÄN</t>
        </is>
      </c>
      <c r="G106" t="inlineStr">
        <is>
          <t>VANSBRO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35299-2024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45530</v>
      </c>
      <c r="E107" s="1" t="n">
        <v>46314</v>
      </c>
      <c r="F107" t="inlineStr">
        <is>
          <t>DALARNAS LÄN</t>
        </is>
      </c>
      <c r="G107" t="inlineStr">
        <is>
          <t>VANSBRO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62622-2022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44925</v>
      </c>
      <c r="E108" s="1" t="n">
        <v>46314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49565-2022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44862</v>
      </c>
      <c r="E109" s="1" t="n">
        <v>46314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45111</v>
      </c>
      <c r="E110" s="1" t="n">
        <v>46314</v>
      </c>
      <c r="F110" t="inlineStr">
        <is>
          <t>DALARNAS LÄN</t>
        </is>
      </c>
      <c r="G110" t="inlineStr">
        <is>
          <t>VANSBRO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45576</v>
      </c>
      <c r="E111" s="1" t="n">
        <v>46314</v>
      </c>
      <c r="F111" t="inlineStr">
        <is>
          <t>DALARNAS LÄN</t>
        </is>
      </c>
      <c r="G111" t="inlineStr">
        <is>
          <t>VANSBRO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46314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44728</v>
      </c>
      <c r="E113" s="1" t="n">
        <v>46314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öst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44728</v>
      </c>
      <c r="E114" s="1" t="n">
        <v>46314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öst AB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15088-2025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45744</v>
      </c>
      <c r="E115" s="1" t="n">
        <v>46314</v>
      </c>
      <c r="F115" t="inlineStr">
        <is>
          <t>DALARNAS LÄN</t>
        </is>
      </c>
      <c r="G115" t="inlineStr">
        <is>
          <t>VANSBRO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45258</v>
      </c>
      <c r="E116" s="1" t="n">
        <v>46314</v>
      </c>
      <c r="F116" t="inlineStr">
        <is>
          <t>DALARNAS LÄN</t>
        </is>
      </c>
      <c r="G116" t="inlineStr">
        <is>
          <t>VANSBRO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45764</v>
      </c>
      <c r="E117" s="1" t="n">
        <v>46314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45183</v>
      </c>
      <c r="E118" s="1" t="n">
        <v>46314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öst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46314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46314</v>
      </c>
      <c r="F120" t="inlineStr">
        <is>
          <t>DALARNAS LÄN</t>
        </is>
      </c>
      <c r="G120" t="inlineStr">
        <is>
          <t>VANSBRO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35537-2024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46314</v>
      </c>
      <c r="F121" t="inlineStr">
        <is>
          <t>DALARNAS LÄN</t>
        </is>
      </c>
      <c r="G121" t="inlineStr">
        <is>
          <t>VANSBRO</t>
        </is>
      </c>
      <c r="H121" t="inlineStr">
        <is>
          <t>Övriga statliga verk och myndigheter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46314</v>
      </c>
      <c r="F122" t="inlineStr">
        <is>
          <t>DALARNAS LÄN</t>
        </is>
      </c>
      <c r="G122" t="inlineStr">
        <is>
          <t>VANSBRO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45463</v>
      </c>
      <c r="E123" s="1" t="n">
        <v>46314</v>
      </c>
      <c r="F123" t="inlineStr">
        <is>
          <t>DALARNAS LÄN</t>
        </is>
      </c>
      <c r="G123" t="inlineStr">
        <is>
          <t>VANSBRO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45666</v>
      </c>
      <c r="E124" s="1" t="n">
        <v>46314</v>
      </c>
      <c r="F124" t="inlineStr">
        <is>
          <t>DALARNAS LÄN</t>
        </is>
      </c>
      <c r="G124" t="inlineStr">
        <is>
          <t>VANSBRO</t>
        </is>
      </c>
      <c r="H124" t="inlineStr">
        <is>
          <t>Övriga statliga verk och myndigheter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45532</v>
      </c>
      <c r="E125" s="1" t="n">
        <v>46314</v>
      </c>
      <c r="F125" t="inlineStr">
        <is>
          <t>DALARNAS LÄN</t>
        </is>
      </c>
      <c r="G125" t="inlineStr">
        <is>
          <t>VANSBRO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46314</v>
      </c>
      <c r="F126" t="inlineStr">
        <is>
          <t>DALARNAS LÄN</t>
        </is>
      </c>
      <c r="G126" t="inlineStr">
        <is>
          <t>VANSBRO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46314</v>
      </c>
      <c r="F127" t="inlineStr">
        <is>
          <t>DALARNAS LÄN</t>
        </is>
      </c>
      <c r="G127" t="inlineStr">
        <is>
          <t>VANSBRO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46314</v>
      </c>
      <c r="F128" t="inlineStr">
        <is>
          <t>DALARNAS LÄN</t>
        </is>
      </c>
      <c r="G128" t="inlineStr">
        <is>
          <t>VANSBRO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45240</v>
      </c>
      <c r="E129" s="1" t="n">
        <v>46314</v>
      </c>
      <c r="F129" t="inlineStr">
        <is>
          <t>DALARNAS LÄN</t>
        </is>
      </c>
      <c r="G129" t="inlineStr">
        <is>
          <t>VANSBRO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44811</v>
      </c>
      <c r="E130" s="1" t="n">
        <v>46314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38670-2025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45884</v>
      </c>
      <c r="E131" s="1" t="n">
        <v>46314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45776</v>
      </c>
      <c r="E132" s="1" t="n">
        <v>46314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46314</v>
      </c>
      <c r="F133" t="inlineStr">
        <is>
          <t>DALARNAS LÄN</t>
        </is>
      </c>
      <c r="G133" t="inlineStr">
        <is>
          <t>VANSBRO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45806</v>
      </c>
      <c r="E134" s="1" t="n">
        <v>46314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45063</v>
      </c>
      <c r="E135" s="1" t="n">
        <v>46314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öst AB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46314</v>
      </c>
      <c r="F136" t="inlineStr">
        <is>
          <t>DALARNAS LÄN</t>
        </is>
      </c>
      <c r="G136" t="inlineStr">
        <is>
          <t>VANSBRO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53839-2022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44880</v>
      </c>
      <c r="E137" s="1" t="n">
        <v>46314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öst AB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46314</v>
      </c>
      <c r="F138" t="inlineStr">
        <is>
          <t>DALARNAS LÄN</t>
        </is>
      </c>
      <c r="G138" t="inlineStr">
        <is>
          <t>VANSBRO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46314</v>
      </c>
      <c r="F139" t="inlineStr">
        <is>
          <t>DALARNAS LÄN</t>
        </is>
      </c>
      <c r="G139" t="inlineStr">
        <is>
          <t>VANSBRO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45888</v>
      </c>
      <c r="E140" s="1" t="n">
        <v>46314</v>
      </c>
      <c r="F140" t="inlineStr">
        <is>
          <t>DALARNAS LÄN</t>
        </is>
      </c>
      <c r="G140" t="inlineStr">
        <is>
          <t>VANSBRO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46314</v>
      </c>
      <c r="F141" t="inlineStr">
        <is>
          <t>DALARNAS LÄN</t>
        </is>
      </c>
      <c r="G141" t="inlineStr">
        <is>
          <t>VANSBRO</t>
        </is>
      </c>
      <c r="I141" t="n">
        <v>13.9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46314</v>
      </c>
      <c r="F142" t="inlineStr">
        <is>
          <t>DALARNAS LÄN</t>
        </is>
      </c>
      <c r="G142" t="inlineStr">
        <is>
          <t>VANSBRO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45182</v>
      </c>
      <c r="E143" s="1" t="n">
        <v>46314</v>
      </c>
      <c r="F143" t="inlineStr">
        <is>
          <t>DALARNAS LÄN</t>
        </is>
      </c>
      <c r="G143" t="inlineStr">
        <is>
          <t>VANSBRO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45897</v>
      </c>
      <c r="E144" s="1" t="n">
        <v>46314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21966-2024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45443</v>
      </c>
      <c r="E145" s="1" t="n">
        <v>46314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väst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45689</v>
      </c>
      <c r="E146" s="1" t="n">
        <v>46314</v>
      </c>
      <c r="F146" t="inlineStr">
        <is>
          <t>DALARNAS LÄN</t>
        </is>
      </c>
      <c r="G146" t="inlineStr">
        <is>
          <t>VANSBRO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45363</v>
      </c>
      <c r="E147" s="1" t="n">
        <v>46314</v>
      </c>
      <c r="F147" t="inlineStr">
        <is>
          <t>DALARNAS LÄN</t>
        </is>
      </c>
      <c r="G147" t="inlineStr">
        <is>
          <t>VANSBRO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45817</v>
      </c>
      <c r="E148" s="1" t="n">
        <v>46314</v>
      </c>
      <c r="F148" t="inlineStr">
        <is>
          <t>DALARNAS LÄN</t>
        </is>
      </c>
      <c r="G148" t="inlineStr">
        <is>
          <t>VANSBRO</t>
        </is>
      </c>
      <c r="I148" t="n">
        <v>15.8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46314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45516</v>
      </c>
      <c r="E150" s="1" t="n">
        <v>46314</v>
      </c>
      <c r="F150" t="inlineStr">
        <is>
          <t>DALARNAS LÄN</t>
        </is>
      </c>
      <c r="G150" t="inlineStr">
        <is>
          <t>VANSBRO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46314</v>
      </c>
      <c r="F151" t="inlineStr">
        <is>
          <t>DALARNAS LÄN</t>
        </is>
      </c>
      <c r="G151" t="inlineStr">
        <is>
          <t>VANSBRO</t>
        </is>
      </c>
      <c r="H151" t="inlineStr">
        <is>
          <t>Kommuner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46021</v>
      </c>
      <c r="E152" s="1" t="n">
        <v>46314</v>
      </c>
      <c r="F152" t="inlineStr">
        <is>
          <t>DALARNAS LÄN</t>
        </is>
      </c>
      <c r="G152" t="inlineStr">
        <is>
          <t>VANSBRO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46314</v>
      </c>
      <c r="F153" t="inlineStr">
        <is>
          <t>DALARNAS LÄN</t>
        </is>
      </c>
      <c r="G153" t="inlineStr">
        <is>
          <t>VANSBRO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49921-2023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45214</v>
      </c>
      <c r="E154" s="1" t="n">
        <v>46314</v>
      </c>
      <c r="F154" t="inlineStr">
        <is>
          <t>DALARNAS LÄN</t>
        </is>
      </c>
      <c r="G154" t="inlineStr">
        <is>
          <t>VANSBRO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11007-2026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46079</v>
      </c>
      <c r="E155" s="1" t="n">
        <v>46314</v>
      </c>
      <c r="F155" t="inlineStr">
        <is>
          <t>DALARNAS LÄN</t>
        </is>
      </c>
      <c r="G155" t="inlineStr">
        <is>
          <t>VANSBRO</t>
        </is>
      </c>
      <c r="H155" t="inlineStr">
        <is>
          <t>Övriga statliga verk och myndigheter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46314</v>
      </c>
      <c r="F156" t="inlineStr">
        <is>
          <t>DALARNAS LÄN</t>
        </is>
      </c>
      <c r="G156" t="inlineStr">
        <is>
          <t>VANSBRO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46314</v>
      </c>
      <c r="F157" t="inlineStr">
        <is>
          <t>DALARNAS LÄN</t>
        </is>
      </c>
      <c r="G157" t="inlineStr">
        <is>
          <t>VANSBRO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46314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öst AB</t>
        </is>
      </c>
      <c r="I158" t="n">
        <v>45.8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45520</v>
      </c>
      <c r="E159" s="1" t="n">
        <v>46314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35943-2024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45533</v>
      </c>
      <c r="E160" s="1" t="n">
        <v>46314</v>
      </c>
      <c r="F160" t="inlineStr">
        <is>
          <t>DALARNAS LÄN</t>
        </is>
      </c>
      <c r="G160" t="inlineStr">
        <is>
          <t>VANSBRO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21744-2026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46314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921-2025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45665</v>
      </c>
      <c r="E162" s="1" t="n">
        <v>46314</v>
      </c>
      <c r="F162" t="inlineStr">
        <is>
          <t>DALARNAS LÄN</t>
        </is>
      </c>
      <c r="G162" t="inlineStr">
        <is>
          <t>VANSBRO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44980</v>
      </c>
      <c r="E163" s="1" t="n">
        <v>46314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48102-2025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45933</v>
      </c>
      <c r="E164" s="1" t="n">
        <v>46314</v>
      </c>
      <c r="F164" t="inlineStr">
        <is>
          <t>DALARNAS LÄN</t>
        </is>
      </c>
      <c r="G164" t="inlineStr">
        <is>
          <t>VANSBRO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46314</v>
      </c>
      <c r="F165" t="inlineStr">
        <is>
          <t>DALARNAS LÄN</t>
        </is>
      </c>
      <c r="G165" t="inlineStr">
        <is>
          <t>VANSBRO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46314</v>
      </c>
      <c r="F166" t="inlineStr">
        <is>
          <t>DALARNAS LÄN</t>
        </is>
      </c>
      <c r="G166" t="inlineStr">
        <is>
          <t>VANSBRO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23432-2024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45453</v>
      </c>
      <c r="E167" s="1" t="n">
        <v>46314</v>
      </c>
      <c r="F167" t="inlineStr">
        <is>
          <t>DALARNAS LÄN</t>
        </is>
      </c>
      <c r="G167" t="inlineStr">
        <is>
          <t>VANSBRO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48840-2025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45937</v>
      </c>
      <c r="E168" s="1" t="n">
        <v>46314</v>
      </c>
      <c r="F168" t="inlineStr">
        <is>
          <t>DALARNAS LÄN</t>
        </is>
      </c>
      <c r="G168" t="inlineStr">
        <is>
          <t>VANSBRO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45350</v>
      </c>
      <c r="E169" s="1" t="n">
        <v>46314</v>
      </c>
      <c r="F169" t="inlineStr">
        <is>
          <t>DALARNAS LÄN</t>
        </is>
      </c>
      <c r="G169" t="inlineStr">
        <is>
          <t>VANSBRO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46314</v>
      </c>
      <c r="F170" t="inlineStr">
        <is>
          <t>DALARNAS LÄN</t>
        </is>
      </c>
      <c r="G170" t="inlineStr">
        <is>
          <t>VANSBRO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45939</v>
      </c>
      <c r="E171" s="1" t="n">
        <v>46314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öst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46314</v>
      </c>
      <c r="F172" t="inlineStr">
        <is>
          <t>DALARNAS LÄN</t>
        </is>
      </c>
      <c r="G172" t="inlineStr">
        <is>
          <t>VANSBRO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46314</v>
      </c>
      <c r="F173" t="inlineStr">
        <is>
          <t>DALARNAS LÄN</t>
        </is>
      </c>
      <c r="G173" t="inlineStr">
        <is>
          <t>VANSBRO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46314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46154</v>
      </c>
      <c r="E175" s="1" t="n">
        <v>46314</v>
      </c>
      <c r="F175" t="inlineStr">
        <is>
          <t>DALARNAS LÄN</t>
        </is>
      </c>
      <c r="G175" t="inlineStr">
        <is>
          <t>VANSBRO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45238</v>
      </c>
      <c r="E176" s="1" t="n">
        <v>46314</v>
      </c>
      <c r="F176" t="inlineStr">
        <is>
          <t>DALARNAS LÄN</t>
        </is>
      </c>
      <c r="G176" t="inlineStr">
        <is>
          <t>VANSBRO</t>
        </is>
      </c>
      <c r="H176" t="inlineStr">
        <is>
          <t>Övriga statliga verk och myndigheter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44970</v>
      </c>
      <c r="E177" s="1" t="n">
        <v>46314</v>
      </c>
      <c r="F177" t="inlineStr">
        <is>
          <t>DALARNAS LÄN</t>
        </is>
      </c>
      <c r="G177" t="inlineStr">
        <is>
          <t>VANSBRO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45772</v>
      </c>
      <c r="E178" s="1" t="n">
        <v>46314</v>
      </c>
      <c r="F178" t="inlineStr">
        <is>
          <t>DALARNAS LÄN</t>
        </is>
      </c>
      <c r="G178" t="inlineStr">
        <is>
          <t>VANSBRO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46314</v>
      </c>
      <c r="F179" t="inlineStr">
        <is>
          <t>DALARNAS LÄN</t>
        </is>
      </c>
      <c r="G179" t="inlineStr">
        <is>
          <t>VANSBRO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46314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51855-2025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46314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46314</v>
      </c>
      <c r="F182" t="inlineStr">
        <is>
          <t>DALARNAS LÄN</t>
        </is>
      </c>
      <c r="G182" t="inlineStr">
        <is>
          <t>VANSBRO</t>
        </is>
      </c>
      <c r="I182" t="n">
        <v>8.800000000000001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45956</v>
      </c>
      <c r="E183" s="1" t="n">
        <v>46314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45956</v>
      </c>
      <c r="E184" s="1" t="n">
        <v>46314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22379-2026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46154</v>
      </c>
      <c r="E185" s="1" t="n">
        <v>46314</v>
      </c>
      <c r="F185" t="inlineStr">
        <is>
          <t>DALARNAS LÄN</t>
        </is>
      </c>
      <c r="G185" t="inlineStr">
        <is>
          <t>VANSBRO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8694-2023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44972</v>
      </c>
      <c r="E186" s="1" t="n">
        <v>46314</v>
      </c>
      <c r="F186" t="inlineStr">
        <is>
          <t>DALARNAS LÄN</t>
        </is>
      </c>
      <c r="G186" t="inlineStr">
        <is>
          <t>VANSBRO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45890</v>
      </c>
      <c r="E187" s="1" t="n">
        <v>46314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46314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45961</v>
      </c>
      <c r="E189" s="1" t="n">
        <v>46314</v>
      </c>
      <c r="F189" t="inlineStr">
        <is>
          <t>DALARNAS LÄN</t>
        </is>
      </c>
      <c r="G189" t="inlineStr">
        <is>
          <t>VANSBRO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46314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öst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46314</v>
      </c>
      <c r="F191" t="inlineStr">
        <is>
          <t>DALARNAS LÄN</t>
        </is>
      </c>
      <c r="G191" t="inlineStr">
        <is>
          <t>VANSBRO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33829-2024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45520</v>
      </c>
      <c r="E192" s="1" t="n">
        <v>46314</v>
      </c>
      <c r="F192" t="inlineStr">
        <is>
          <t>DALARNAS LÄN</t>
        </is>
      </c>
      <c r="G192" t="inlineStr">
        <is>
          <t>VANSBRO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54100-2025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46314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öst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54342-2025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46314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46314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46314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50533-2024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46314</v>
      </c>
      <c r="F197" t="inlineStr">
        <is>
          <t>DALARNAS LÄN</t>
        </is>
      </c>
      <c r="G197" t="inlineStr">
        <is>
          <t>VANSBRO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46314</v>
      </c>
      <c r="F198" t="inlineStr">
        <is>
          <t>DALARNAS LÄN</t>
        </is>
      </c>
      <c r="G198" t="inlineStr">
        <is>
          <t>VANSBRO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45972</v>
      </c>
      <c r="E199" s="1" t="n">
        <v>46314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46314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56280-2025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46314</v>
      </c>
      <c r="F201" t="inlineStr">
        <is>
          <t>DALARNAS LÄN</t>
        </is>
      </c>
      <c r="G201" t="inlineStr">
        <is>
          <t>VANSBRO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5386-2024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45331</v>
      </c>
      <c r="E202" s="1" t="n">
        <v>46314</v>
      </c>
      <c r="F202" t="inlineStr">
        <is>
          <t>DALARNAS LÄN</t>
        </is>
      </c>
      <c r="G202" t="inlineStr">
        <is>
          <t>VANSBRO</t>
        </is>
      </c>
      <c r="I202" t="n">
        <v>11.4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8447-2022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44612</v>
      </c>
      <c r="E203" s="1" t="n">
        <v>46314</v>
      </c>
      <c r="F203" t="inlineStr">
        <is>
          <t>DALARNAS LÄN</t>
        </is>
      </c>
      <c r="G203" t="inlineStr">
        <is>
          <t>VANSBRO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45691</v>
      </c>
      <c r="E204" s="1" t="n">
        <v>46314</v>
      </c>
      <c r="F204" t="inlineStr">
        <is>
          <t>DALARNAS LÄN</t>
        </is>
      </c>
      <c r="G204" t="inlineStr">
        <is>
          <t>VANSBRO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45979</v>
      </c>
      <c r="E205" s="1" t="n">
        <v>46314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46314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46314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23780-2026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46164</v>
      </c>
      <c r="E208" s="1" t="n">
        <v>46314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45322</v>
      </c>
      <c r="E209" s="1" t="n">
        <v>46314</v>
      </c>
      <c r="F209" t="inlineStr">
        <is>
          <t>DALARNAS LÄN</t>
        </is>
      </c>
      <c r="G209" t="inlineStr">
        <is>
          <t>VANSBRO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49509-2024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45596</v>
      </c>
      <c r="E210" s="1" t="n">
        <v>46314</v>
      </c>
      <c r="F210" t="inlineStr">
        <is>
          <t>DALARNAS LÄN</t>
        </is>
      </c>
      <c r="G210" t="inlineStr">
        <is>
          <t>VANSBRO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46314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2086-2024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45309</v>
      </c>
      <c r="E212" s="1" t="n">
        <v>46314</v>
      </c>
      <c r="F212" t="inlineStr">
        <is>
          <t>DALARNAS LÄN</t>
        </is>
      </c>
      <c r="G212" t="inlineStr">
        <is>
          <t>VANSBRO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45987</v>
      </c>
      <c r="E213" s="1" t="n">
        <v>46314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46314</v>
      </c>
      <c r="F214" t="inlineStr">
        <is>
          <t>DALARNAS LÄN</t>
        </is>
      </c>
      <c r="G214" t="inlineStr">
        <is>
          <t>VANSBRO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45471</v>
      </c>
      <c r="E215" s="1" t="n">
        <v>46314</v>
      </c>
      <c r="F215" t="inlineStr">
        <is>
          <t>DALARNAS LÄN</t>
        </is>
      </c>
      <c r="G215" t="inlineStr">
        <is>
          <t>VANSBRO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63816-2021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46314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17.6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45712</v>
      </c>
      <c r="E217" s="1" t="n">
        <v>46314</v>
      </c>
      <c r="F217" t="inlineStr">
        <is>
          <t>DALARNAS LÄN</t>
        </is>
      </c>
      <c r="G217" t="inlineStr">
        <is>
          <t>VANSBRO</t>
        </is>
      </c>
      <c r="I217" t="n">
        <v>13.8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51400-2024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45604</v>
      </c>
      <c r="E218" s="1" t="n">
        <v>46314</v>
      </c>
      <c r="F218" t="inlineStr">
        <is>
          <t>DALARNAS LÄN</t>
        </is>
      </c>
      <c r="G218" t="inlineStr">
        <is>
          <t>VANSBRO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45994</v>
      </c>
      <c r="E219" s="1" t="n">
        <v>46314</v>
      </c>
      <c r="F219" t="inlineStr">
        <is>
          <t>DALARNAS LÄN</t>
        </is>
      </c>
      <c r="G219" t="inlineStr">
        <is>
          <t>VANSBRO</t>
        </is>
      </c>
      <c r="I219" t="n">
        <v>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44966</v>
      </c>
      <c r="E220" s="1" t="n">
        <v>46314</v>
      </c>
      <c r="F220" t="inlineStr">
        <is>
          <t>DALARNAS LÄN</t>
        </is>
      </c>
      <c r="G220" t="inlineStr">
        <is>
          <t>VANSBRO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45481</v>
      </c>
      <c r="E221" s="1" t="n">
        <v>46314</v>
      </c>
      <c r="F221" t="inlineStr">
        <is>
          <t>DALARNAS LÄN</t>
        </is>
      </c>
      <c r="G221" t="inlineStr">
        <is>
          <t>VANSBRO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46314</v>
      </c>
      <c r="F222" t="inlineStr">
        <is>
          <t>DALARNAS LÄN</t>
        </is>
      </c>
      <c r="G222" t="inlineStr">
        <is>
          <t>VANSBRO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45457</v>
      </c>
      <c r="E223" s="1" t="n">
        <v>46314</v>
      </c>
      <c r="F223" t="inlineStr">
        <is>
          <t>DALARNAS LÄN</t>
        </is>
      </c>
      <c r="G223" t="inlineStr">
        <is>
          <t>VANSBRO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46314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öst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13062-2023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45002</v>
      </c>
      <c r="E225" s="1" t="n">
        <v>46314</v>
      </c>
      <c r="F225" t="inlineStr">
        <is>
          <t>DALARNAS LÄN</t>
        </is>
      </c>
      <c r="G225" t="inlineStr">
        <is>
          <t>VANSBRO</t>
        </is>
      </c>
      <c r="H225" t="inlineStr">
        <is>
          <t>Övriga statliga verk och myndigheter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46314</v>
      </c>
      <c r="F226" t="inlineStr">
        <is>
          <t>DALARNAS LÄN</t>
        </is>
      </c>
      <c r="G226" t="inlineStr">
        <is>
          <t>VANSBRO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45183</v>
      </c>
      <c r="E227" s="1" t="n">
        <v>46314</v>
      </c>
      <c r="F227" t="inlineStr">
        <is>
          <t>DALARNAS LÄN</t>
        </is>
      </c>
      <c r="G227" t="inlineStr">
        <is>
          <t>VANSBRO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45106</v>
      </c>
      <c r="E228" s="1" t="n">
        <v>46314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46314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46314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62398-2021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44503</v>
      </c>
      <c r="E231" s="1" t="n">
        <v>46314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öst AB</t>
        </is>
      </c>
      <c r="I231" t="n">
        <v>22.1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46033</v>
      </c>
      <c r="E232" s="1" t="n">
        <v>46314</v>
      </c>
      <c r="F232" t="inlineStr">
        <is>
          <t>DALARNAS LÄN</t>
        </is>
      </c>
      <c r="G232" t="inlineStr">
        <is>
          <t>VANSBRO</t>
        </is>
      </c>
      <c r="I232" t="n">
        <v>9.9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45315</v>
      </c>
      <c r="E233" s="1" t="n">
        <v>46314</v>
      </c>
      <c r="F233" t="inlineStr">
        <is>
          <t>DALARNAS LÄN</t>
        </is>
      </c>
      <c r="G233" t="inlineStr">
        <is>
          <t>VANSBRO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46034</v>
      </c>
      <c r="E234" s="1" t="n">
        <v>46314</v>
      </c>
      <c r="F234" t="inlineStr">
        <is>
          <t>DALARNAS LÄN</t>
        </is>
      </c>
      <c r="G234" t="inlineStr">
        <is>
          <t>VANSBRO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46314</v>
      </c>
      <c r="F235" t="inlineStr">
        <is>
          <t>DALARNAS LÄN</t>
        </is>
      </c>
      <c r="G235" t="inlineStr">
        <is>
          <t>VANSBRO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46037</v>
      </c>
      <c r="E236" s="1" t="n">
        <v>46314</v>
      </c>
      <c r="F236" t="inlineStr">
        <is>
          <t>DALARNAS LÄN</t>
        </is>
      </c>
      <c r="G236" t="inlineStr">
        <is>
          <t>VANSBRO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48111-2024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45589</v>
      </c>
      <c r="E237" s="1" t="n">
        <v>46314</v>
      </c>
      <c r="F237" t="inlineStr">
        <is>
          <t>DALARNAS LÄN</t>
        </is>
      </c>
      <c r="G237" t="inlineStr">
        <is>
          <t>VANSBRO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46042</v>
      </c>
      <c r="E238" s="1" t="n">
        <v>46314</v>
      </c>
      <c r="F238" t="inlineStr">
        <is>
          <t>DALARNAS LÄN</t>
        </is>
      </c>
      <c r="G238" t="inlineStr">
        <is>
          <t>VANSBRO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46314</v>
      </c>
      <c r="F239" t="inlineStr">
        <is>
          <t>DALARNAS LÄN</t>
        </is>
      </c>
      <c r="G239" t="inlineStr">
        <is>
          <t>VANSBRO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46314</v>
      </c>
      <c r="F240" t="inlineStr">
        <is>
          <t>DALARNAS LÄN</t>
        </is>
      </c>
      <c r="G240" t="inlineStr">
        <is>
          <t>VANSBRO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46314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46314</v>
      </c>
      <c r="F242" t="inlineStr">
        <is>
          <t>DALARNAS LÄN</t>
        </is>
      </c>
      <c r="G242" t="inlineStr">
        <is>
          <t>VANSBRO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46049</v>
      </c>
      <c r="E243" s="1" t="n">
        <v>46314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46314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46050</v>
      </c>
      <c r="E245" s="1" t="n">
        <v>46314</v>
      </c>
      <c r="F245" t="inlineStr">
        <is>
          <t>DALARNAS LÄN</t>
        </is>
      </c>
      <c r="G245" t="inlineStr">
        <is>
          <t>VANSBRO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46314</v>
      </c>
      <c r="F246" t="inlineStr">
        <is>
          <t>DALARNAS LÄN</t>
        </is>
      </c>
      <c r="G246" t="inlineStr">
        <is>
          <t>VANSBRO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24982-2023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45085</v>
      </c>
      <c r="E247" s="1" t="n">
        <v>46314</v>
      </c>
      <c r="F247" t="inlineStr">
        <is>
          <t>DALARNAS LÄN</t>
        </is>
      </c>
      <c r="G247" t="inlineStr">
        <is>
          <t>VANSBRO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46052</v>
      </c>
      <c r="E248" s="1" t="n">
        <v>46314</v>
      </c>
      <c r="F248" t="inlineStr">
        <is>
          <t>DALARNAS LÄN</t>
        </is>
      </c>
      <c r="G248" t="inlineStr">
        <is>
          <t>VANSBRO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25958-2026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46181</v>
      </c>
      <c r="E249" s="1" t="n">
        <v>46314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46314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46057</v>
      </c>
      <c r="E251" s="1" t="n">
        <v>46314</v>
      </c>
      <c r="F251" t="inlineStr">
        <is>
          <t>DALARNAS LÄN</t>
        </is>
      </c>
      <c r="G251" t="inlineStr">
        <is>
          <t>VANSBRO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46058</v>
      </c>
      <c r="E252" s="1" t="n">
        <v>46314</v>
      </c>
      <c r="F252" t="inlineStr">
        <is>
          <t>DALARNAS LÄN</t>
        </is>
      </c>
      <c r="G252" t="inlineStr">
        <is>
          <t>VANSBRO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46466-2024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46314</v>
      </c>
      <c r="F253" t="inlineStr">
        <is>
          <t>DALARNAS LÄN</t>
        </is>
      </c>
      <c r="G253" t="inlineStr">
        <is>
          <t>VANSBRO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46314</v>
      </c>
      <c r="F254" t="inlineStr">
        <is>
          <t>DALARNAS LÄN</t>
        </is>
      </c>
      <c r="G254" t="inlineStr">
        <is>
          <t>VANSBRO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46314</v>
      </c>
      <c r="F255" t="inlineStr">
        <is>
          <t>DALARNAS LÄN</t>
        </is>
      </c>
      <c r="G255" t="inlineStr">
        <is>
          <t>VANSBRO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46314</v>
      </c>
      <c r="F256" t="inlineStr">
        <is>
          <t>DALARNAS LÄN</t>
        </is>
      </c>
      <c r="G256" t="inlineStr">
        <is>
          <t>VANSBRO</t>
        </is>
      </c>
      <c r="I256" t="n">
        <v>15.1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46314</v>
      </c>
      <c r="F257" t="inlineStr">
        <is>
          <t>DALARNAS LÄN</t>
        </is>
      </c>
      <c r="G257" t="inlineStr">
        <is>
          <t>VANSBRO</t>
        </is>
      </c>
      <c r="H257" t="inlineStr">
        <is>
          <t>Övriga statliga verk och myndigheter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45666</v>
      </c>
      <c r="E258" s="1" t="n">
        <v>46314</v>
      </c>
      <c r="F258" t="inlineStr">
        <is>
          <t>DALARNAS LÄN</t>
        </is>
      </c>
      <c r="G258" t="inlineStr">
        <is>
          <t>VANSBRO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46021</v>
      </c>
      <c r="E259" s="1" t="n">
        <v>46314</v>
      </c>
      <c r="F259" t="inlineStr">
        <is>
          <t>DALARNAS LÄN</t>
        </is>
      </c>
      <c r="G259" t="inlineStr">
        <is>
          <t>VANSBRO</t>
        </is>
      </c>
      <c r="I259" t="n">
        <v>19.1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45240</v>
      </c>
      <c r="E260" s="1" t="n">
        <v>46314</v>
      </c>
      <c r="F260" t="inlineStr">
        <is>
          <t>DALARNAS LÄN</t>
        </is>
      </c>
      <c r="G260" t="inlineStr">
        <is>
          <t>VANSBRO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45639</v>
      </c>
      <c r="E261" s="1" t="n">
        <v>46314</v>
      </c>
      <c r="F261" t="inlineStr">
        <is>
          <t>DALARNAS LÄN</t>
        </is>
      </c>
      <c r="G261" t="inlineStr">
        <is>
          <t>VANSBRO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45673</v>
      </c>
      <c r="E262" s="1" t="n">
        <v>46314</v>
      </c>
      <c r="F262" t="inlineStr">
        <is>
          <t>DALARNAS LÄN</t>
        </is>
      </c>
      <c r="G262" t="inlineStr">
        <is>
          <t>VANSBRO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25916-2022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44734</v>
      </c>
      <c r="E263" s="1" t="n">
        <v>46314</v>
      </c>
      <c r="F263" t="inlineStr">
        <is>
          <t>DALARNAS LÄN</t>
        </is>
      </c>
      <c r="G263" t="inlineStr">
        <is>
          <t>VANSBRO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46314</v>
      </c>
      <c r="F264" t="inlineStr">
        <is>
          <t>DALARNAS LÄN</t>
        </is>
      </c>
      <c r="G264" t="inlineStr">
        <is>
          <t>VANSBRO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46188</v>
      </c>
      <c r="E265" s="1" t="n">
        <v>46314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27195-2026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46314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27344-2026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46314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46084</v>
      </c>
      <c r="E268" s="1" t="n">
        <v>46314</v>
      </c>
      <c r="F268" t="inlineStr">
        <is>
          <t>DALARNAS LÄN</t>
        </is>
      </c>
      <c r="G268" t="inlineStr">
        <is>
          <t>VANSBRO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46082</v>
      </c>
      <c r="E269" s="1" t="n">
        <v>46314</v>
      </c>
      <c r="F269" t="inlineStr">
        <is>
          <t>DALARNAS LÄN</t>
        </is>
      </c>
      <c r="G269" t="inlineStr">
        <is>
          <t>VANSBRO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11350-2026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46082</v>
      </c>
      <c r="E270" s="1" t="n">
        <v>46314</v>
      </c>
      <c r="F270" t="inlineStr">
        <is>
          <t>DALARNAS LÄN</t>
        </is>
      </c>
      <c r="G270" t="inlineStr">
        <is>
          <t>VANSBRO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27629-2026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46314</v>
      </c>
      <c r="F271" t="inlineStr">
        <is>
          <t>DALARNAS LÄN</t>
        </is>
      </c>
      <c r="G271" t="inlineStr">
        <is>
          <t>VANSBRO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46314</v>
      </c>
      <c r="F272" t="inlineStr">
        <is>
          <t>DALARNAS LÄN</t>
        </is>
      </c>
      <c r="G272" t="inlineStr">
        <is>
          <t>VANSBRO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72635-2021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44546</v>
      </c>
      <c r="E273" s="1" t="n">
        <v>46314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46314</v>
      </c>
      <c r="F274" t="inlineStr">
        <is>
          <t>DALARNAS LÄN</t>
        </is>
      </c>
      <c r="G274" t="inlineStr">
        <is>
          <t>VANSBRO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45147</v>
      </c>
      <c r="E275" s="1" t="n">
        <v>46314</v>
      </c>
      <c r="F275" t="inlineStr">
        <is>
          <t>DALARNAS LÄN</t>
        </is>
      </c>
      <c r="G275" t="inlineStr">
        <is>
          <t>VANSBRO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43658-2023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46314</v>
      </c>
      <c r="F276" t="inlineStr">
        <is>
          <t>DALARNAS LÄN</t>
        </is>
      </c>
      <c r="G276" t="inlineStr">
        <is>
          <t>VANSBRO</t>
        </is>
      </c>
      <c r="I276" t="n">
        <v>7.8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26669-2026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46314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46314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10.5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27117-2026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46188</v>
      </c>
      <c r="E279" s="1" t="n">
        <v>46314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13392-2026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46314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46314</v>
      </c>
      <c r="F281" t="inlineStr">
        <is>
          <t>DALARNAS LÄN</t>
        </is>
      </c>
      <c r="G281" t="inlineStr">
        <is>
          <t>VANSBRO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13403-2026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46314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27937-2026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46314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46314</v>
      </c>
      <c r="F284" t="inlineStr">
        <is>
          <t>DALARNAS LÄN</t>
        </is>
      </c>
      <c r="G284" t="inlineStr">
        <is>
          <t>VANSBRO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39336-2023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46314</v>
      </c>
      <c r="F285" t="inlineStr">
        <is>
          <t>DALARNAS LÄN</t>
        </is>
      </c>
      <c r="G285" t="inlineStr">
        <is>
          <t>VANSBRO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12917-2026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46314</v>
      </c>
      <c r="F286" t="inlineStr">
        <is>
          <t>DALARNAS LÄN</t>
        </is>
      </c>
      <c r="G286" t="inlineStr">
        <is>
          <t>VANSBRO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60848-2024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45644</v>
      </c>
      <c r="E287" s="1" t="n">
        <v>46314</v>
      </c>
      <c r="F287" t="inlineStr">
        <is>
          <t>DALARNAS LÄN</t>
        </is>
      </c>
      <c r="G287" t="inlineStr">
        <is>
          <t>VANSBRO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46195</v>
      </c>
      <c r="E288" s="1" t="n">
        <v>46314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10.7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41290-2023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45174</v>
      </c>
      <c r="E289" s="1" t="n">
        <v>46314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46314</v>
      </c>
      <c r="F290" t="inlineStr">
        <is>
          <t>DALARNAS LÄN</t>
        </is>
      </c>
      <c r="G290" t="inlineStr">
        <is>
          <t>VANSBRO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26658-2022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44739</v>
      </c>
      <c r="E291" s="1" t="n">
        <v>46314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46108</v>
      </c>
      <c r="E292" s="1" t="n">
        <v>46314</v>
      </c>
      <c r="F292" t="inlineStr">
        <is>
          <t>DALARNAS LÄN</t>
        </is>
      </c>
      <c r="G292" t="inlineStr">
        <is>
          <t>VANSBRO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16669-2026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46112</v>
      </c>
      <c r="E293" s="1" t="n">
        <v>46314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46314</v>
      </c>
      <c r="F294" t="inlineStr">
        <is>
          <t>DALARNAS LÄN</t>
        </is>
      </c>
      <c r="G294" t="inlineStr">
        <is>
          <t>VANSBRO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16952-2026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46114</v>
      </c>
      <c r="E295" s="1" t="n">
        <v>46314</v>
      </c>
      <c r="F295" t="inlineStr">
        <is>
          <t>DALARNAS LÄN</t>
        </is>
      </c>
      <c r="G295" t="inlineStr">
        <is>
          <t>VANSBRO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46197</v>
      </c>
      <c r="E296" s="1" t="n">
        <v>46314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öst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51396-2022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44869</v>
      </c>
      <c r="E297" s="1" t="n">
        <v>46314</v>
      </c>
      <c r="F297" t="inlineStr">
        <is>
          <t>DALARNAS LÄN</t>
        </is>
      </c>
      <c r="G297" t="inlineStr">
        <is>
          <t>VANSBRO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16948-2026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46113</v>
      </c>
      <c r="E298" s="1" t="n">
        <v>46314</v>
      </c>
      <c r="F298" t="inlineStr">
        <is>
          <t>DALARNAS LÄN</t>
        </is>
      </c>
      <c r="G298" t="inlineStr">
        <is>
          <t>VANSBRO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46119</v>
      </c>
      <c r="E299" s="1" t="n">
        <v>46314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46199</v>
      </c>
      <c r="E300" s="1" t="n">
        <v>46314</v>
      </c>
      <c r="F300" t="inlineStr">
        <is>
          <t>DALARNAS LÄN</t>
        </is>
      </c>
      <c r="G300" t="inlineStr">
        <is>
          <t>VANSBRO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46121</v>
      </c>
      <c r="E301" s="1" t="n">
        <v>46314</v>
      </c>
      <c r="F301" t="inlineStr">
        <is>
          <t>DALARNAS LÄN</t>
        </is>
      </c>
      <c r="G301" t="inlineStr">
        <is>
          <t>VANSBRO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46314</v>
      </c>
      <c r="F302" t="inlineStr">
        <is>
          <t>DALARNAS LÄN</t>
        </is>
      </c>
      <c r="G302" t="inlineStr">
        <is>
          <t>VANSBRO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46314</v>
      </c>
      <c r="F303" t="inlineStr">
        <is>
          <t>DALARNAS LÄN</t>
        </is>
      </c>
      <c r="G303" t="inlineStr">
        <is>
          <t>VANSBRO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46314</v>
      </c>
      <c r="F304" t="inlineStr">
        <is>
          <t>DALARNAS LÄN</t>
        </is>
      </c>
      <c r="G304" t="inlineStr">
        <is>
          <t>VANSBRO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46314</v>
      </c>
      <c r="F305" t="inlineStr">
        <is>
          <t>DALARNAS LÄN</t>
        </is>
      </c>
      <c r="G305" t="inlineStr">
        <is>
          <t>VANSBRO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46121</v>
      </c>
      <c r="E306" s="1" t="n">
        <v>46314</v>
      </c>
      <c r="F306" t="inlineStr">
        <is>
          <t>DALARNAS LÄN</t>
        </is>
      </c>
      <c r="G306" t="inlineStr">
        <is>
          <t>VANSBRO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36855-2022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44805</v>
      </c>
      <c r="E307" s="1" t="n">
        <v>46314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46120</v>
      </c>
      <c r="E308" s="1" t="n">
        <v>46314</v>
      </c>
      <c r="F308" t="inlineStr">
        <is>
          <t>DALARNAS LÄN</t>
        </is>
      </c>
      <c r="G308" t="inlineStr">
        <is>
          <t>VANSBRO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45299</v>
      </c>
      <c r="E309" s="1" t="n">
        <v>46314</v>
      </c>
      <c r="F309" t="inlineStr">
        <is>
          <t>DALARNAS LÄN</t>
        </is>
      </c>
      <c r="G309" t="inlineStr">
        <is>
          <t>VANSBRO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17998-2026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46124</v>
      </c>
      <c r="E310" s="1" t="n">
        <v>46314</v>
      </c>
      <c r="F310" t="inlineStr">
        <is>
          <t>DALARNAS LÄN</t>
        </is>
      </c>
      <c r="G310" t="inlineStr">
        <is>
          <t>VANSBRO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45689</v>
      </c>
      <c r="E311" s="1" t="n">
        <v>46314</v>
      </c>
      <c r="F311" t="inlineStr">
        <is>
          <t>DALARNAS LÄN</t>
        </is>
      </c>
      <c r="G311" t="inlineStr">
        <is>
          <t>VANSBRO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45689</v>
      </c>
      <c r="E312" s="1" t="n">
        <v>46314</v>
      </c>
      <c r="F312" t="inlineStr">
        <is>
          <t>DALARNAS LÄN</t>
        </is>
      </c>
      <c r="G312" t="inlineStr">
        <is>
          <t>VANSBRO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46314</v>
      </c>
      <c r="F313" t="inlineStr">
        <is>
          <t>DALARNAS LÄN</t>
        </is>
      </c>
      <c r="G313" t="inlineStr">
        <is>
          <t>VANSBRO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45631</v>
      </c>
      <c r="E314" s="1" t="n">
        <v>46314</v>
      </c>
      <c r="F314" t="inlineStr">
        <is>
          <t>DALARNAS LÄN</t>
        </is>
      </c>
      <c r="G314" t="inlineStr">
        <is>
          <t>VANSBRO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46314</v>
      </c>
      <c r="F315" t="inlineStr">
        <is>
          <t>DALARNAS LÄN</t>
        </is>
      </c>
      <c r="G315" t="inlineStr">
        <is>
          <t>VANSBRO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18717-2026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46128</v>
      </c>
      <c r="E316" s="1" t="n">
        <v>46314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18709-2026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46128</v>
      </c>
      <c r="E317" s="1" t="n">
        <v>46314</v>
      </c>
      <c r="F317" t="inlineStr">
        <is>
          <t>DALARNAS LÄN</t>
        </is>
      </c>
      <c r="G317" t="inlineStr">
        <is>
          <t>VANSBRO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18580-2026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46314</v>
      </c>
      <c r="F318" t="inlineStr">
        <is>
          <t>DALARNAS LÄN</t>
        </is>
      </c>
      <c r="G318" t="inlineStr">
        <is>
          <t>VANSBRO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18586-2026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46314</v>
      </c>
      <c r="F319" t="inlineStr">
        <is>
          <t>DALARNAS LÄN</t>
        </is>
      </c>
      <c r="G319" t="inlineStr">
        <is>
          <t>VANSBRO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46127</v>
      </c>
      <c r="E320" s="1" t="n">
        <v>46314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59736-2022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44908</v>
      </c>
      <c r="E321" s="1" t="n">
        <v>46314</v>
      </c>
      <c r="F321" t="inlineStr">
        <is>
          <t>DALARNAS LÄN</t>
        </is>
      </c>
      <c r="G321" t="inlineStr">
        <is>
          <t>VANSBRO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18823-2026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46128</v>
      </c>
      <c r="E322" s="1" t="n">
        <v>46314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13.1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46314</v>
      </c>
      <c r="F323" t="inlineStr">
        <is>
          <t>DALARNAS LÄN</t>
        </is>
      </c>
      <c r="G323" t="inlineStr">
        <is>
          <t>VANSBRO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29174-2026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46202</v>
      </c>
      <c r="E324" s="1" t="n">
        <v>46314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öst AB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46204</v>
      </c>
      <c r="E325" s="1" t="n">
        <v>46314</v>
      </c>
      <c r="F325" t="inlineStr">
        <is>
          <t>DALARNAS LÄN</t>
        </is>
      </c>
      <c r="G325" t="inlineStr">
        <is>
          <t>VANSBRO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46204</v>
      </c>
      <c r="E326" s="1" t="n">
        <v>46314</v>
      </c>
      <c r="F326" t="inlineStr">
        <is>
          <t>DALARNAS LÄN</t>
        </is>
      </c>
      <c r="G326" t="inlineStr">
        <is>
          <t>VANSBRO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46314</v>
      </c>
      <c r="F327" t="inlineStr">
        <is>
          <t>DALARNAS LÄN</t>
        </is>
      </c>
      <c r="G327" t="inlineStr">
        <is>
          <t>VANSBRO</t>
        </is>
      </c>
      <c r="H327" t="inlineStr">
        <is>
          <t>Övriga statliga verk och myndigheter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46314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28007-2025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46314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46314</v>
      </c>
      <c r="F330" t="inlineStr">
        <is>
          <t>DALARNAS LÄN</t>
        </is>
      </c>
      <c r="G330" t="inlineStr">
        <is>
          <t>VANSBRO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46204</v>
      </c>
      <c r="E331" s="1" t="n">
        <v>46314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29442-2026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46203</v>
      </c>
      <c r="E332" s="1" t="n">
        <v>46314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46203</v>
      </c>
      <c r="E333" s="1" t="n">
        <v>46314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46314</v>
      </c>
      <c r="F334" t="inlineStr">
        <is>
          <t>DALARNAS LÄN</t>
        </is>
      </c>
      <c r="G334" t="inlineStr">
        <is>
          <t>VANSBRO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46314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öst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45940</v>
      </c>
      <c r="E336" s="1" t="n">
        <v>46314</v>
      </c>
      <c r="F336" t="inlineStr">
        <is>
          <t>DALARNAS LÄN</t>
        </is>
      </c>
      <c r="G336" t="inlineStr">
        <is>
          <t>VANSBRO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20931-2022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44701</v>
      </c>
      <c r="E337" s="1" t="n">
        <v>46314</v>
      </c>
      <c r="F337" t="inlineStr">
        <is>
          <t>DALARNAS LÄN</t>
        </is>
      </c>
      <c r="G337" t="inlineStr">
        <is>
          <t>VANSBRO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45296</v>
      </c>
      <c r="E338" s="1" t="n">
        <v>46314</v>
      </c>
      <c r="F338" t="inlineStr">
        <is>
          <t>DALARNAS LÄN</t>
        </is>
      </c>
      <c r="G338" t="inlineStr">
        <is>
          <t>VANSBRO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20419-2025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46314</v>
      </c>
      <c r="F339" t="inlineStr">
        <is>
          <t>DALARNAS LÄN</t>
        </is>
      </c>
      <c r="G339" t="inlineStr">
        <is>
          <t>VANSBRO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45008</v>
      </c>
      <c r="E340" s="1" t="n">
        <v>46314</v>
      </c>
      <c r="F340" t="inlineStr">
        <is>
          <t>DALARNAS LÄN</t>
        </is>
      </c>
      <c r="G340" t="inlineStr">
        <is>
          <t>VANSBRO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46210</v>
      </c>
      <c r="E341" s="1" t="n">
        <v>46314</v>
      </c>
      <c r="F341" t="inlineStr">
        <is>
          <t>DALARNAS LÄN</t>
        </is>
      </c>
      <c r="G341" t="inlineStr">
        <is>
          <t>VANSBRO</t>
        </is>
      </c>
      <c r="H341" t="inlineStr">
        <is>
          <t>Övriga statliga verk och myndigheter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22756-2024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45448</v>
      </c>
      <c r="E342" s="1" t="n">
        <v>46314</v>
      </c>
      <c r="F342" t="inlineStr">
        <is>
          <t>DALARNAS LÄN</t>
        </is>
      </c>
      <c r="G342" t="inlineStr">
        <is>
          <t>VANSBRO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46210</v>
      </c>
      <c r="E343" s="1" t="n">
        <v>46314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30784-2026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46212</v>
      </c>
      <c r="E344" s="1" t="n">
        <v>46314</v>
      </c>
      <c r="F344" t="inlineStr">
        <is>
          <t>DALARNAS LÄN</t>
        </is>
      </c>
      <c r="G344" t="inlineStr">
        <is>
          <t>VANSBRO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30796-2026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46212</v>
      </c>
      <c r="E345" s="1" t="n">
        <v>46314</v>
      </c>
      <c r="F345" t="inlineStr">
        <is>
          <t>DALARNAS LÄN</t>
        </is>
      </c>
      <c r="G345" t="inlineStr">
        <is>
          <t>VANSBRO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46314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44930</v>
      </c>
      <c r="E347" s="1" t="n">
        <v>46314</v>
      </c>
      <c r="F347" t="inlineStr">
        <is>
          <t>DALARNAS LÄN</t>
        </is>
      </c>
      <c r="G347" t="inlineStr">
        <is>
          <t>VANSBRO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61717-2023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45265</v>
      </c>
      <c r="E348" s="1" t="n">
        <v>46314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45471</v>
      </c>
      <c r="E349" s="1" t="n">
        <v>46314</v>
      </c>
      <c r="F349" t="inlineStr">
        <is>
          <t>DALARNAS LÄN</t>
        </is>
      </c>
      <c r="G349" t="inlineStr">
        <is>
          <t>VANSBRO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46314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36710-2026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46272</v>
      </c>
      <c r="E351" s="1" t="n">
        <v>46314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46272</v>
      </c>
      <c r="E352" s="1" t="n">
        <v>46314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36706-2026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46272</v>
      </c>
      <c r="E353" s="1" t="n">
        <v>46314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11485-2024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45372</v>
      </c>
      <c r="E354" s="1" t="n">
        <v>46314</v>
      </c>
      <c r="F354" t="inlineStr">
        <is>
          <t>DALARNAS LÄN</t>
        </is>
      </c>
      <c r="G354" t="inlineStr">
        <is>
          <t>VANSBRO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37433-2026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46275</v>
      </c>
      <c r="E355" s="1" t="n">
        <v>46314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46275</v>
      </c>
      <c r="E356" s="1" t="n">
        <v>46314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37467-2026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46275</v>
      </c>
      <c r="E357" s="1" t="n">
        <v>46314</v>
      </c>
      <c r="F357" t="inlineStr">
        <is>
          <t>DALARNAS LÄN</t>
        </is>
      </c>
      <c r="G357" t="inlineStr">
        <is>
          <t>VANSBRO</t>
        </is>
      </c>
      <c r="H357" t="inlineStr">
        <is>
          <t>Kommuner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43570-2023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45184</v>
      </c>
      <c r="E358" s="1" t="n">
        <v>46314</v>
      </c>
      <c r="F358" t="inlineStr">
        <is>
          <t>DALARNAS LÄN</t>
        </is>
      </c>
      <c r="G358" t="inlineStr">
        <is>
          <t>VANSBRO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46275</v>
      </c>
      <c r="E359" s="1" t="n">
        <v>46314</v>
      </c>
      <c r="F359" t="inlineStr">
        <is>
          <t>DALARNAS LÄN</t>
        </is>
      </c>
      <c r="G359" t="inlineStr">
        <is>
          <t>VANSBRO</t>
        </is>
      </c>
      <c r="H359" t="inlineStr">
        <is>
          <t>Kyrkan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46274</v>
      </c>
      <c r="E360" s="1" t="n">
        <v>46314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31867-2026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46231</v>
      </c>
      <c r="E361" s="1" t="n">
        <v>46314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20.2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45082</v>
      </c>
      <c r="E362" s="1" t="n">
        <v>46314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50741-2022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44867</v>
      </c>
      <c r="E363" s="1" t="n">
        <v>46314</v>
      </c>
      <c r="F363" t="inlineStr">
        <is>
          <t>DALARNAS LÄN</t>
        </is>
      </c>
      <c r="G363" t="inlineStr">
        <is>
          <t>VANSBRO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43589-2022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44837</v>
      </c>
      <c r="E364" s="1" t="n">
        <v>46314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16823-2025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45754</v>
      </c>
      <c r="E365" s="1" t="n">
        <v>46314</v>
      </c>
      <c r="F365" t="inlineStr">
        <is>
          <t>DALARNAS LÄN</t>
        </is>
      </c>
      <c r="G365" t="inlineStr">
        <is>
          <t>VANSBRO</t>
        </is>
      </c>
      <c r="I365" t="n">
        <v>9.9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46276</v>
      </c>
      <c r="E366" s="1" t="n">
        <v>46314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17807-2022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44673</v>
      </c>
      <c r="E367" s="1" t="n">
        <v>46314</v>
      </c>
      <c r="F367" t="inlineStr">
        <is>
          <t>DALARNAS LÄN</t>
        </is>
      </c>
      <c r="G367" t="inlineStr">
        <is>
          <t>VANSBRO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46276</v>
      </c>
      <c r="E368" s="1" t="n">
        <v>46314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45240</v>
      </c>
      <c r="E369" s="1" t="n">
        <v>46314</v>
      </c>
      <c r="F369" t="inlineStr">
        <is>
          <t>DALARNAS LÄN</t>
        </is>
      </c>
      <c r="G369" t="inlineStr">
        <is>
          <t>VANSBRO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33520-2024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45519</v>
      </c>
      <c r="E370" s="1" t="n">
        <v>46314</v>
      </c>
      <c r="F370" t="inlineStr">
        <is>
          <t>DALARNAS LÄN</t>
        </is>
      </c>
      <c r="G370" t="inlineStr">
        <is>
          <t>VANSBRO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38253-2026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46281</v>
      </c>
      <c r="E371" s="1" t="n">
        <v>46314</v>
      </c>
      <c r="F371" t="inlineStr">
        <is>
          <t>DALARNAS LÄN</t>
        </is>
      </c>
      <c r="G371" t="inlineStr">
        <is>
          <t>VANSBRO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37964-2026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46280</v>
      </c>
      <c r="E372" s="1" t="n">
        <v>46314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46280</v>
      </c>
      <c r="E373" s="1" t="n">
        <v>46314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46280</v>
      </c>
      <c r="E374" s="1" t="n">
        <v>46314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46280</v>
      </c>
      <c r="E375" s="1" t="n">
        <v>46314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öst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32393-2026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46238</v>
      </c>
      <c r="E376" s="1" t="n">
        <v>46314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29.6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51606-2023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45222</v>
      </c>
      <c r="E377" s="1" t="n">
        <v>46314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46281</v>
      </c>
      <c r="E378" s="1" t="n">
        <v>46314</v>
      </c>
      <c r="F378" t="inlineStr">
        <is>
          <t>DALARNAS LÄN</t>
        </is>
      </c>
      <c r="G378" t="inlineStr">
        <is>
          <t>VANSBRO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38248-2026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46281</v>
      </c>
      <c r="E379" s="1" t="n">
        <v>46314</v>
      </c>
      <c r="F379" t="inlineStr">
        <is>
          <t>DALARNAS LÄN</t>
        </is>
      </c>
      <c r="G379" t="inlineStr">
        <is>
          <t>VANSBRO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48005-2022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44855</v>
      </c>
      <c r="E380" s="1" t="n">
        <v>46314</v>
      </c>
      <c r="F380" t="inlineStr">
        <is>
          <t>DALARNAS LÄN</t>
        </is>
      </c>
      <c r="G380" t="inlineStr">
        <is>
          <t>VANSBRO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38231-2026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46281</v>
      </c>
      <c r="E381" s="1" t="n">
        <v>46314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56773-2023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45244</v>
      </c>
      <c r="E382" s="1" t="n">
        <v>46314</v>
      </c>
      <c r="F382" t="inlineStr">
        <is>
          <t>DALARNAS LÄN</t>
        </is>
      </c>
      <c r="G382" t="inlineStr">
        <is>
          <t>VANSBRO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60031-2022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44909</v>
      </c>
      <c r="E383" s="1" t="n">
        <v>46314</v>
      </c>
      <c r="F383" t="inlineStr">
        <is>
          <t>DALARNAS LÄN</t>
        </is>
      </c>
      <c r="G383" t="inlineStr">
        <is>
          <t>VANSBRO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38644-2026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46283</v>
      </c>
      <c r="E384" s="1" t="n">
        <v>46314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38627-2026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46283</v>
      </c>
      <c r="E385" s="1" t="n">
        <v>46314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5420-2024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45331</v>
      </c>
      <c r="E386" s="1" t="n">
        <v>46314</v>
      </c>
      <c r="F386" t="inlineStr">
        <is>
          <t>DALARNAS LÄN</t>
        </is>
      </c>
      <c r="G386" t="inlineStr">
        <is>
          <t>VANSBRO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45254</v>
      </c>
      <c r="E387" s="1" t="n">
        <v>46314</v>
      </c>
      <c r="F387" t="inlineStr">
        <is>
          <t>DALARNAS LÄN</t>
        </is>
      </c>
      <c r="G387" t="inlineStr">
        <is>
          <t>VANSBRO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11274-2024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45371</v>
      </c>
      <c r="E388" s="1" t="n">
        <v>46314</v>
      </c>
      <c r="F388" t="inlineStr">
        <is>
          <t>DALARNAS LÄN</t>
        </is>
      </c>
      <c r="G388" t="inlineStr">
        <is>
          <t>VANSBRO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44930</v>
      </c>
      <c r="E389" s="1" t="n">
        <v>46314</v>
      </c>
      <c r="F389" t="inlineStr">
        <is>
          <t>DALARNAS LÄN</t>
        </is>
      </c>
      <c r="G389" t="inlineStr">
        <is>
          <t>VANSBRO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45244</v>
      </c>
      <c r="E390" s="1" t="n">
        <v>46314</v>
      </c>
      <c r="F390" t="inlineStr">
        <is>
          <t>DALARNAS LÄN</t>
        </is>
      </c>
      <c r="G390" t="inlineStr">
        <is>
          <t>VANSBRO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38797-2026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46286</v>
      </c>
      <c r="E391" s="1" t="n">
        <v>46314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57903-2024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45631</v>
      </c>
      <c r="E392" s="1" t="n">
        <v>46314</v>
      </c>
      <c r="F392" t="inlineStr">
        <is>
          <t>DALARNAS LÄN</t>
        </is>
      </c>
      <c r="G392" t="inlineStr">
        <is>
          <t>VANSBRO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46314</v>
      </c>
      <c r="F393" t="inlineStr">
        <is>
          <t>DALARNAS LÄN</t>
        </is>
      </c>
      <c r="G393" t="inlineStr">
        <is>
          <t>VANSBRO</t>
        </is>
      </c>
      <c r="H393" t="inlineStr">
        <is>
          <t>Kommuner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46314</v>
      </c>
      <c r="F394" t="inlineStr">
        <is>
          <t>DALARNAS LÄN</t>
        </is>
      </c>
      <c r="G394" t="inlineStr">
        <is>
          <t>VANSBRO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39352-2026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46288</v>
      </c>
      <c r="E395" s="1" t="n">
        <v>46314</v>
      </c>
      <c r="F395" t="inlineStr">
        <is>
          <t>DALARNAS LÄN</t>
        </is>
      </c>
      <c r="G395" t="inlineStr">
        <is>
          <t>VANSBRO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46289</v>
      </c>
      <c r="E396" s="1" t="n">
        <v>46314</v>
      </c>
      <c r="F396" t="inlineStr">
        <is>
          <t>DALARNAS LÄN</t>
        </is>
      </c>
      <c r="G396" t="inlineStr">
        <is>
          <t>VANSBRO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57947-2023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45247</v>
      </c>
      <c r="E397" s="1" t="n">
        <v>46314</v>
      </c>
      <c r="F397" t="inlineStr">
        <is>
          <t>DALARNAS LÄN</t>
        </is>
      </c>
      <c r="G397" t="inlineStr">
        <is>
          <t>VANSBRO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44931</v>
      </c>
      <c r="E398" s="1" t="n">
        <v>46314</v>
      </c>
      <c r="F398" t="inlineStr">
        <is>
          <t>DALARNAS LÄN</t>
        </is>
      </c>
      <c r="G398" t="inlineStr">
        <is>
          <t>VANSBRO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47790-2024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46314</v>
      </c>
      <c r="F399" t="inlineStr">
        <is>
          <t>DALARNAS LÄN</t>
        </is>
      </c>
      <c r="G399" t="inlineStr">
        <is>
          <t>VANSBRO</t>
        </is>
      </c>
      <c r="H399" t="inlineStr">
        <is>
          <t>Övriga statliga verk och myndigheter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18658-2025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45763</v>
      </c>
      <c r="E400" s="1" t="n">
        <v>46314</v>
      </c>
      <c r="F400" t="inlineStr">
        <is>
          <t>DALARNAS LÄN</t>
        </is>
      </c>
      <c r="G400" t="inlineStr">
        <is>
          <t>VANSBRO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40382-2023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45169</v>
      </c>
      <c r="E401" s="1" t="n">
        <v>46314</v>
      </c>
      <c r="F401" t="inlineStr">
        <is>
          <t>DALARNAS LÄN</t>
        </is>
      </c>
      <c r="G401" t="inlineStr">
        <is>
          <t>VANSBRO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39871-2026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46290</v>
      </c>
      <c r="E402" s="1" t="n">
        <v>46314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45491</v>
      </c>
      <c r="E403" s="1" t="n">
        <v>46314</v>
      </c>
      <c r="F403" t="inlineStr">
        <is>
          <t>DALARNAS LÄN</t>
        </is>
      </c>
      <c r="G403" t="inlineStr">
        <is>
          <t>VANSBRO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40012-2026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46293</v>
      </c>
      <c r="E404" s="1" t="n">
        <v>46314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45672</v>
      </c>
      <c r="E405" s="1" t="n">
        <v>46314</v>
      </c>
      <c r="F405" t="inlineStr">
        <is>
          <t>DALARNAS LÄN</t>
        </is>
      </c>
      <c r="G405" t="inlineStr">
        <is>
          <t>VANSBRO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45762</v>
      </c>
      <c r="E406" s="1" t="n">
        <v>46314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45722</v>
      </c>
      <c r="E407" s="1" t="n">
        <v>46314</v>
      </c>
      <c r="F407" t="inlineStr">
        <is>
          <t>DALARNAS LÄN</t>
        </is>
      </c>
      <c r="G407" t="inlineStr">
        <is>
          <t>VANSBRO</t>
        </is>
      </c>
      <c r="I407" t="n">
        <v>15.5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45700</v>
      </c>
      <c r="E408" s="1" t="n">
        <v>46314</v>
      </c>
      <c r="F408" t="inlineStr">
        <is>
          <t>DALARNAS LÄN</t>
        </is>
      </c>
      <c r="G408" t="inlineStr">
        <is>
          <t>VANSBRO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33953-2026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46252</v>
      </c>
      <c r="E409" s="1" t="n">
        <v>46314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33944-2026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46252</v>
      </c>
      <c r="E410" s="1" t="n">
        <v>46314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40447-2026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46294</v>
      </c>
      <c r="E411" s="1" t="n">
        <v>46314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40367-2026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46294</v>
      </c>
      <c r="E412" s="1" t="n">
        <v>46314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40143-2026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46293</v>
      </c>
      <c r="E413" s="1" t="n">
        <v>46314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33949-2026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46252</v>
      </c>
      <c r="E414" s="1" t="n">
        <v>46314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40424-2026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46294</v>
      </c>
      <c r="E415" s="1" t="n">
        <v>46314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40343-2026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46294</v>
      </c>
      <c r="E416" s="1" t="n">
        <v>46314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40391-2026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46294</v>
      </c>
      <c r="E417" s="1" t="n">
        <v>46314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46314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61515-2022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44916</v>
      </c>
      <c r="E419" s="1" t="n">
        <v>46314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46297</v>
      </c>
      <c r="E420" s="1" t="n">
        <v>46314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46314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34207-2026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46253</v>
      </c>
      <c r="E422" s="1" t="n">
        <v>46314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12.1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46253</v>
      </c>
      <c r="E423" s="1" t="n">
        <v>46314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34211-2026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46314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41015-2026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46297</v>
      </c>
      <c r="E425" s="1" t="n">
        <v>46314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öst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46314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46253</v>
      </c>
      <c r="E427" s="1" t="n">
        <v>46314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27930-2026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46191</v>
      </c>
      <c r="E428" s="1" t="n">
        <v>46314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50125-2023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45215</v>
      </c>
      <c r="E429" s="1" t="n">
        <v>46314</v>
      </c>
      <c r="F429" t="inlineStr">
        <is>
          <t>DALARNAS LÄN</t>
        </is>
      </c>
      <c r="G429" t="inlineStr">
        <is>
          <t>VANSBRO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46314</v>
      </c>
      <c r="F430" t="inlineStr">
        <is>
          <t>DALARNAS LÄN</t>
        </is>
      </c>
      <c r="G430" t="inlineStr">
        <is>
          <t>VANSBRO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41183-2026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46300</v>
      </c>
      <c r="E431" s="1" t="n">
        <v>46314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41285-2026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46300</v>
      </c>
      <c r="E432" s="1" t="n">
        <v>46314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46062</v>
      </c>
      <c r="E433" s="1" t="n">
        <v>46314</v>
      </c>
      <c r="F433" t="inlineStr">
        <is>
          <t>DALARNAS LÄN</t>
        </is>
      </c>
      <c r="G433" t="inlineStr">
        <is>
          <t>VANSBRO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21616-2025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45783</v>
      </c>
      <c r="E434" s="1" t="n">
        <v>46314</v>
      </c>
      <c r="F434" t="inlineStr">
        <is>
          <t>DALARNAS LÄN</t>
        </is>
      </c>
      <c r="G434" t="inlineStr">
        <is>
          <t>VANSBRO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41176-2026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46300</v>
      </c>
      <c r="E435" s="1" t="n">
        <v>46314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19.7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2558-2025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45674</v>
      </c>
      <c r="E436" s="1" t="n">
        <v>46314</v>
      </c>
      <c r="F436" t="inlineStr">
        <is>
          <t>DALARNAS LÄN</t>
        </is>
      </c>
      <c r="G436" t="inlineStr">
        <is>
          <t>VANSBRO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21656-2025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45783</v>
      </c>
      <c r="E437" s="1" t="n">
        <v>46314</v>
      </c>
      <c r="F437" t="inlineStr">
        <is>
          <t>DALARNAS LÄN</t>
        </is>
      </c>
      <c r="G437" t="inlineStr">
        <is>
          <t>VANSBRO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46314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29288-2024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45483</v>
      </c>
      <c r="E439" s="1" t="n">
        <v>46314</v>
      </c>
      <c r="F439" t="inlineStr">
        <is>
          <t>DALARNAS LÄN</t>
        </is>
      </c>
      <c r="G439" t="inlineStr">
        <is>
          <t>VANSBRO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45492</v>
      </c>
      <c r="E440" s="1" t="n">
        <v>46314</v>
      </c>
      <c r="F440" t="inlineStr">
        <is>
          <t>DALARNAS LÄN</t>
        </is>
      </c>
      <c r="G440" t="inlineStr">
        <is>
          <t>VANSBRO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44719</v>
      </c>
      <c r="E441" s="1" t="n">
        <v>46314</v>
      </c>
      <c r="F441" t="inlineStr">
        <is>
          <t>DALARNAS LÄN</t>
        </is>
      </c>
      <c r="G441" t="inlineStr">
        <is>
          <t>VANSBRO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41279-2026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46300</v>
      </c>
      <c r="E442" s="1" t="n">
        <v>46314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41858-2026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46303</v>
      </c>
      <c r="E443" s="1" t="n">
        <v>46314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öst AB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35042-2026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46259</v>
      </c>
      <c r="E444" s="1" t="n">
        <v>46314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41606-2026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46302</v>
      </c>
      <c r="E445" s="1" t="n">
        <v>46314</v>
      </c>
      <c r="F445" t="inlineStr">
        <is>
          <t>DALARNAS LÄN</t>
        </is>
      </c>
      <c r="G445" t="inlineStr">
        <is>
          <t>VANSBRO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41921-2026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46303</v>
      </c>
      <c r="E446" s="1" t="n">
        <v>46314</v>
      </c>
      <c r="F446" t="inlineStr">
        <is>
          <t>DALARNAS LÄN</t>
        </is>
      </c>
      <c r="G446" t="inlineStr">
        <is>
          <t>VANSBRO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46302</v>
      </c>
      <c r="E447" s="1" t="n">
        <v>46314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35050-2026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46259</v>
      </c>
      <c r="E448" s="1" t="n">
        <v>46314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23792-2025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45793</v>
      </c>
      <c r="E449" s="1" t="n">
        <v>46314</v>
      </c>
      <c r="F449" t="inlineStr">
        <is>
          <t>DALARNAS LÄN</t>
        </is>
      </c>
      <c r="G449" t="inlineStr">
        <is>
          <t>VANSBRO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45688</v>
      </c>
      <c r="E450" s="1" t="n">
        <v>46314</v>
      </c>
      <c r="F450" t="inlineStr">
        <is>
          <t>DALARNAS LÄN</t>
        </is>
      </c>
      <c r="G450" t="inlineStr">
        <is>
          <t>VANSBRO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42352-2026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46307</v>
      </c>
      <c r="E451" s="1" t="n">
        <v>46314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29411-2024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45483</v>
      </c>
      <c r="E452" s="1" t="n">
        <v>46314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35579-2026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46262</v>
      </c>
      <c r="E453" s="1" t="n">
        <v>46314</v>
      </c>
      <c r="F453" t="inlineStr">
        <is>
          <t>DALARNAS LÄN</t>
        </is>
      </c>
      <c r="G453" t="inlineStr">
        <is>
          <t>VANSBRO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35516-2024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45531</v>
      </c>
      <c r="E454" s="1" t="n">
        <v>46314</v>
      </c>
      <c r="F454" t="inlineStr">
        <is>
          <t>DALARNAS LÄN</t>
        </is>
      </c>
      <c r="G454" t="inlineStr">
        <is>
          <t>VANSBRO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45890</v>
      </c>
      <c r="E455" s="1" t="n">
        <v>46314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45798</v>
      </c>
      <c r="E456" s="1" t="n">
        <v>46314</v>
      </c>
      <c r="F456" t="inlineStr">
        <is>
          <t>DALARNAS LÄN</t>
        </is>
      </c>
      <c r="G456" t="inlineStr">
        <is>
          <t>VANSBRO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42021-2026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46304</v>
      </c>
      <c r="E457" s="1" t="n">
        <v>46314</v>
      </c>
      <c r="F457" t="inlineStr">
        <is>
          <t>DALARNAS LÄN</t>
        </is>
      </c>
      <c r="G457" t="inlineStr">
        <is>
          <t>VANSBRO</t>
        </is>
      </c>
      <c r="I457" t="n">
        <v>9.1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42026-2026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46304</v>
      </c>
      <c r="E458" s="1" t="n">
        <v>46314</v>
      </c>
      <c r="F458" t="inlineStr">
        <is>
          <t>DALARNAS LÄN</t>
        </is>
      </c>
      <c r="G458" t="inlineStr">
        <is>
          <t>VANSBRO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46314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46314</v>
      </c>
      <c r="F460" t="inlineStr">
        <is>
          <t>DALARNAS LÄN</t>
        </is>
      </c>
      <c r="G460" t="inlineStr">
        <is>
          <t>VANSBRO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42482-2026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46308</v>
      </c>
      <c r="E461" s="1" t="n">
        <v>46314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46266</v>
      </c>
      <c r="E462" s="1" t="n">
        <v>46314</v>
      </c>
      <c r="F462" t="inlineStr">
        <is>
          <t>DALARNAS LÄN</t>
        </is>
      </c>
      <c r="G462" t="inlineStr">
        <is>
          <t>VANSBRO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46309</v>
      </c>
      <c r="E463" s="1" t="n">
        <v>46314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42668-2026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46309</v>
      </c>
      <c r="E464" s="1" t="n">
        <v>46314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42424-2026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46308</v>
      </c>
      <c r="E465" s="1" t="n">
        <v>46314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väst AB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26510-2025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45807</v>
      </c>
      <c r="E466" s="1" t="n">
        <v>46314</v>
      </c>
      <c r="F466" t="inlineStr">
        <is>
          <t>DALARNAS LÄN</t>
        </is>
      </c>
      <c r="G466" t="inlineStr">
        <is>
          <t>VANSBRO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26508-2025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45807</v>
      </c>
      <c r="E467" s="1" t="n">
        <v>46314</v>
      </c>
      <c r="F467" t="inlineStr">
        <is>
          <t>DALARNAS LÄN</t>
        </is>
      </c>
      <c r="G467" t="inlineStr">
        <is>
          <t>VANSBRO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42479-2026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46308</v>
      </c>
      <c r="E468" s="1" t="n">
        <v>46314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35752-2026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46265</v>
      </c>
      <c r="E469" s="1" t="n">
        <v>46314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öst AB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26990-2025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45811</v>
      </c>
      <c r="E470" s="1" t="n">
        <v>46314</v>
      </c>
      <c r="F470" t="inlineStr">
        <is>
          <t>DALARNAS LÄN</t>
        </is>
      </c>
      <c r="G470" t="inlineStr">
        <is>
          <t>VANSBRO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26995-2025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45811</v>
      </c>
      <c r="E471" s="1" t="n">
        <v>46314</v>
      </c>
      <c r="F471" t="inlineStr">
        <is>
          <t>DALARNAS LÄN</t>
        </is>
      </c>
      <c r="G471" t="inlineStr">
        <is>
          <t>VANSBRO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6050-2025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45695</v>
      </c>
      <c r="E472" s="1" t="n">
        <v>46314</v>
      </c>
      <c r="F472" t="inlineStr">
        <is>
          <t>DALARNAS LÄN</t>
        </is>
      </c>
      <c r="G472" t="inlineStr">
        <is>
          <t>VANSBRO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36377-2026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46268</v>
      </c>
      <c r="E473" s="1" t="n">
        <v>46314</v>
      </c>
      <c r="F473" t="inlineStr">
        <is>
          <t>DALARNAS LÄN</t>
        </is>
      </c>
      <c r="G473" t="inlineStr">
        <is>
          <t>VANSBRO</t>
        </is>
      </c>
      <c r="H473" t="inlineStr">
        <is>
          <t>Kyrkan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46268</v>
      </c>
      <c r="E474" s="1" t="n">
        <v>46314</v>
      </c>
      <c r="F474" t="inlineStr">
        <is>
          <t>DALARNAS LÄN</t>
        </is>
      </c>
      <c r="G474" t="inlineStr">
        <is>
          <t>VANSBRO</t>
        </is>
      </c>
      <c r="H474" t="inlineStr">
        <is>
          <t>Kyrkan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45819</v>
      </c>
      <c r="E475" s="1" t="n">
        <v>46314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öst AB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29281-2025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45824</v>
      </c>
      <c r="E476" s="1" t="n">
        <v>46314</v>
      </c>
      <c r="F476" t="inlineStr">
        <is>
          <t>DALARNAS LÄN</t>
        </is>
      </c>
      <c r="G476" t="inlineStr">
        <is>
          <t>VANSBRO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46268</v>
      </c>
      <c r="E477" s="1" t="n">
        <v>46314</v>
      </c>
      <c r="F477" t="inlineStr">
        <is>
          <t>DALARNAS LÄN</t>
        </is>
      </c>
      <c r="G477" t="inlineStr">
        <is>
          <t>VANSBRO</t>
        </is>
      </c>
      <c r="H477" t="inlineStr">
        <is>
          <t>Kyrkan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45832</v>
      </c>
      <c r="E478" s="1" t="n">
        <v>46314</v>
      </c>
      <c r="F478" t="inlineStr">
        <is>
          <t>DALARNAS LÄN</t>
        </is>
      </c>
      <c r="G478" t="inlineStr">
        <is>
          <t>VANSBRO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45833</v>
      </c>
      <c r="E479" s="1" t="n">
        <v>46314</v>
      </c>
      <c r="F479" t="inlineStr">
        <is>
          <t>DALARNAS LÄN</t>
        </is>
      </c>
      <c r="G479" t="inlineStr">
        <is>
          <t>VANSBRO</t>
        </is>
      </c>
      <c r="I479" t="n">
        <v>27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31489-2025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45833</v>
      </c>
      <c r="E480" s="1" t="n">
        <v>46314</v>
      </c>
      <c r="F480" t="inlineStr">
        <is>
          <t>DALARNAS LÄN</t>
        </is>
      </c>
      <c r="G480" t="inlineStr">
        <is>
          <t>VANSBRO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32040-2025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45835</v>
      </c>
      <c r="E481" s="1" t="n">
        <v>46314</v>
      </c>
      <c r="F481" t="inlineStr">
        <is>
          <t>DALARNAS LÄN</t>
        </is>
      </c>
      <c r="G481" t="inlineStr">
        <is>
          <t>VANSBRO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33109-2025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45840</v>
      </c>
      <c r="E482" s="1" t="n">
        <v>46314</v>
      </c>
      <c r="F482" t="inlineStr">
        <is>
          <t>DALARNAS LÄN</t>
        </is>
      </c>
      <c r="G482" t="inlineStr">
        <is>
          <t>VANSBRO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45840</v>
      </c>
      <c r="E483" s="1" t="n">
        <v>46314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öst AB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33036-2025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46314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34440-2025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45846</v>
      </c>
      <c r="E485" s="1" t="n">
        <v>46314</v>
      </c>
      <c r="F485" t="inlineStr">
        <is>
          <t>DALARNAS LÄN</t>
        </is>
      </c>
      <c r="G485" t="inlineStr">
        <is>
          <t>VANSBRO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35284-2025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45854</v>
      </c>
      <c r="E486" s="1" t="n">
        <v>46314</v>
      </c>
      <c r="F486" t="inlineStr">
        <is>
          <t>DALARNAS LÄN</t>
        </is>
      </c>
      <c r="G486" t="inlineStr">
        <is>
          <t>VANSBRO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17366-2025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45756</v>
      </c>
      <c r="E487" s="1" t="n">
        <v>46314</v>
      </c>
      <c r="F487" t="inlineStr">
        <is>
          <t>DALARNAS LÄN</t>
        </is>
      </c>
      <c r="G487" t="inlineStr">
        <is>
          <t>VANSBRO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35782-2025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45860</v>
      </c>
      <c r="E488" s="1" t="n">
        <v>46314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öst AB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16830-2025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45754</v>
      </c>
      <c r="E489" s="1" t="n">
        <v>46314</v>
      </c>
      <c r="F489" t="inlineStr">
        <is>
          <t>DALARNAS LÄN</t>
        </is>
      </c>
      <c r="G489" t="inlineStr">
        <is>
          <t>VANSBRO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36382-2025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45868</v>
      </c>
      <c r="E490" s="1" t="n">
        <v>46314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öst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37285-2025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45876</v>
      </c>
      <c r="E491" s="1" t="n">
        <v>46314</v>
      </c>
      <c r="F491" t="inlineStr">
        <is>
          <t>DALARNAS LÄN</t>
        </is>
      </c>
      <c r="G491" t="inlineStr">
        <is>
          <t>VANSBRO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37287-2025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45876</v>
      </c>
      <c r="E492" s="1" t="n">
        <v>46314</v>
      </c>
      <c r="F492" t="inlineStr">
        <is>
          <t>DALARNAS LÄN</t>
        </is>
      </c>
      <c r="G492" t="inlineStr">
        <is>
          <t>VANSBRO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1286-2024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45401</v>
      </c>
      <c r="E493" s="1" t="n">
        <v>46314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väst AB</t>
        </is>
      </c>
      <c r="I493" t="n">
        <v>220.8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4782-2022</t>
        </is>
      </c>
      <c r="B494" t="inlineStr">
        <is>
          <t>samrådsanmälan</t>
        </is>
      </c>
      <c r="C494" t="inlineStr">
        <is>
          <t>Skogsbilväg</t>
        </is>
      </c>
      <c r="D494" s="1" t="n">
        <v>44802</v>
      </c>
      <c r="E494" s="1" t="n">
        <v>46314</v>
      </c>
      <c r="F494" t="inlineStr">
        <is>
          <t>DALARNAS LÄN</t>
        </is>
      </c>
      <c r="G494" t="inlineStr">
        <is>
          <t>VANSBRO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3514-2023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45208</v>
      </c>
      <c r="E495" s="1" t="n">
        <v>46314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37.8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409-2025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45699</v>
      </c>
      <c r="E496" s="1" t="n">
        <v>46314</v>
      </c>
      <c r="F496" t="inlineStr">
        <is>
          <t>DALARNAS LÄN</t>
        </is>
      </c>
      <c r="G496" t="inlineStr">
        <is>
          <t>VANSBRO</t>
        </is>
      </c>
      <c r="H496" t="inlineStr">
        <is>
          <t>Bergvik skog öst AB</t>
        </is>
      </c>
      <c r="I496" t="n">
        <v>277.1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91-2026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46035</v>
      </c>
      <c r="E497" s="1" t="n">
        <v>46314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väst AB</t>
        </is>
      </c>
      <c r="I497" t="n">
        <v>153.5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>
      <c r="A498" t="inlineStr">
        <is>
          <t>S 747-2026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46089</v>
      </c>
      <c r="E498" s="1" t="n">
        <v>46314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öst AB</t>
        </is>
      </c>
      <c r="I498" t="n">
        <v>82.40000000000001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2026-10-19T02:04:24Z</dcterms:created>
  <dcterms:modified xmlns:dcterms="http://purl.org/dc/terms/" xmlns:xsi="http://www.w3.org/2001/XMLSchema-instance" xsi:type="dcterms:W3CDTF">2026-10-19T02:04:25Z</dcterms:modified>
</cp:coreProperties>
</file>