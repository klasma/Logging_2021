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46217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46217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46217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46217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46217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46217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46217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46217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46217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46217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46217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46217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46217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46217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46217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45735</v>
      </c>
      <c r="E18" s="1" t="n">
        <v>46217</v>
      </c>
      <c r="F18" t="inlineStr">
        <is>
          <t>DALARNAS LÄN</t>
        </is>
      </c>
      <c r="G18" t="inlineStr">
        <is>
          <t>VANSBRO</t>
        </is>
      </c>
      <c r="I18" t="n">
        <v>0.4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s="2" t="inlineStr">
        <is>
          <t>Garnlav
Knärot
Dropptaggsvamp
Mörk kolflarnlav</t>
        </is>
      </c>
      <c r="V18">
        <f>HYPERLINK("https://klasma.github.io/Logging_2021/artfynd/A 13339-2025 artfynd.xlsx", "A 13339-2025")</f>
        <v/>
      </c>
      <c r="W18">
        <f>HYPERLINK("https://klasma.github.io/Logging_2021/kartor/A 13339-2025 karta.png", "A 13339-2025")</f>
        <v/>
      </c>
      <c r="X18">
        <f>HYPERLINK("https://klasma.github.io/Logging_2021/knärot/A 13339-2025 karta knärot.png", "A 13339-2025")</f>
        <v/>
      </c>
      <c r="Y18">
        <f>HYPERLINK("https://klasma.github.io/Logging_2021/klagomål/A 13339-2025 FSC-klagomål.docx", "A 13339-2025")</f>
        <v/>
      </c>
      <c r="Z18">
        <f>HYPERLINK("https://klasma.github.io/Logging_2021/klagomålsmail/A 13339-2025 FSC-klagomål mail.docx", "A 13339-2025")</f>
        <v/>
      </c>
      <c r="AA18">
        <f>HYPERLINK("https://klasma.github.io/Logging_2021/tillsyn/A 13339-2025 tillsynsbegäran.docx", "A 13339-2025")</f>
        <v/>
      </c>
      <c r="AB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46217</v>
      </c>
      <c r="F19" t="inlineStr">
        <is>
          <t>DALARNAS LÄN</t>
        </is>
      </c>
      <c r="G19" t="inlineStr">
        <is>
          <t>VANSBRO</t>
        </is>
      </c>
      <c r="I19" t="n">
        <v>0.5</v>
      </c>
      <c r="J19" t="n">
        <v>2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s="2" t="inlineStr">
        <is>
          <t>Knärot
Mörk kolflarnlav
Ullticka
Tjäder</t>
        </is>
      </c>
      <c r="V19">
        <f>HYPERLINK("https://klasma.github.io/Logging_2021/artfynd/A 13344-2025 artfynd.xlsx", "A 13344-2025")</f>
        <v/>
      </c>
      <c r="W19">
        <f>HYPERLINK("https://klasma.github.io/Logging_2021/kartor/A 13344-2025 karta.png", "A 13344-2025")</f>
        <v/>
      </c>
      <c r="X19">
        <f>HYPERLINK("https://klasma.github.io/Logging_2021/knärot/A 13344-2025 karta knärot.png", "A 13344-2025")</f>
        <v/>
      </c>
      <c r="Y19">
        <f>HYPERLINK("https://klasma.github.io/Logging_2021/klagomål/A 13344-2025 FSC-klagomål.docx", "A 13344-2025")</f>
        <v/>
      </c>
      <c r="Z19">
        <f>HYPERLINK("https://klasma.github.io/Logging_2021/klagomålsmail/A 13344-2025 FSC-klagomål mail.docx", "A 13344-2025")</f>
        <v/>
      </c>
      <c r="AA19">
        <f>HYPERLINK("https://klasma.github.io/Logging_2021/tillsyn/A 13344-2025 tillsynsbegäran.docx", "A 13344-2025")</f>
        <v/>
      </c>
      <c r="AB19">
        <f>HYPERLINK("https://klasma.github.io/Logging_2021/tillsynsmail/A 13344-2025 tillsynsbegäran mail.docx", "A 13344-2025")</f>
        <v/>
      </c>
      <c r="AC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46083</v>
      </c>
      <c r="E20" s="1" t="n">
        <v>46217</v>
      </c>
      <c r="F20" t="inlineStr">
        <is>
          <t>DALARNAS LÄN</t>
        </is>
      </c>
      <c r="G20" t="inlineStr">
        <is>
          <t>VANSBRO</t>
        </is>
      </c>
      <c r="I20" t="n">
        <v>14.5</v>
      </c>
      <c r="J20" t="n">
        <v>0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5</v>
      </c>
      <c r="U20" s="2" t="inlineStr">
        <is>
          <t>Garnlav
Dvärgbägarlav
Nordtagging
Vedskivlav</t>
        </is>
      </c>
      <c r="V20">
        <f>HYPERLINK("https://klasma.github.io/Logging_2021/artfynd/A 11477-2026 artfynd.xlsx", "A 11477-2026")</f>
        <v/>
      </c>
      <c r="W20">
        <f>HYPERLINK("https://klasma.github.io/Logging_2021/kartor/A 11477-2026 karta.png", "A 11477-2026")</f>
        <v/>
      </c>
      <c r="Y20">
        <f>HYPERLINK("https://klasma.github.io/Logging_2021/klagomål/A 11477-2026 FSC-klagomål.docx", "A 11477-2026")</f>
        <v/>
      </c>
      <c r="Z20">
        <f>HYPERLINK("https://klasma.github.io/Logging_2021/klagomålsmail/A 11477-2026 FSC-klagomål mail.docx", "A 11477-2026")</f>
        <v/>
      </c>
      <c r="AA20">
        <f>HYPERLINK("https://klasma.github.io/Logging_2021/tillsyn/A 11477-2026 tillsynsbegäran.docx", "A 11477-2026")</f>
        <v/>
      </c>
      <c r="AB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46217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27504-2025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46217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väst AB</t>
        </is>
      </c>
      <c r="I22" t="n">
        <v>3.4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s="2" t="inlineStr">
        <is>
          <t>Garnlav
Kortskaftad ärgspik
Vedticka</t>
        </is>
      </c>
      <c r="V22">
        <f>HYPERLINK("https://klasma.github.io/Logging_2021/artfynd/A 27504-2025 artfynd.xlsx", "A 27504-2025")</f>
        <v/>
      </c>
      <c r="W22">
        <f>HYPERLINK("https://klasma.github.io/Logging_2021/kartor/A 27504-2025 karta.png", "A 27504-2025")</f>
        <v/>
      </c>
      <c r="Y22">
        <f>HYPERLINK("https://klasma.github.io/Logging_2021/klagomål/A 27504-2025 FSC-klagomål.docx", "A 27504-2025")</f>
        <v/>
      </c>
      <c r="Z22">
        <f>HYPERLINK("https://klasma.github.io/Logging_2021/klagomålsmail/A 27504-2025 FSC-klagomål mail.docx", "A 27504-2025")</f>
        <v/>
      </c>
      <c r="AA22">
        <f>HYPERLINK("https://klasma.github.io/Logging_2021/tillsyn/A 27504-2025 tillsynsbegäran.docx", "A 27504-2025")</f>
        <v/>
      </c>
      <c r="AB22">
        <f>HYPERLINK("https://klasma.github.io/Logging_2021/tillsynsmail/A 27504-2025 tillsynsbegäran mail.docx", "A 27504-2025")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46217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Dropptaggsvamp
Skuggblåslav
Bollvitmossa</t>
        </is>
      </c>
      <c r="V23">
        <f>HYPERLINK("https://klasma.github.io/Logging_2021/artfynd/A 16725-2024 artfynd.xlsx", "A 16725-2024")</f>
        <v/>
      </c>
      <c r="W23">
        <f>HYPERLINK("https://klasma.github.io/Logging_2021/kartor/A 16725-2024 karta.png", "A 16725-2024")</f>
        <v/>
      </c>
      <c r="Y23">
        <f>HYPERLINK("https://klasma.github.io/Logging_2021/klagomål/A 16725-2024 FSC-klagomål.docx", "A 16725-2024")</f>
        <v/>
      </c>
      <c r="Z23">
        <f>HYPERLINK("https://klasma.github.io/Logging_2021/klagomålsmail/A 16725-2024 FSC-klagomål mail.docx", "A 16725-2024")</f>
        <v/>
      </c>
      <c r="AA23">
        <f>HYPERLINK("https://klasma.github.io/Logging_2021/tillsyn/A 16725-2024 tillsynsbegäran.docx", "A 16725-2024")</f>
        <v/>
      </c>
      <c r="AB23">
        <f>HYPERLINK("https://klasma.github.io/Logging_2021/tillsynsmail/A 16725-2024 tillsynsbegäran mail.docx", "A 16725-2024")</f>
        <v/>
      </c>
    </row>
    <row r="24" ht="15" customHeight="1">
      <c r="A24" t="inlineStr">
        <is>
          <t>A 11433-2025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45726</v>
      </c>
      <c r="E24" s="1" t="n">
        <v>46217</v>
      </c>
      <c r="F24" t="inlineStr">
        <is>
          <t>DALARNAS LÄN</t>
        </is>
      </c>
      <c r="G24" t="inlineStr">
        <is>
          <t>VANSBRO</t>
        </is>
      </c>
      <c r="I24" t="n">
        <v>7.5</v>
      </c>
      <c r="J24" t="n">
        <v>1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24</v>
      </c>
      <c r="U24" s="2" t="inlineStr">
        <is>
          <t>Garnlav
Knärot
Bollvitmossa</t>
        </is>
      </c>
      <c r="V24">
        <f>HYPERLINK("https://klasma.github.io/Logging_2021/artfynd/A 11433-2025 artfynd.xlsx", "A 11433-2025")</f>
        <v/>
      </c>
      <c r="W24">
        <f>HYPERLINK("https://klasma.github.io/Logging_2021/kartor/A 11433-2025 karta.png", "A 11433-2025")</f>
        <v/>
      </c>
      <c r="X24">
        <f>HYPERLINK("https://klasma.github.io/Logging_2021/knärot/A 11433-2025 karta knärot.png", "A 11433-2025")</f>
        <v/>
      </c>
      <c r="Y24">
        <f>HYPERLINK("https://klasma.github.io/Logging_2021/klagomål/A 11433-2025 FSC-klagomål.docx", "A 11433-2025")</f>
        <v/>
      </c>
      <c r="Z24">
        <f>HYPERLINK("https://klasma.github.io/Logging_2021/klagomålsmail/A 11433-2025 FSC-klagomål mail.docx", "A 11433-2025")</f>
        <v/>
      </c>
      <c r="AA24">
        <f>HYPERLINK("https://klasma.github.io/Logging_2021/tillsyn/A 11433-2025 tillsynsbegäran.docx", "A 11433-2025")</f>
        <v/>
      </c>
      <c r="AB24">
        <f>HYPERLINK("https://klasma.github.io/Logging_2021/tillsynsmail/A 11433-2025 tillsynsbegäran mail.docx", "A 11433-2025")</f>
        <v/>
      </c>
    </row>
    <row r="25" ht="15" customHeight="1">
      <c r="A25" t="inlineStr">
        <is>
          <t>A 33005-2025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46217</v>
      </c>
      <c r="F25" t="inlineStr">
        <is>
          <t>DALARNAS LÄN</t>
        </is>
      </c>
      <c r="G25" t="inlineStr">
        <is>
          <t>VANSBRO</t>
        </is>
      </c>
      <c r="I25" t="n">
        <v>5.5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s="2" t="inlineStr">
        <is>
          <t>Knärot
Kolflarnlav
Tretåig hackspett</t>
        </is>
      </c>
      <c r="V25">
        <f>HYPERLINK("https://klasma.github.io/Logging_2021/artfynd/A 33005-2025 artfynd.xlsx", "A 33005-2025")</f>
        <v/>
      </c>
      <c r="W25">
        <f>HYPERLINK("https://klasma.github.io/Logging_2021/kartor/A 33005-2025 karta.png", "A 33005-2025")</f>
        <v/>
      </c>
      <c r="X25">
        <f>HYPERLINK("https://klasma.github.io/Logging_2021/knärot/A 33005-2025 karta knärot.png", "A 33005-2025")</f>
        <v/>
      </c>
      <c r="Y25">
        <f>HYPERLINK("https://klasma.github.io/Logging_2021/klagomål/A 33005-2025 FSC-klagomål.docx", "A 33005-2025")</f>
        <v/>
      </c>
      <c r="Z25">
        <f>HYPERLINK("https://klasma.github.io/Logging_2021/klagomålsmail/A 33005-2025 FSC-klagomål mail.docx", "A 33005-2025")</f>
        <v/>
      </c>
      <c r="AA25">
        <f>HYPERLINK("https://klasma.github.io/Logging_2021/tillsyn/A 33005-2025 tillsynsbegäran.docx", "A 33005-2025")</f>
        <v/>
      </c>
      <c r="AB25">
        <f>HYPERLINK("https://klasma.github.io/Logging_2021/tillsynsmail/A 33005-2025 tillsynsbegäran mail.docx", "A 33005-2025")</f>
        <v/>
      </c>
      <c r="AC25">
        <f>HYPERLINK("https://klasma.github.io/Logging_2021/fåglar/A 33005-2025 prioriterade fågelarter.docx", "A 33005-2025")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46217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46217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HYPERLINK("https://klasma.github.io/Logging_2021/knärot/A 13323-2025 karta knärot.png", "A 13323-2025")</f>
        <v/>
      </c>
      <c r="Y27">
        <f>HYPERLINK("https://klasma.github.io/Logging_2021/klagomål/A 13323-2025 FSC-klagomål.docx", "A 13323-2025")</f>
        <v/>
      </c>
      <c r="Z27">
        <f>HYPERLINK("https://klasma.github.io/Logging_2021/klagomålsmail/A 13323-2025 FSC-klagomål mail.docx", "A 13323-2025")</f>
        <v/>
      </c>
      <c r="AA27">
        <f>HYPERLINK("https://klasma.github.io/Logging_2021/tillsyn/A 13323-2025 tillsynsbegäran.docx", "A 13323-2025")</f>
        <v/>
      </c>
      <c r="AB27">
        <f>HYPERLINK("https://klasma.github.io/Logging_2021/tillsynsmail/A 13323-2025 tillsynsbegäran mail.docx", "A 13323-2025")</f>
        <v/>
      </c>
    </row>
    <row r="28" ht="15" customHeight="1">
      <c r="A28" t="inlineStr">
        <is>
          <t>A 14475-2024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45394</v>
      </c>
      <c r="E28" s="1" t="n">
        <v>46217</v>
      </c>
      <c r="F28" t="inlineStr">
        <is>
          <t>DALARNAS LÄN</t>
        </is>
      </c>
      <c r="G28" t="inlineStr">
        <is>
          <t>VANSBRO</t>
        </is>
      </c>
      <c r="I28" t="n">
        <v>20.4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s="2" t="inlineStr">
        <is>
          <t>Garnlav
Dropptaggsvamp</t>
        </is>
      </c>
      <c r="V28">
        <f>HYPERLINK("https://klasma.github.io/Logging_2021/artfynd/A 14475-2024 artfynd.xlsx", "A 14475-2024")</f>
        <v/>
      </c>
      <c r="W28">
        <f>HYPERLINK("https://klasma.github.io/Logging_2021/kartor/A 14475-2024 karta.png", "A 14475-2024")</f>
        <v/>
      </c>
      <c r="Y28">
        <f>HYPERLINK("https://klasma.github.io/Logging_2021/klagomål/A 14475-2024 FSC-klagomål.docx", "A 14475-2024")</f>
        <v/>
      </c>
      <c r="Z28">
        <f>HYPERLINK("https://klasma.github.io/Logging_2021/klagomålsmail/A 14475-2024 FSC-klagomål mail.docx", "A 14475-2024")</f>
        <v/>
      </c>
      <c r="AA28">
        <f>HYPERLINK("https://klasma.github.io/Logging_2021/tillsyn/A 14475-2024 tillsynsbegäran.docx", "A 14475-2024")</f>
        <v/>
      </c>
      <c r="AB28">
        <f>HYPERLINK("https://klasma.github.io/Logging_2021/tillsynsmail/A 14475-2024 tillsynsbegäran mail.docx", "A 14475-2024")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46217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s="2" t="inlineStr">
        <is>
          <t>Dropptaggsvamp
Motaggsvamp</t>
        </is>
      </c>
      <c r="V29">
        <f>HYPERLINK("https://klasma.github.io/Logging_2021/artfynd/A 1691-2026 artfynd.xlsx", "A 1691-2026")</f>
        <v/>
      </c>
      <c r="W29">
        <f>HYPERLINK("https://klasma.github.io/Logging_2021/kartor/A 1691-2026 karta.png", "A 1691-2026")</f>
        <v/>
      </c>
      <c r="Y29">
        <f>HYPERLINK("https://klasma.github.io/Logging_2021/klagomål/A 1691-2026 FSC-klagomål.docx", "A 1691-2026")</f>
        <v/>
      </c>
      <c r="Z29">
        <f>HYPERLINK("https://klasma.github.io/Logging_2021/klagomålsmail/A 1691-2026 FSC-klagomål mail.docx", "A 1691-2026")</f>
        <v/>
      </c>
      <c r="AA29">
        <f>HYPERLINK("https://klasma.github.io/Logging_2021/tillsyn/A 1691-2026 tillsynsbegäran.docx", "A 1691-2026")</f>
        <v/>
      </c>
      <c r="AB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45247</v>
      </c>
      <c r="E30" s="1" t="n">
        <v>46217</v>
      </c>
      <c r="F30" t="inlineStr">
        <is>
          <t>DALARNAS LÄN</t>
        </is>
      </c>
      <c r="G30" t="inlineStr">
        <is>
          <t>VANSBRO</t>
        </is>
      </c>
      <c r="I30" t="n">
        <v>0.5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Sädesärla
Orre</t>
        </is>
      </c>
      <c r="V30">
        <f>HYPERLINK("https://klasma.github.io/Logging_2021/artfynd/A 58009-2023 artfynd.xlsx", "A 58009-2023")</f>
        <v/>
      </c>
      <c r="W30">
        <f>HYPERLINK("https://klasma.github.io/Logging_2021/kartor/A 58009-2023 karta.png", "A 58009-2023")</f>
        <v/>
      </c>
      <c r="Y30">
        <f>HYPERLINK("https://klasma.github.io/Logging_2021/klagomål/A 58009-2023 FSC-klagomål.docx", "A 58009-2023")</f>
        <v/>
      </c>
      <c r="Z30">
        <f>HYPERLINK("https://klasma.github.io/Logging_2021/klagomålsmail/A 58009-2023 FSC-klagomål mail.docx", "A 58009-2023")</f>
        <v/>
      </c>
      <c r="AA30">
        <f>HYPERLINK("https://klasma.github.io/Logging_2021/tillsyn/A 58009-2023 tillsynsbegäran.docx", "A 58009-2023")</f>
        <v/>
      </c>
      <c r="AB30">
        <f>HYPERLINK("https://klasma.github.io/Logging_2021/tillsynsmail/A 58009-2023 tillsynsbegäran mail.docx", "A 58009-2023")</f>
        <v/>
      </c>
      <c r="AC30">
        <f>HYPERLINK("https://klasma.github.io/Logging_2021/fåglar/A 58009-2023 prioriterade fågelarter.docx", "A 58009-2023")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46217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s="2" t="inlineStr">
        <is>
          <t>Ängsblåvinge
Berggräsfjäril</t>
        </is>
      </c>
      <c r="V31">
        <f>HYPERLINK("https://klasma.github.io/Logging_2021/artfynd/A 19656-2026 artfynd.xlsx", "A 19656-2026")</f>
        <v/>
      </c>
      <c r="W31">
        <f>HYPERLINK("https://klasma.github.io/Logging_2021/kartor/A 19656-2026 karta.png", "A 19656-2026")</f>
        <v/>
      </c>
      <c r="Y31">
        <f>HYPERLINK("https://klasma.github.io/Logging_2021/klagomål/A 19656-2026 FSC-klagomål.docx", "A 19656-2026")</f>
        <v/>
      </c>
      <c r="Z31">
        <f>HYPERLINK("https://klasma.github.io/Logging_2021/klagomålsmail/A 19656-2026 FSC-klagomål mail.docx", "A 19656-2026")</f>
        <v/>
      </c>
      <c r="AA31">
        <f>HYPERLINK("https://klasma.github.io/Logging_2021/tillsyn/A 19656-2026 tillsynsbegäran.docx", "A 19656-2026")</f>
        <v/>
      </c>
      <c r="AB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46217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46217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46217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Kolflarnlav</t>
        </is>
      </c>
      <c r="V34">
        <f>HYPERLINK("https://klasma.github.io/Logging_2021/artfynd/A 51579-2021 artfynd.xlsx", "A 51579-2021")</f>
        <v/>
      </c>
      <c r="W34">
        <f>HYPERLINK("https://klasma.github.io/Logging_2021/kartor/A 51579-2021 karta.png", "A 51579-2021")</f>
        <v/>
      </c>
      <c r="Y34">
        <f>HYPERLINK("https://klasma.github.io/Logging_2021/klagomål/A 51579-2021 FSC-klagomål.docx", "A 51579-2021")</f>
        <v/>
      </c>
      <c r="Z34">
        <f>HYPERLINK("https://klasma.github.io/Logging_2021/klagomålsmail/A 51579-2021 FSC-klagomål mail.docx", "A 51579-2021")</f>
        <v/>
      </c>
      <c r="AA34">
        <f>HYPERLINK("https://klasma.github.io/Logging_2021/tillsyn/A 51579-2021 tillsynsbegäran.docx", "A 51579-2021")</f>
        <v/>
      </c>
      <c r="AB34">
        <f>HYPERLINK("https://klasma.github.io/Logging_2021/tillsynsmail/A 51579-2021 tillsynsbegäran mail.docx", "A 51579-2021")</f>
        <v/>
      </c>
    </row>
    <row r="35" ht="15" customHeight="1">
      <c r="A35" t="inlineStr">
        <is>
          <t>A 20076-2026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46217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öst AB</t>
        </is>
      </c>
      <c r="I35" t="n">
        <v>13.2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Kransrams</t>
        </is>
      </c>
      <c r="V35">
        <f>HYPERLINK("https://klasma.github.io/Logging_2021/artfynd/A 20076-2026 artfynd.xlsx", "A 20076-2026")</f>
        <v/>
      </c>
      <c r="W35">
        <f>HYPERLINK("https://klasma.github.io/Logging_2021/kartor/A 20076-2026 karta.png", "A 20076-2026")</f>
        <v/>
      </c>
      <c r="Y35">
        <f>HYPERLINK("https://klasma.github.io/Logging_2021/klagomål/A 20076-2026 FSC-klagomål.docx", "A 20076-2026")</f>
        <v/>
      </c>
      <c r="Z35">
        <f>HYPERLINK("https://klasma.github.io/Logging_2021/klagomålsmail/A 20076-2026 FSC-klagomål mail.docx", "A 20076-2026")</f>
        <v/>
      </c>
      <c r="AA35">
        <f>HYPERLINK("https://klasma.github.io/Logging_2021/tillsyn/A 20076-2026 tillsynsbegäran.docx", "A 20076-2026")</f>
        <v/>
      </c>
      <c r="AB35">
        <f>HYPERLINK("https://klasma.github.io/Logging_2021/tillsynsmail/A 20076-2026 tillsynsbegäran mail.docx", "A 20076-2026")</f>
        <v/>
      </c>
    </row>
    <row r="36" ht="15" customHeight="1">
      <c r="A36" t="inlineStr">
        <is>
          <t>A 48109-2025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46217</v>
      </c>
      <c r="F36" t="inlineStr">
        <is>
          <t>DALARNAS LÄN</t>
        </is>
      </c>
      <c r="G36" t="inlineStr">
        <is>
          <t>VANSBRO</t>
        </is>
      </c>
      <c r="I36" t="n">
        <v>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Gränsticka</t>
        </is>
      </c>
      <c r="V36">
        <f>HYPERLINK("https://klasma.github.io/Logging_2021/artfynd/A 48109-2025 artfynd.xlsx", "A 48109-2025")</f>
        <v/>
      </c>
      <c r="W36">
        <f>HYPERLINK("https://klasma.github.io/Logging_2021/kartor/A 48109-2025 karta.png", "A 48109-2025")</f>
        <v/>
      </c>
      <c r="Y36">
        <f>HYPERLINK("https://klasma.github.io/Logging_2021/klagomål/A 48109-2025 FSC-klagomål.docx", "A 48109-2025")</f>
        <v/>
      </c>
      <c r="Z36">
        <f>HYPERLINK("https://klasma.github.io/Logging_2021/klagomålsmail/A 48109-2025 FSC-klagomål mail.docx", "A 48109-2025")</f>
        <v/>
      </c>
      <c r="AA36">
        <f>HYPERLINK("https://klasma.github.io/Logging_2021/tillsyn/A 48109-2025 tillsynsbegäran.docx", "A 48109-2025")</f>
        <v/>
      </c>
      <c r="AB36">
        <f>HYPERLINK("https://klasma.github.io/Logging_2021/tillsynsmail/A 48109-2025 tillsynsbegäran mail.docx", "A 48109-2025")</f>
        <v/>
      </c>
    </row>
    <row r="37" ht="15" customHeight="1">
      <c r="A37" t="inlineStr">
        <is>
          <t>A 52675-2025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45956</v>
      </c>
      <c r="E37" s="1" t="n">
        <v>46217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Motaggsvamp</t>
        </is>
      </c>
      <c r="V37">
        <f>HYPERLINK("https://klasma.github.io/Logging_2021/artfynd/A 52675-2025 artfynd.xlsx", "A 52675-2025")</f>
        <v/>
      </c>
      <c r="W37">
        <f>HYPERLINK("https://klasma.github.io/Logging_2021/kartor/A 52675-2025 karta.png", "A 52675-2025")</f>
        <v/>
      </c>
      <c r="Y37">
        <f>HYPERLINK("https://klasma.github.io/Logging_2021/klagomål/A 52675-2025 FSC-klagomål.docx", "A 52675-2025")</f>
        <v/>
      </c>
      <c r="Z37">
        <f>HYPERLINK("https://klasma.github.io/Logging_2021/klagomålsmail/A 52675-2025 FSC-klagomål mail.docx", "A 52675-2025")</f>
        <v/>
      </c>
      <c r="AA37">
        <f>HYPERLINK("https://klasma.github.io/Logging_2021/tillsyn/A 52675-2025 tillsynsbegäran.docx", "A 52675-2025")</f>
        <v/>
      </c>
      <c r="AB37">
        <f>HYPERLINK("https://klasma.github.io/Logging_2021/tillsynsmail/A 52675-2025 tillsynsbegäran mail.docx", "A 52675-2025")</f>
        <v/>
      </c>
    </row>
    <row r="38" ht="15" customHeight="1">
      <c r="A38" t="inlineStr">
        <is>
          <t>A 37219-2024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46217</v>
      </c>
      <c r="F38" t="inlineStr">
        <is>
          <t>DALARNAS LÄN</t>
        </is>
      </c>
      <c r="G38" t="inlineStr">
        <is>
          <t>VANSBRO</t>
        </is>
      </c>
      <c r="I38" t="n">
        <v>5.3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Tjäder</t>
        </is>
      </c>
      <c r="V38">
        <f>HYPERLINK("https://klasma.github.io/Logging_2021/artfynd/A 37219-2024 artfynd.xlsx", "A 37219-2024")</f>
        <v/>
      </c>
      <c r="W38">
        <f>HYPERLINK("https://klasma.github.io/Logging_2021/kartor/A 37219-2024 karta.png", "A 37219-2024")</f>
        <v/>
      </c>
      <c r="Y38">
        <f>HYPERLINK("https://klasma.github.io/Logging_2021/klagomål/A 37219-2024 FSC-klagomål.docx", "A 37219-2024")</f>
        <v/>
      </c>
      <c r="Z38">
        <f>HYPERLINK("https://klasma.github.io/Logging_2021/klagomålsmail/A 37219-2024 FSC-klagomål mail.docx", "A 37219-2024")</f>
        <v/>
      </c>
      <c r="AA38">
        <f>HYPERLINK("https://klasma.github.io/Logging_2021/tillsyn/A 37219-2024 tillsynsbegäran.docx", "A 37219-2024")</f>
        <v/>
      </c>
      <c r="AB38">
        <f>HYPERLINK("https://klasma.github.io/Logging_2021/tillsynsmail/A 37219-2024 tillsynsbegäran mail.docx", "A 37219-2024")</f>
        <v/>
      </c>
      <c r="AC38">
        <f>HYPERLINK("https://klasma.github.io/Logging_2021/fåglar/A 37219-2024 prioriterade fågelarter.docx", "A 37219-2024")</f>
        <v/>
      </c>
    </row>
    <row r="39" ht="15" customHeight="1">
      <c r="A39" t="inlineStr">
        <is>
          <t>A 26756-2026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46184</v>
      </c>
      <c r="E39" s="1" t="n">
        <v>46217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11.4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HYPERLINK("https://klasma.github.io/Logging_2021/artfynd/A 26756-2026 artfynd.xlsx", "A 26756-2026")</f>
        <v/>
      </c>
      <c r="W39">
        <f>HYPERLINK("https://klasma.github.io/Logging_2021/kartor/A 26756-2026 karta.png", "A 26756-2026")</f>
        <v/>
      </c>
      <c r="Y39">
        <f>HYPERLINK("https://klasma.github.io/Logging_2021/klagomål/A 26756-2026 FSC-klagomål.docx", "A 26756-2026")</f>
        <v/>
      </c>
      <c r="Z39">
        <f>HYPERLINK("https://klasma.github.io/Logging_2021/klagomålsmail/A 26756-2026 FSC-klagomål mail.docx", "A 26756-2026")</f>
        <v/>
      </c>
      <c r="AA39">
        <f>HYPERLINK("https://klasma.github.io/Logging_2021/tillsyn/A 26756-2026 tillsynsbegäran.docx", "A 26756-2026")</f>
        <v/>
      </c>
      <c r="AB39">
        <f>HYPERLINK("https://klasma.github.io/Logging_2021/tillsynsmail/A 26756-2026 tillsynsbegäran mail.docx", "A 26756-2026")</f>
        <v/>
      </c>
      <c r="AC39">
        <f>HYPERLINK("https://klasma.github.io/Logging_2021/fåglar/A 26756-2026 prioriterade fågelarter.docx", "A 26756-2026")</f>
        <v/>
      </c>
    </row>
    <row r="40" ht="15" customHeight="1">
      <c r="A40" t="inlineStr">
        <is>
          <t>A 3918-2026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46217</v>
      </c>
      <c r="F40" t="inlineStr">
        <is>
          <t>DALARNAS LÄN</t>
        </is>
      </c>
      <c r="G40" t="inlineStr">
        <is>
          <t>VANSBRO</t>
        </is>
      </c>
      <c r="I40" t="n">
        <v>6.2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Duvhök</t>
        </is>
      </c>
      <c r="V40">
        <f>HYPERLINK("https://klasma.github.io/Logging_2021/artfynd/A 3918-2026 artfynd.xlsx", "A 3918-2026")</f>
        <v/>
      </c>
      <c r="W40">
        <f>HYPERLINK("https://klasma.github.io/Logging_2021/kartor/A 3918-2026 karta.png", "A 3918-2026")</f>
        <v/>
      </c>
      <c r="Y40">
        <f>HYPERLINK("https://klasma.github.io/Logging_2021/klagomål/A 3918-2026 FSC-klagomål.docx", "A 3918-2026")</f>
        <v/>
      </c>
      <c r="Z40">
        <f>HYPERLINK("https://klasma.github.io/Logging_2021/klagomålsmail/A 3918-2026 FSC-klagomål mail.docx", "A 3918-2026")</f>
        <v/>
      </c>
      <c r="AA40">
        <f>HYPERLINK("https://klasma.github.io/Logging_2021/tillsyn/A 3918-2026 tillsynsbegäran.docx", "A 3918-2026")</f>
        <v/>
      </c>
      <c r="AB40">
        <f>HYPERLINK("https://klasma.github.io/Logging_2021/tillsynsmail/A 3918-2026 tillsynsbegäran mail.docx", "A 3918-2026")</f>
        <v/>
      </c>
      <c r="AC40">
        <f>HYPERLINK("https://klasma.github.io/Logging_2021/fåglar/A 3918-2026 prioriterade fågelarter.docx", "A 3918-2026")</f>
        <v/>
      </c>
    </row>
    <row r="41" ht="15" customHeight="1">
      <c r="A41" t="inlineStr">
        <is>
          <t>A 5659-2026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46051</v>
      </c>
      <c r="E41" s="1" t="n">
        <v>46217</v>
      </c>
      <c r="F41" t="inlineStr">
        <is>
          <t>DALARNAS LÄN</t>
        </is>
      </c>
      <c r="G41" t="inlineStr">
        <is>
          <t>VANSBRO</t>
        </is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Vanlig rörsvepemossa</t>
        </is>
      </c>
      <c r="V41">
        <f>HYPERLINK("https://klasma.github.io/Logging_2021/artfynd/A 5659-2026 artfynd.xlsx", "A 5659-2026")</f>
        <v/>
      </c>
      <c r="W41">
        <f>HYPERLINK("https://klasma.github.io/Logging_2021/kartor/A 5659-2026 karta.png", "A 5659-2026")</f>
        <v/>
      </c>
      <c r="Y41">
        <f>HYPERLINK("https://klasma.github.io/Logging_2021/klagomål/A 5659-2026 FSC-klagomål.docx", "A 5659-2026")</f>
        <v/>
      </c>
      <c r="Z41">
        <f>HYPERLINK("https://klasma.github.io/Logging_2021/klagomålsmail/A 5659-2026 FSC-klagomål mail.docx", "A 5659-2026")</f>
        <v/>
      </c>
      <c r="AA41">
        <f>HYPERLINK("https://klasma.github.io/Logging_2021/tillsyn/A 5659-2026 tillsynsbegäran.docx", "A 5659-2026")</f>
        <v/>
      </c>
      <c r="AB41">
        <f>HYPERLINK("https://klasma.github.io/Logging_2021/tillsynsmail/A 5659-2026 tillsynsbegäran mail.docx", "A 5659-2026")</f>
        <v/>
      </c>
    </row>
    <row r="42" ht="15" customHeight="1">
      <c r="A42" t="inlineStr">
        <is>
          <t>A 57810-2023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46217</v>
      </c>
      <c r="F42" t="inlineStr">
        <is>
          <t>DALARNAS LÄN</t>
        </is>
      </c>
      <c r="G42" t="inlineStr">
        <is>
          <t>VANSBRO</t>
        </is>
      </c>
      <c r="I42" t="n">
        <v>0.6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Järnsparv</t>
        </is>
      </c>
      <c r="V42">
        <f>HYPERLINK("https://klasma.github.io/Logging_2021/artfynd/A 57810-2023 artfynd.xlsx", "A 57810-2023")</f>
        <v/>
      </c>
      <c r="W42">
        <f>HYPERLINK("https://klasma.github.io/Logging_2021/kartor/A 57810-2023 karta.png", "A 57810-2023")</f>
        <v/>
      </c>
      <c r="Y42">
        <f>HYPERLINK("https://klasma.github.io/Logging_2021/klagomål/A 57810-2023 FSC-klagomål.docx", "A 57810-2023")</f>
        <v/>
      </c>
      <c r="Z42">
        <f>HYPERLINK("https://klasma.github.io/Logging_2021/klagomålsmail/A 57810-2023 FSC-klagomål mail.docx", "A 57810-2023")</f>
        <v/>
      </c>
      <c r="AA42">
        <f>HYPERLINK("https://klasma.github.io/Logging_2021/tillsyn/A 57810-2023 tillsynsbegäran.docx", "A 57810-2023")</f>
        <v/>
      </c>
      <c r="AB42">
        <f>HYPERLINK("https://klasma.github.io/Logging_2021/tillsynsmail/A 57810-2023 tillsynsbegäran mail.docx", "A 57810-2023")</f>
        <v/>
      </c>
      <c r="AC42">
        <f>HYPERLINK("https://klasma.github.io/Logging_2021/fåglar/A 57810-2023 prioriterade fågelarter.docx", "A 57810-2023")</f>
        <v/>
      </c>
    </row>
    <row r="43" ht="15" customHeight="1">
      <c r="A43" t="inlineStr">
        <is>
          <t>A 3854-2024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46217</v>
      </c>
      <c r="F43" t="inlineStr">
        <is>
          <t>DALARNAS LÄN</t>
        </is>
      </c>
      <c r="G43" t="inlineStr">
        <is>
          <t>VANSBRO</t>
        </is>
      </c>
      <c r="H43" t="inlineStr">
        <is>
          <t>Kyrkan</t>
        </is>
      </c>
      <c r="I43" t="n">
        <v>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Utter</t>
        </is>
      </c>
      <c r="V43">
        <f>HYPERLINK("https://klasma.github.io/Logging_2021/artfynd/A 3854-2024 artfynd.xlsx", "A 3854-2024")</f>
        <v/>
      </c>
      <c r="W43">
        <f>HYPERLINK("https://klasma.github.io/Logging_2021/kartor/A 3854-2024 karta.png", "A 3854-2024")</f>
        <v/>
      </c>
      <c r="Y43">
        <f>HYPERLINK("https://klasma.github.io/Logging_2021/klagomål/A 3854-2024 FSC-klagomål.docx", "A 3854-2024")</f>
        <v/>
      </c>
      <c r="Z43">
        <f>HYPERLINK("https://klasma.github.io/Logging_2021/klagomålsmail/A 3854-2024 FSC-klagomål mail.docx", "A 3854-2024")</f>
        <v/>
      </c>
      <c r="AA43">
        <f>HYPERLINK("https://klasma.github.io/Logging_2021/tillsyn/A 3854-2024 tillsynsbegäran.docx", "A 3854-2024")</f>
        <v/>
      </c>
      <c r="AB43">
        <f>HYPERLINK("https://klasma.github.io/Logging_2021/tillsynsmail/A 3854-2024 tillsynsbegäran mail.docx", "A 3854-2024")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46217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Skarp dropptaggsvamp</t>
        </is>
      </c>
      <c r="V44">
        <f>HYPERLINK("https://klasma.github.io/Logging_2021/artfynd/A 54453-2024 artfynd.xlsx", "A 54453-2024")</f>
        <v/>
      </c>
      <c r="W44">
        <f>HYPERLINK("https://klasma.github.io/Logging_2021/kartor/A 54453-2024 karta.png", "A 54453-2024")</f>
        <v/>
      </c>
      <c r="Y44">
        <f>HYPERLINK("https://klasma.github.io/Logging_2021/klagomål/A 54453-2024 FSC-klagomål.docx", "A 54453-2024")</f>
        <v/>
      </c>
      <c r="Z44">
        <f>HYPERLINK("https://klasma.github.io/Logging_2021/klagomålsmail/A 54453-2024 FSC-klagomål mail.docx", "A 54453-2024")</f>
        <v/>
      </c>
      <c r="AA44">
        <f>HYPERLINK("https://klasma.github.io/Logging_2021/tillsyn/A 54453-2024 tillsynsbegäran.docx", "A 54453-2024")</f>
        <v/>
      </c>
      <c r="AB44">
        <f>HYPERLINK("https://klasma.github.io/Logging_2021/tillsynsmail/A 54453-2024 tillsynsbegäran mail.docx", "A 54453-2024")</f>
        <v/>
      </c>
    </row>
    <row r="45" ht="15" customHeight="1">
      <c r="A45" t="inlineStr">
        <is>
          <t>A 33250-2024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46217</v>
      </c>
      <c r="F45" t="inlineStr">
        <is>
          <t>DALARNAS LÄN</t>
        </is>
      </c>
      <c r="G45" t="inlineStr">
        <is>
          <t>VANSBRO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Reliktbock</t>
        </is>
      </c>
      <c r="V45">
        <f>HYPERLINK("https://klasma.github.io/Logging_2021/artfynd/A 33250-2024 artfynd.xlsx", "A 33250-2024")</f>
        <v/>
      </c>
      <c r="W45">
        <f>HYPERLINK("https://klasma.github.io/Logging_2021/kartor/A 33250-2024 karta.png", "A 33250-2024")</f>
        <v/>
      </c>
      <c r="Y45">
        <f>HYPERLINK("https://klasma.github.io/Logging_2021/klagomål/A 33250-2024 FSC-klagomål.docx", "A 33250-2024")</f>
        <v/>
      </c>
      <c r="Z45">
        <f>HYPERLINK("https://klasma.github.io/Logging_2021/klagomålsmail/A 33250-2024 FSC-klagomål mail.docx", "A 33250-2024")</f>
        <v/>
      </c>
      <c r="AA45">
        <f>HYPERLINK("https://klasma.github.io/Logging_2021/tillsyn/A 33250-2024 tillsynsbegäran.docx", "A 33250-2024")</f>
        <v/>
      </c>
      <c r="AB45">
        <f>HYPERLINK("https://klasma.github.io/Logging_2021/tillsynsmail/A 33250-2024 tillsynsbegäran mail.docx", "A 33250-2024")</f>
        <v/>
      </c>
    </row>
    <row r="46" ht="15" customHeight="1">
      <c r="A46" t="inlineStr">
        <is>
          <t>A 27052-2025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45811</v>
      </c>
      <c r="E46" s="1" t="n">
        <v>46217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HYPERLINK("https://klasma.github.io/Logging_2021/artfynd/A 27052-2025 artfynd.xlsx", "A 27052-2025")</f>
        <v/>
      </c>
      <c r="W46">
        <f>HYPERLINK("https://klasma.github.io/Logging_2021/kartor/A 27052-2025 karta.png", "A 27052-2025")</f>
        <v/>
      </c>
      <c r="Y46">
        <f>HYPERLINK("https://klasma.github.io/Logging_2021/klagomål/A 27052-2025 FSC-klagomål.docx", "A 27052-2025")</f>
        <v/>
      </c>
      <c r="Z46">
        <f>HYPERLINK("https://klasma.github.io/Logging_2021/klagomålsmail/A 27052-2025 FSC-klagomål mail.docx", "A 27052-2025")</f>
        <v/>
      </c>
      <c r="AA46">
        <f>HYPERLINK("https://klasma.github.io/Logging_2021/tillsyn/A 27052-2025 tillsynsbegäran.docx", "A 27052-2025")</f>
        <v/>
      </c>
      <c r="AB46">
        <f>HYPERLINK("https://klasma.github.io/Logging_2021/tillsynsmail/A 27052-2025 tillsynsbegäran mail.docx", "A 27052-2025")</f>
        <v/>
      </c>
      <c r="AC46">
        <f>HYPERLINK("https://klasma.github.io/Logging_2021/fåglar/A 27052-2025 prioriterade fågelarter.docx", "A 27052-2025")</f>
        <v/>
      </c>
    </row>
    <row r="47" ht="15" customHeight="1">
      <c r="A47" t="inlineStr">
        <is>
          <t>A 32917-2025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45839</v>
      </c>
      <c r="E47" s="1" t="n">
        <v>46217</v>
      </c>
      <c r="F47" t="inlineStr">
        <is>
          <t>DALARNAS LÄN</t>
        </is>
      </c>
      <c r="G47" t="inlineStr">
        <is>
          <t>VANSBRO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s="2" t="inlineStr">
        <is>
          <t>Garnlav</t>
        </is>
      </c>
      <c r="V47">
        <f>HYPERLINK("https://klasma.github.io/Logging_2021/artfynd/A 32917-2025 artfynd.xlsx", "A 32917-2025")</f>
        <v/>
      </c>
      <c r="W47">
        <f>HYPERLINK("https://klasma.github.io/Logging_2021/kartor/A 32917-2025 karta.png", "A 32917-2025")</f>
        <v/>
      </c>
      <c r="Y47">
        <f>HYPERLINK("https://klasma.github.io/Logging_2021/klagomål/A 32917-2025 FSC-klagomål.docx", "A 32917-2025")</f>
        <v/>
      </c>
      <c r="Z47">
        <f>HYPERLINK("https://klasma.github.io/Logging_2021/klagomålsmail/A 32917-2025 FSC-klagomål mail.docx", "A 32917-2025")</f>
        <v/>
      </c>
      <c r="AA47">
        <f>HYPERLINK("https://klasma.github.io/Logging_2021/tillsyn/A 32917-2025 tillsynsbegäran.docx", "A 32917-2025")</f>
        <v/>
      </c>
      <c r="AB47">
        <f>HYPERLINK("https://klasma.github.io/Logging_2021/tillsynsmail/A 32917-2025 tillsynsbegäran mail.docx", "A 32917-2025")</f>
        <v/>
      </c>
    </row>
    <row r="48" ht="15" customHeight="1">
      <c r="A48" t="inlineStr">
        <is>
          <t>A 33003-2025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46217</v>
      </c>
      <c r="F48" t="inlineStr">
        <is>
          <t>DALARNAS LÄN</t>
        </is>
      </c>
      <c r="G48" t="inlineStr">
        <is>
          <t>VANSBRO</t>
        </is>
      </c>
      <c r="I48" t="n">
        <v>2.3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Knärot</t>
        </is>
      </c>
      <c r="V48">
        <f>HYPERLINK("https://klasma.github.io/Logging_2021/artfynd/A 33003-2025 artfynd.xlsx", "A 33003-2025")</f>
        <v/>
      </c>
      <c r="W48">
        <f>HYPERLINK("https://klasma.github.io/Logging_2021/kartor/A 33003-2025 karta.png", "A 33003-2025")</f>
        <v/>
      </c>
      <c r="X48">
        <f>HYPERLINK("https://klasma.github.io/Logging_2021/knärot/A 33003-2025 karta knärot.png", "A 33003-2025")</f>
        <v/>
      </c>
      <c r="Y48">
        <f>HYPERLINK("https://klasma.github.io/Logging_2021/klagomål/A 33003-2025 FSC-klagomål.docx", "A 33003-2025")</f>
        <v/>
      </c>
      <c r="Z48">
        <f>HYPERLINK("https://klasma.github.io/Logging_2021/klagomålsmail/A 33003-2025 FSC-klagomål mail.docx", "A 33003-2025")</f>
        <v/>
      </c>
      <c r="AA48">
        <f>HYPERLINK("https://klasma.github.io/Logging_2021/tillsyn/A 33003-2025 tillsynsbegäran.docx", "A 33003-2025")</f>
        <v/>
      </c>
      <c r="AB48">
        <f>HYPERLINK("https://klasma.github.io/Logging_2021/tillsynsmail/A 33003-2025 tillsynsbegäran mail.docx", "A 33003-2025")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46217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46217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46217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46217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46217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46217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46217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46217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46217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46217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46217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46217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46217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46217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46217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46217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46217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46217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46217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46217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46217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46217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46217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46217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46217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46217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46217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46217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46217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46217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46217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46217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46217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46217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46217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46217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46217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46217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10012-2024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46217</v>
      </c>
      <c r="F87" t="inlineStr">
        <is>
          <t>DALARNAS LÄN</t>
        </is>
      </c>
      <c r="G87" t="inlineStr">
        <is>
          <t>VANSBRO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46217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46217</v>
      </c>
      <c r="F89" t="inlineStr">
        <is>
          <t>DALARNAS LÄN</t>
        </is>
      </c>
      <c r="G89" t="inlineStr">
        <is>
          <t>VANSBRO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46217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35943-2024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46217</v>
      </c>
      <c r="F91" t="inlineStr">
        <is>
          <t>DALARNAS LÄN</t>
        </is>
      </c>
      <c r="G91" t="inlineStr">
        <is>
          <t>VANSBRO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46217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46217</v>
      </c>
      <c r="F93" t="inlineStr">
        <is>
          <t>DALARNAS LÄN</t>
        </is>
      </c>
      <c r="G93" t="inlineStr">
        <is>
          <t>VANSBRO</t>
        </is>
      </c>
      <c r="H93" t="inlineStr">
        <is>
          <t>Övriga statliga verk och myndigheter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46217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46217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46217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24384-2024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46217</v>
      </c>
      <c r="F97" t="inlineStr">
        <is>
          <t>DALARNAS LÄN</t>
        </is>
      </c>
      <c r="G97" t="inlineStr">
        <is>
          <t>VANSBRO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21966-2024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46217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51601-2023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46217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12016-2024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46217</v>
      </c>
      <c r="F100" t="inlineStr">
        <is>
          <t>DALARNAS LÄN</t>
        </is>
      </c>
      <c r="G100" t="inlineStr">
        <is>
          <t>VANSBRO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60848-2024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45644</v>
      </c>
      <c r="E101" s="1" t="n">
        <v>46217</v>
      </c>
      <c r="F101" t="inlineStr">
        <is>
          <t>DALARNAS LÄN</t>
        </is>
      </c>
      <c r="G101" t="inlineStr">
        <is>
          <t>VANSBRO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32820-2024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46217</v>
      </c>
      <c r="F102" t="inlineStr">
        <is>
          <t>DALARNAS LÄN</t>
        </is>
      </c>
      <c r="G102" t="inlineStr">
        <is>
          <t>VANSBRO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41290-2023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46217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29492-2023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45106</v>
      </c>
      <c r="E104" s="1" t="n">
        <v>46217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46217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38034-2024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46217</v>
      </c>
      <c r="F106" t="inlineStr">
        <is>
          <t>DALARNAS LÄN</t>
        </is>
      </c>
      <c r="G106" t="inlineStr">
        <is>
          <t>VANSBRO</t>
        </is>
      </c>
      <c r="H106" t="inlineStr">
        <is>
          <t>Övriga statliga verk och myndigheter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30392-2024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45491</v>
      </c>
      <c r="E107" s="1" t="n">
        <v>46217</v>
      </c>
      <c r="F107" t="inlineStr">
        <is>
          <t>DALARNAS LÄN</t>
        </is>
      </c>
      <c r="G107" t="inlineStr">
        <is>
          <t>VANSBRO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46217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43139-2023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46217</v>
      </c>
      <c r="F109" t="inlineStr">
        <is>
          <t>DALARNAS LÄN</t>
        </is>
      </c>
      <c r="G109" t="inlineStr">
        <is>
          <t>VANSBRO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45689</v>
      </c>
      <c r="E110" s="1" t="n">
        <v>46217</v>
      </c>
      <c r="F110" t="inlineStr">
        <is>
          <t>DALARNAS LÄN</t>
        </is>
      </c>
      <c r="G110" t="inlineStr">
        <is>
          <t>VANSBRO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46217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51400-2024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45604</v>
      </c>
      <c r="E112" s="1" t="n">
        <v>46217</v>
      </c>
      <c r="F112" t="inlineStr">
        <is>
          <t>DALARNAS LÄN</t>
        </is>
      </c>
      <c r="G112" t="inlineStr">
        <is>
          <t>VANSBRO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30889-2024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45498</v>
      </c>
      <c r="E113" s="1" t="n">
        <v>46217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6632-2023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46217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24982-2023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46217</v>
      </c>
      <c r="F115" t="inlineStr">
        <is>
          <t>DALARNAS LÄN</t>
        </is>
      </c>
      <c r="G115" t="inlineStr">
        <is>
          <t>VANSBRO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36382-2025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45868</v>
      </c>
      <c r="E116" s="1" t="n">
        <v>46217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24481-2023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46217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20931-2022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44701</v>
      </c>
      <c r="E118" s="1" t="n">
        <v>46217</v>
      </c>
      <c r="F118" t="inlineStr">
        <is>
          <t>DALARNAS LÄN</t>
        </is>
      </c>
      <c r="G118" t="inlineStr">
        <is>
          <t>VANSBRO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43570-2023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46217</v>
      </c>
      <c r="F119" t="inlineStr">
        <is>
          <t>DALARNAS LÄN</t>
        </is>
      </c>
      <c r="G119" t="inlineStr">
        <is>
          <t>VANSBRO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37285-2025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45876</v>
      </c>
      <c r="E120" s="1" t="n">
        <v>46217</v>
      </c>
      <c r="F120" t="inlineStr">
        <is>
          <t>DALARNAS LÄN</t>
        </is>
      </c>
      <c r="G120" t="inlineStr">
        <is>
          <t>VANSBRO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37287-2025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45876</v>
      </c>
      <c r="E121" s="1" t="n">
        <v>46217</v>
      </c>
      <c r="F121" t="inlineStr">
        <is>
          <t>DALARNAS LÄN</t>
        </is>
      </c>
      <c r="G121" t="inlineStr">
        <is>
          <t>VANSBRO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46217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19809-2026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46135</v>
      </c>
      <c r="E123" s="1" t="n">
        <v>46217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38670-2025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45884</v>
      </c>
      <c r="E124" s="1" t="n">
        <v>46217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46217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45689</v>
      </c>
      <c r="E126" s="1" t="n">
        <v>46217</v>
      </c>
      <c r="F126" t="inlineStr">
        <is>
          <t>DALARNAS LÄN</t>
        </is>
      </c>
      <c r="G126" t="inlineStr">
        <is>
          <t>VANSBRO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46217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46217</v>
      </c>
      <c r="F128" t="inlineStr">
        <is>
          <t>DALARNAS LÄN</t>
        </is>
      </c>
      <c r="G128" t="inlineStr">
        <is>
          <t>VANSBRO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54423-2024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46217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46217</v>
      </c>
      <c r="F130" t="inlineStr">
        <is>
          <t>DALARNAS LÄN</t>
        </is>
      </c>
      <c r="G130" t="inlineStr">
        <is>
          <t>VANSBRO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39173-2025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46217</v>
      </c>
      <c r="F131" t="inlineStr">
        <is>
          <t>DALARNAS LÄN</t>
        </is>
      </c>
      <c r="G131" t="inlineStr">
        <is>
          <t>VANSBRO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56773-2023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46217</v>
      </c>
      <c r="F132" t="inlineStr">
        <is>
          <t>DALARNAS LÄN</t>
        </is>
      </c>
      <c r="G132" t="inlineStr">
        <is>
          <t>VANSBRO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50533-2024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46217</v>
      </c>
      <c r="F133" t="inlineStr">
        <is>
          <t>DALARNAS LÄN</t>
        </is>
      </c>
      <c r="G133" t="inlineStr">
        <is>
          <t>VANSBRO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39502-2025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46217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46217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35780-2024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46217</v>
      </c>
      <c r="F136" t="inlineStr">
        <is>
          <t>DALARNAS LÄN</t>
        </is>
      </c>
      <c r="G136" t="inlineStr">
        <is>
          <t>VANSBRO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20669-2025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46217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26387-2025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45806</v>
      </c>
      <c r="E138" s="1" t="n">
        <v>46217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45481</v>
      </c>
      <c r="E139" s="1" t="n">
        <v>46217</v>
      </c>
      <c r="F139" t="inlineStr">
        <is>
          <t>DALARNAS LÄN</t>
        </is>
      </c>
      <c r="G139" t="inlineStr">
        <is>
          <t>VANSBRO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59142-2024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46217</v>
      </c>
      <c r="F140" t="inlineStr">
        <is>
          <t>DALARNAS LÄN</t>
        </is>
      </c>
      <c r="G140" t="inlineStr">
        <is>
          <t>VANSBRO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39336-2023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46217</v>
      </c>
      <c r="F141" t="inlineStr">
        <is>
          <t>DALARNAS LÄN</t>
        </is>
      </c>
      <c r="G141" t="inlineStr">
        <is>
          <t>VANSBRO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40884-2025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46217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57903-2024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46217</v>
      </c>
      <c r="F143" t="inlineStr">
        <is>
          <t>DALARNAS LÄN</t>
        </is>
      </c>
      <c r="G143" t="inlineStr">
        <is>
          <t>VANSBRO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42209-2025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46217</v>
      </c>
      <c r="F144" t="inlineStr">
        <is>
          <t>DALARNAS LÄN</t>
        </is>
      </c>
      <c r="G144" t="inlineStr">
        <is>
          <t>VANSBRO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51396-2022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44869</v>
      </c>
      <c r="E145" s="1" t="n">
        <v>46217</v>
      </c>
      <c r="F145" t="inlineStr">
        <is>
          <t>DALARNAS LÄN</t>
        </is>
      </c>
      <c r="G145" t="inlineStr">
        <is>
          <t>VANSBRO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20208-2026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46217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43139-2025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46217</v>
      </c>
      <c r="F147" t="inlineStr">
        <is>
          <t>DALARNAS LÄN</t>
        </is>
      </c>
      <c r="G147" t="inlineStr">
        <is>
          <t>VANSBRO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57904-2024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46217</v>
      </c>
      <c r="F148" t="inlineStr">
        <is>
          <t>DALARNAS LÄN</t>
        </is>
      </c>
      <c r="G148" t="inlineStr">
        <is>
          <t>VANSBRO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45672</v>
      </c>
      <c r="E149" s="1" t="n">
        <v>46217</v>
      </c>
      <c r="F149" t="inlineStr">
        <is>
          <t>DALARNAS LÄN</t>
        </is>
      </c>
      <c r="G149" t="inlineStr">
        <is>
          <t>VANSBRO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27000-2025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46217</v>
      </c>
      <c r="F150" t="inlineStr">
        <is>
          <t>DALARNAS LÄN</t>
        </is>
      </c>
      <c r="G150" t="inlineStr">
        <is>
          <t>VANSBRO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39974-2022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46217</v>
      </c>
      <c r="F151" t="inlineStr">
        <is>
          <t>DALARNAS LÄN</t>
        </is>
      </c>
      <c r="G151" t="inlineStr">
        <is>
          <t>VANSBRO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61663-2024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46217</v>
      </c>
      <c r="F152" t="inlineStr">
        <is>
          <t>DALARNAS LÄN</t>
        </is>
      </c>
      <c r="G152" t="inlineStr">
        <is>
          <t>VANSBRO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51414-2021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46217</v>
      </c>
      <c r="F153" t="inlineStr">
        <is>
          <t>DALARNAS LÄN</t>
        </is>
      </c>
      <c r="G153" t="inlineStr">
        <is>
          <t>VANSBRO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47833-2025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46217</v>
      </c>
      <c r="F154" t="inlineStr">
        <is>
          <t>DALARNAS LÄN</t>
        </is>
      </c>
      <c r="G154" t="inlineStr">
        <is>
          <t>VANSBRO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52572-2023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45225</v>
      </c>
      <c r="E155" s="1" t="n">
        <v>46217</v>
      </c>
      <c r="F155" t="inlineStr">
        <is>
          <t>DALARNAS LÄN</t>
        </is>
      </c>
      <c r="G155" t="inlineStr">
        <is>
          <t>VANSBRO</t>
        </is>
      </c>
      <c r="H155" t="inlineStr">
        <is>
          <t>Övriga statliga verk och myndigheter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46217</v>
      </c>
      <c r="F156" t="inlineStr">
        <is>
          <t>DALARNAS LÄN</t>
        </is>
      </c>
      <c r="G156" t="inlineStr">
        <is>
          <t>VANSBRO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46217</v>
      </c>
      <c r="F157" t="inlineStr">
        <is>
          <t>DALARNAS LÄN</t>
        </is>
      </c>
      <c r="G157" t="inlineStr">
        <is>
          <t>VANSBRO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46217</v>
      </c>
      <c r="F158" t="inlineStr">
        <is>
          <t>DALARNAS LÄN</t>
        </is>
      </c>
      <c r="G158" t="inlineStr">
        <is>
          <t>VANSBRO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46217</v>
      </c>
      <c r="F159" t="inlineStr">
        <is>
          <t>DALARNAS LÄN</t>
        </is>
      </c>
      <c r="G159" t="inlineStr">
        <is>
          <t>VANSBRO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4680-2023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44957</v>
      </c>
      <c r="E160" s="1" t="n">
        <v>46217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44679-2023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46217</v>
      </c>
      <c r="F161" t="inlineStr">
        <is>
          <t>DALARNAS LÄN</t>
        </is>
      </c>
      <c r="G161" t="inlineStr">
        <is>
          <t>VANSBRO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48102-2025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46217</v>
      </c>
      <c r="F162" t="inlineStr">
        <is>
          <t>DALARNAS LÄN</t>
        </is>
      </c>
      <c r="G162" t="inlineStr">
        <is>
          <t>VANSBRO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48840-2025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45937</v>
      </c>
      <c r="E163" s="1" t="n">
        <v>46217</v>
      </c>
      <c r="F163" t="inlineStr">
        <is>
          <t>DALARNAS LÄN</t>
        </is>
      </c>
      <c r="G163" t="inlineStr">
        <is>
          <t>VANSBRO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35288-2024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45530</v>
      </c>
      <c r="E164" s="1" t="n">
        <v>46217</v>
      </c>
      <c r="F164" t="inlineStr">
        <is>
          <t>DALARNAS LÄN</t>
        </is>
      </c>
      <c r="G164" t="inlineStr">
        <is>
          <t>VANSBRO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18658-2025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46217</v>
      </c>
      <c r="F165" t="inlineStr">
        <is>
          <t>DALARNAS LÄN</t>
        </is>
      </c>
      <c r="G165" t="inlineStr">
        <is>
          <t>VANSBRO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46217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18859-2025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46217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49679-2025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46217</v>
      </c>
      <c r="F168" t="inlineStr">
        <is>
          <t>DALARNAS LÄN</t>
        </is>
      </c>
      <c r="G168" t="inlineStr">
        <is>
          <t>VANSBRO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11598-2025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46217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46217</v>
      </c>
      <c r="F170" t="inlineStr">
        <is>
          <t>DALARNAS LÄN</t>
        </is>
      </c>
      <c r="G170" t="inlineStr">
        <is>
          <t>VANSBRO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46217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9145-2025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46217</v>
      </c>
      <c r="F172" t="inlineStr">
        <is>
          <t>DALARNAS LÄN</t>
        </is>
      </c>
      <c r="G172" t="inlineStr">
        <is>
          <t>VANSBRO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18304-2025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46217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46217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50687-2025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46217</v>
      </c>
      <c r="F175" t="inlineStr">
        <is>
          <t>DALARNAS LÄN</t>
        </is>
      </c>
      <c r="G175" t="inlineStr">
        <is>
          <t>VANSBRO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13327-2025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45735</v>
      </c>
      <c r="E176" s="1" t="n">
        <v>46217</v>
      </c>
      <c r="F176" t="inlineStr">
        <is>
          <t>DALARNAS LÄN</t>
        </is>
      </c>
      <c r="G176" t="inlineStr">
        <is>
          <t>VANSBRO</t>
        </is>
      </c>
      <c r="H176" t="inlineStr">
        <is>
          <t>Kommuner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51414-2025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46217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45689</v>
      </c>
      <c r="E178" s="1" t="n">
        <v>46217</v>
      </c>
      <c r="F178" t="inlineStr">
        <is>
          <t>DALARNAS LÄN</t>
        </is>
      </c>
      <c r="G178" t="inlineStr">
        <is>
          <t>VANSBRO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45689</v>
      </c>
      <c r="E179" s="1" t="n">
        <v>46217</v>
      </c>
      <c r="F179" t="inlineStr">
        <is>
          <t>DALARNAS LÄN</t>
        </is>
      </c>
      <c r="G179" t="inlineStr">
        <is>
          <t>VANSBRO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51855-2025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46217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52442-2025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46217</v>
      </c>
      <c r="F181" t="inlineStr">
        <is>
          <t>DALARNAS LÄN</t>
        </is>
      </c>
      <c r="G181" t="inlineStr">
        <is>
          <t>VANSBRO</t>
        </is>
      </c>
      <c r="I181" t="n">
        <v>12.6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45956</v>
      </c>
      <c r="E182" s="1" t="n">
        <v>46217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46217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46217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8694-2023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44972</v>
      </c>
      <c r="E185" s="1" t="n">
        <v>46217</v>
      </c>
      <c r="F185" t="inlineStr">
        <is>
          <t>DALARNAS LÄN</t>
        </is>
      </c>
      <c r="G185" t="inlineStr">
        <is>
          <t>VANSBRO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59736-2022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46217</v>
      </c>
      <c r="F186" t="inlineStr">
        <is>
          <t>DALARNAS LÄN</t>
        </is>
      </c>
      <c r="G186" t="inlineStr">
        <is>
          <t>VANSBRO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46217</v>
      </c>
      <c r="F187" t="inlineStr">
        <is>
          <t>DALARNAS LÄN</t>
        </is>
      </c>
      <c r="G187" t="inlineStr">
        <is>
          <t>VANSBRO</t>
        </is>
      </c>
      <c r="I187" t="n">
        <v>13.9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46165-2021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44442</v>
      </c>
      <c r="E188" s="1" t="n">
        <v>46217</v>
      </c>
      <c r="F188" t="inlineStr">
        <is>
          <t>DALARNAS LÄN</t>
        </is>
      </c>
      <c r="G188" t="inlineStr">
        <is>
          <t>VANSBRO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54100-2025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46217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öst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46217</v>
      </c>
      <c r="F190" t="inlineStr">
        <is>
          <t>DALARNAS LÄN</t>
        </is>
      </c>
      <c r="G190" t="inlineStr">
        <is>
          <t>VANSBRO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49819-2025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46217</v>
      </c>
      <c r="F191" t="inlineStr">
        <is>
          <t>DALARNAS LÄN</t>
        </is>
      </c>
      <c r="G191" t="inlineStr">
        <is>
          <t>VANSBRO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54579-2025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46217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46217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54736-2025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46217</v>
      </c>
      <c r="F194" t="inlineStr">
        <is>
          <t>DALARNAS LÄN</t>
        </is>
      </c>
      <c r="G194" t="inlineStr">
        <is>
          <t>VANSBRO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46217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64071-2025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46217</v>
      </c>
      <c r="F196" t="inlineStr">
        <is>
          <t>DALARNAS LÄN</t>
        </is>
      </c>
      <c r="G196" t="inlineStr">
        <is>
          <t>VANSBRO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25958-2026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46181</v>
      </c>
      <c r="E197" s="1" t="n">
        <v>46217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26689-2026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46217</v>
      </c>
      <c r="F198" t="inlineStr">
        <is>
          <t>DALARNAS LÄN</t>
        </is>
      </c>
      <c r="G198" t="inlineStr">
        <is>
          <t>VANSBRO</t>
        </is>
      </c>
      <c r="H198" t="inlineStr">
        <is>
          <t>Övriga statliga verk och myndigheter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55767-2025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46217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56043-2025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46217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56280-2025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46217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51606-2023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46217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46217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46217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10013-2024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46217</v>
      </c>
      <c r="F205" t="inlineStr">
        <is>
          <t>DALARNAS LÄN</t>
        </is>
      </c>
      <c r="G205" t="inlineStr">
        <is>
          <t>VANSBRO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28011-2025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46217</v>
      </c>
      <c r="F206" t="inlineStr">
        <is>
          <t>DALARNAS LÄN</t>
        </is>
      </c>
      <c r="G206" t="inlineStr">
        <is>
          <t>VANSBRO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46217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58733-2025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46217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20732-2026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46217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öst AB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11007-2026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46217</v>
      </c>
      <c r="F210" t="inlineStr">
        <is>
          <t>DALARNAS LÄN</t>
        </is>
      </c>
      <c r="G210" t="inlineStr">
        <is>
          <t>VANSBRO</t>
        </is>
      </c>
      <c r="H210" t="inlineStr">
        <is>
          <t>Övriga statliga verk och myndigheter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27344-2026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46217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27195-2026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46217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27334-2026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46217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27631-2026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46217</v>
      </c>
      <c r="F214" t="inlineStr">
        <is>
          <t>DALARNAS LÄN</t>
        </is>
      </c>
      <c r="G214" t="inlineStr">
        <is>
          <t>VANSBRO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27629-2026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46217</v>
      </c>
      <c r="F215" t="inlineStr">
        <is>
          <t>DALARNAS LÄN</t>
        </is>
      </c>
      <c r="G215" t="inlineStr">
        <is>
          <t>VANSBRO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27930-2026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46217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46217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46217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27937-2026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46217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öst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21744-2026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46217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27932-2026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46191</v>
      </c>
      <c r="E221" s="1" t="n">
        <v>46217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58874-2025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46217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44960</v>
      </c>
      <c r="E223" s="1" t="n">
        <v>46217</v>
      </c>
      <c r="F223" t="inlineStr">
        <is>
          <t>DALARNAS LÄN</t>
        </is>
      </c>
      <c r="G223" t="inlineStr">
        <is>
          <t>VANSBRO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11274-2024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46217</v>
      </c>
      <c r="F224" t="inlineStr">
        <is>
          <t>DALARNAS LÄN</t>
        </is>
      </c>
      <c r="G224" t="inlineStr">
        <is>
          <t>VANSBRO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60145-2025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46217</v>
      </c>
      <c r="F225" t="inlineStr">
        <is>
          <t>DALARNAS LÄN</t>
        </is>
      </c>
      <c r="G225" t="inlineStr">
        <is>
          <t>VANSBRO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60229-2025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46217</v>
      </c>
      <c r="F226" t="inlineStr">
        <is>
          <t>DALARNAS LÄN</t>
        </is>
      </c>
      <c r="G226" t="inlineStr">
        <is>
          <t>VANSBRO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60031-2022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44909</v>
      </c>
      <c r="E227" s="1" t="n">
        <v>46217</v>
      </c>
      <c r="F227" t="inlineStr">
        <is>
          <t>DALARNAS LÄN</t>
        </is>
      </c>
      <c r="G227" t="inlineStr">
        <is>
          <t>VANSBRO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57947-2023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45247</v>
      </c>
      <c r="E228" s="1" t="n">
        <v>46217</v>
      </c>
      <c r="F228" t="inlineStr">
        <is>
          <t>DALARNAS LÄN</t>
        </is>
      </c>
      <c r="G228" t="inlineStr">
        <is>
          <t>VANSBRO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7864-2024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46217</v>
      </c>
      <c r="F229" t="inlineStr">
        <is>
          <t>DALARNAS LÄN</t>
        </is>
      </c>
      <c r="G229" t="inlineStr">
        <is>
          <t>VANSBRO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33829-2024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46217</v>
      </c>
      <c r="F230" t="inlineStr">
        <is>
          <t>DALARNAS LÄN</t>
        </is>
      </c>
      <c r="G230" t="inlineStr">
        <is>
          <t>VANSBRO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35299-2024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45530</v>
      </c>
      <c r="E231" s="1" t="n">
        <v>46217</v>
      </c>
      <c r="F231" t="inlineStr">
        <is>
          <t>DALARNAS LÄN</t>
        </is>
      </c>
      <c r="G231" t="inlineStr">
        <is>
          <t>VANSBRO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22379-2026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46217</v>
      </c>
      <c r="F232" t="inlineStr">
        <is>
          <t>DALARNAS LÄN</t>
        </is>
      </c>
      <c r="G232" t="inlineStr">
        <is>
          <t>VANSBRO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22384-2026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46217</v>
      </c>
      <c r="F233" t="inlineStr">
        <is>
          <t>DALARNAS LÄN</t>
        </is>
      </c>
      <c r="G233" t="inlineStr">
        <is>
          <t>VANSBRO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46217</v>
      </c>
      <c r="F234" t="inlineStr">
        <is>
          <t>DALARNAS LÄN</t>
        </is>
      </c>
      <c r="G234" t="inlineStr">
        <is>
          <t>VANSBRO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13062-2023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45002</v>
      </c>
      <c r="E235" s="1" t="n">
        <v>46217</v>
      </c>
      <c r="F235" t="inlineStr">
        <is>
          <t>DALARNAS LÄN</t>
        </is>
      </c>
      <c r="G235" t="inlineStr">
        <is>
          <t>VANSBRO</t>
        </is>
      </c>
      <c r="H235" t="inlineStr">
        <is>
          <t>Övriga statliga verk och myndigheter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62622-2022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44925</v>
      </c>
      <c r="E236" s="1" t="n">
        <v>46217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28069-2026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46217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27080-2024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45471</v>
      </c>
      <c r="E238" s="1" t="n">
        <v>46217</v>
      </c>
      <c r="F238" t="inlineStr">
        <is>
          <t>DALARNAS LÄN</t>
        </is>
      </c>
      <c r="G238" t="inlineStr">
        <is>
          <t>VANSBRO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53828-2021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46217</v>
      </c>
      <c r="F239" t="inlineStr">
        <is>
          <t>DALARNAS LÄN</t>
        </is>
      </c>
      <c r="G239" t="inlineStr">
        <is>
          <t>VANSBRO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39484-2025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45890</v>
      </c>
      <c r="E240" s="1" t="n">
        <v>46217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21973-2024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46217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28480-2026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46217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27242-2026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46188</v>
      </c>
      <c r="E243" s="1" t="n">
        <v>46217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28466-2026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46217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46217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46033</v>
      </c>
      <c r="E246" s="1" t="n">
        <v>46217</v>
      </c>
      <c r="F246" t="inlineStr">
        <is>
          <t>DALARNAS LÄN</t>
        </is>
      </c>
      <c r="G246" t="inlineStr">
        <is>
          <t>VANSBRO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46217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46217</v>
      </c>
      <c r="F248" t="inlineStr">
        <is>
          <t>DALARNAS LÄN</t>
        </is>
      </c>
      <c r="G248" t="inlineStr">
        <is>
          <t>VANSBRO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46217</v>
      </c>
      <c r="F249" t="inlineStr">
        <is>
          <t>DALARNAS LÄN</t>
        </is>
      </c>
      <c r="G249" t="inlineStr">
        <is>
          <t>VANSBRO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46037</v>
      </c>
      <c r="E250" s="1" t="n">
        <v>46217</v>
      </c>
      <c r="F250" t="inlineStr">
        <is>
          <t>DALARNAS LÄN</t>
        </is>
      </c>
      <c r="G250" t="inlineStr">
        <is>
          <t>VANSBRO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46217</v>
      </c>
      <c r="F251" t="inlineStr">
        <is>
          <t>DALARNAS LÄN</t>
        </is>
      </c>
      <c r="G251" t="inlineStr">
        <is>
          <t>VANSBRO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46217</v>
      </c>
      <c r="F252" t="inlineStr">
        <is>
          <t>DALARNAS LÄN</t>
        </is>
      </c>
      <c r="G252" t="inlineStr">
        <is>
          <t>VANSBRO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29174-2026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46202</v>
      </c>
      <c r="E253" s="1" t="n">
        <v>46217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29035-2026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46199</v>
      </c>
      <c r="E254" s="1" t="n">
        <v>46217</v>
      </c>
      <c r="F254" t="inlineStr">
        <is>
          <t>DALARNAS LÄN</t>
        </is>
      </c>
      <c r="G254" t="inlineStr">
        <is>
          <t>VANSBRO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5420-2024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45331</v>
      </c>
      <c r="E255" s="1" t="n">
        <v>46217</v>
      </c>
      <c r="F255" t="inlineStr">
        <is>
          <t>DALARNAS LÄN</t>
        </is>
      </c>
      <c r="G255" t="inlineStr">
        <is>
          <t>VANSBRO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46217</v>
      </c>
      <c r="F256" t="inlineStr">
        <is>
          <t>DALARNAS LÄN</t>
        </is>
      </c>
      <c r="G256" t="inlineStr">
        <is>
          <t>VANSBRO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50258-2024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46217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45.8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46217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46217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46217</v>
      </c>
      <c r="F260" t="inlineStr">
        <is>
          <t>DALARNAS LÄN</t>
        </is>
      </c>
      <c r="G260" t="inlineStr">
        <is>
          <t>VANSBRO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46217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23899-2023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45078</v>
      </c>
      <c r="E262" s="1" t="n">
        <v>46217</v>
      </c>
      <c r="F262" t="inlineStr">
        <is>
          <t>DALARNAS LÄN</t>
        </is>
      </c>
      <c r="G262" t="inlineStr">
        <is>
          <t>VANSBRO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46217</v>
      </c>
      <c r="F263" t="inlineStr">
        <is>
          <t>DALARNAS LÄN</t>
        </is>
      </c>
      <c r="G263" t="inlineStr">
        <is>
          <t>VANSBRO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46217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11485-2024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45372</v>
      </c>
      <c r="E265" s="1" t="n">
        <v>46217</v>
      </c>
      <c r="F265" t="inlineStr">
        <is>
          <t>DALARNAS LÄN</t>
        </is>
      </c>
      <c r="G265" t="inlineStr">
        <is>
          <t>VANSBRO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36855-2022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46217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46217</v>
      </c>
      <c r="F267" t="inlineStr">
        <is>
          <t>DALARNAS LÄN</t>
        </is>
      </c>
      <c r="G267" t="inlineStr">
        <is>
          <t>VANSBRO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23059-2026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46217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23018-2026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46217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7259-2026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46058</v>
      </c>
      <c r="E270" s="1" t="n">
        <v>46217</v>
      </c>
      <c r="F270" t="inlineStr">
        <is>
          <t>DALARNAS LÄN</t>
        </is>
      </c>
      <c r="G270" t="inlineStr">
        <is>
          <t>VANSBRO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7236-2026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46217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7014-2026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46217</v>
      </c>
      <c r="F272" t="inlineStr">
        <is>
          <t>DALARNAS LÄN</t>
        </is>
      </c>
      <c r="G272" t="inlineStr">
        <is>
          <t>VANSBRO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46466-2024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46217</v>
      </c>
      <c r="F273" t="inlineStr">
        <is>
          <t>DALARNAS LÄN</t>
        </is>
      </c>
      <c r="G273" t="inlineStr">
        <is>
          <t>VANSBRO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13639-2022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44648</v>
      </c>
      <c r="E274" s="1" t="n">
        <v>46217</v>
      </c>
      <c r="F274" t="inlineStr">
        <is>
          <t>DALARNAS LÄN</t>
        </is>
      </c>
      <c r="G274" t="inlineStr">
        <is>
          <t>VANSBRO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7779-2026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46217</v>
      </c>
      <c r="F275" t="inlineStr">
        <is>
          <t>DALARNAS LÄN</t>
        </is>
      </c>
      <c r="G275" t="inlineStr">
        <is>
          <t>VANSBRO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29671-2026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46204</v>
      </c>
      <c r="E276" s="1" t="n">
        <v>46217</v>
      </c>
      <c r="F276" t="inlineStr">
        <is>
          <t>DALARNAS LÄN</t>
        </is>
      </c>
      <c r="G276" t="inlineStr">
        <is>
          <t>VANSBRO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29687-2026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46204</v>
      </c>
      <c r="E277" s="1" t="n">
        <v>46217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29621-2026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46204</v>
      </c>
      <c r="E278" s="1" t="n">
        <v>46217</v>
      </c>
      <c r="F278" t="inlineStr">
        <is>
          <t>DALARNAS LÄN</t>
        </is>
      </c>
      <c r="G278" t="inlineStr">
        <is>
          <t>VANSBRO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45665</v>
      </c>
      <c r="E279" s="1" t="n">
        <v>46217</v>
      </c>
      <c r="F279" t="inlineStr">
        <is>
          <t>DALARNAS LÄN</t>
        </is>
      </c>
      <c r="G279" t="inlineStr">
        <is>
          <t>VANSBRO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18306-2025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46217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29442-2026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46217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öst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46217</v>
      </c>
      <c r="F282" t="inlineStr">
        <is>
          <t>DALARNAS LÄN</t>
        </is>
      </c>
      <c r="G282" t="inlineStr">
        <is>
          <t>VANSBRO</t>
        </is>
      </c>
      <c r="I282" t="n">
        <v>15.1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56988-2023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46217</v>
      </c>
      <c r="F283" t="inlineStr">
        <is>
          <t>DALARNAS LÄN</t>
        </is>
      </c>
      <c r="G283" t="inlineStr">
        <is>
          <t>VANSBRO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46217</v>
      </c>
      <c r="F284" t="inlineStr">
        <is>
          <t>DALARNAS LÄN</t>
        </is>
      </c>
      <c r="G284" t="inlineStr">
        <is>
          <t>VANSBRO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1140-2025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45666</v>
      </c>
      <c r="E285" s="1" t="n">
        <v>46217</v>
      </c>
      <c r="F285" t="inlineStr">
        <is>
          <t>DALARNAS LÄN</t>
        </is>
      </c>
      <c r="G285" t="inlineStr">
        <is>
          <t>VANSBRO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59856-2024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46217</v>
      </c>
      <c r="F286" t="inlineStr">
        <is>
          <t>DALARNAS LÄN</t>
        </is>
      </c>
      <c r="G286" t="inlineStr">
        <is>
          <t>VANSBRO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6643-2025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46217</v>
      </c>
      <c r="F287" t="inlineStr">
        <is>
          <t>DALARNAS LÄN</t>
        </is>
      </c>
      <c r="G287" t="inlineStr">
        <is>
          <t>VANSBRO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25916-2022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44734</v>
      </c>
      <c r="E288" s="1" t="n">
        <v>46217</v>
      </c>
      <c r="F288" t="inlineStr">
        <is>
          <t>DALARNAS LÄN</t>
        </is>
      </c>
      <c r="G288" t="inlineStr">
        <is>
          <t>VANSBRO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56269-2023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46217</v>
      </c>
      <c r="F289" t="inlineStr">
        <is>
          <t>DALARNAS LÄN</t>
        </is>
      </c>
      <c r="G289" t="inlineStr">
        <is>
          <t>VANSBRO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64072-2025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46021</v>
      </c>
      <c r="E290" s="1" t="n">
        <v>46217</v>
      </c>
      <c r="F290" t="inlineStr">
        <is>
          <t>DALARNAS LÄN</t>
        </is>
      </c>
      <c r="G290" t="inlineStr">
        <is>
          <t>VANSBRO</t>
        </is>
      </c>
      <c r="I290" t="n">
        <v>19.1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45673</v>
      </c>
      <c r="E291" s="1" t="n">
        <v>46217</v>
      </c>
      <c r="F291" t="inlineStr">
        <is>
          <t>DALARNAS LÄN</t>
        </is>
      </c>
      <c r="G291" t="inlineStr">
        <is>
          <t>VANSBRO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46217</v>
      </c>
      <c r="F292" t="inlineStr">
        <is>
          <t>DALARNAS LÄN</t>
        </is>
      </c>
      <c r="G292" t="inlineStr">
        <is>
          <t>VANSBRO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7764-2026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46217</v>
      </c>
      <c r="F293" t="inlineStr">
        <is>
          <t>DALARNAS LÄN</t>
        </is>
      </c>
      <c r="G293" t="inlineStr">
        <is>
          <t>VANSBRO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24827-2022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44728</v>
      </c>
      <c r="E294" s="1" t="n">
        <v>46217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24839-2022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44728</v>
      </c>
      <c r="E295" s="1" t="n">
        <v>46217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43254-2023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45183</v>
      </c>
      <c r="E296" s="1" t="n">
        <v>46217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43258-2023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46217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29439-2026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46217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öst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29630-2026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46217</v>
      </c>
      <c r="F299" t="inlineStr">
        <is>
          <t>DALARNAS LÄN</t>
        </is>
      </c>
      <c r="G299" t="inlineStr">
        <is>
          <t>VANSBRO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11350-2026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46082</v>
      </c>
      <c r="E300" s="1" t="n">
        <v>46217</v>
      </c>
      <c r="F300" t="inlineStr">
        <is>
          <t>DALARNAS LÄN</t>
        </is>
      </c>
      <c r="G300" t="inlineStr">
        <is>
          <t>VANSBRO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5386-2024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45331</v>
      </c>
      <c r="E301" s="1" t="n">
        <v>46217</v>
      </c>
      <c r="F301" t="inlineStr">
        <is>
          <t>DALARNAS LÄN</t>
        </is>
      </c>
      <c r="G301" t="inlineStr">
        <is>
          <t>VANSBRO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11349-2026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46082</v>
      </c>
      <c r="E302" s="1" t="n">
        <v>46217</v>
      </c>
      <c r="F302" t="inlineStr">
        <is>
          <t>DALARNAS LÄN</t>
        </is>
      </c>
      <c r="G302" t="inlineStr">
        <is>
          <t>VANSBRO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46217</v>
      </c>
      <c r="F303" t="inlineStr">
        <is>
          <t>DALARNAS LÄN</t>
        </is>
      </c>
      <c r="G303" t="inlineStr">
        <is>
          <t>VANSBRO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46217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25496-2024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45463</v>
      </c>
      <c r="E305" s="1" t="n">
        <v>46217</v>
      </c>
      <c r="F305" t="inlineStr">
        <is>
          <t>DALARNAS LÄN</t>
        </is>
      </c>
      <c r="G305" t="inlineStr">
        <is>
          <t>VANSBRO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23752-2026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46164</v>
      </c>
      <c r="E306" s="1" t="n">
        <v>46217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12475-2026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46217</v>
      </c>
      <c r="F307" t="inlineStr">
        <is>
          <t>DALARNAS LÄN</t>
        </is>
      </c>
      <c r="G307" t="inlineStr">
        <is>
          <t>VANSBRO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40290-2023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46217</v>
      </c>
      <c r="F308" t="inlineStr">
        <is>
          <t>DALARNAS LÄN</t>
        </is>
      </c>
      <c r="G308" t="inlineStr">
        <is>
          <t>VANSBRO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43658-2023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46217</v>
      </c>
      <c r="F309" t="inlineStr">
        <is>
          <t>DALARNAS LÄN</t>
        </is>
      </c>
      <c r="G309" t="inlineStr">
        <is>
          <t>VANSBRO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13392-2026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46217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23780-2026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46217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50741-2022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46217</v>
      </c>
      <c r="F312" t="inlineStr">
        <is>
          <t>DALARNAS LÄN</t>
        </is>
      </c>
      <c r="G312" t="inlineStr">
        <is>
          <t>VANSBRO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13495-2026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46217</v>
      </c>
      <c r="F313" t="inlineStr">
        <is>
          <t>DALARNAS LÄN</t>
        </is>
      </c>
      <c r="G313" t="inlineStr">
        <is>
          <t>VANSBRO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13403-2026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46217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13506-2026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46217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30568-2026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46210</v>
      </c>
      <c r="E316" s="1" t="n">
        <v>46217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15088-2025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45744</v>
      </c>
      <c r="E317" s="1" t="n">
        <v>46217</v>
      </c>
      <c r="F317" t="inlineStr">
        <is>
          <t>DALARNAS LÄN</t>
        </is>
      </c>
      <c r="G317" t="inlineStr">
        <is>
          <t>VANSBRO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14112-2026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46217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50125-2023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46217</v>
      </c>
      <c r="F319" t="inlineStr">
        <is>
          <t>DALARNAS LÄN</t>
        </is>
      </c>
      <c r="G319" t="inlineStr">
        <is>
          <t>VANSBRO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50141-2023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46217</v>
      </c>
      <c r="F320" t="inlineStr">
        <is>
          <t>DALARNAS LÄN</t>
        </is>
      </c>
      <c r="G320" t="inlineStr">
        <is>
          <t>VANSBRO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16827-2025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46217</v>
      </c>
      <c r="F321" t="inlineStr">
        <is>
          <t>DALARNAS LÄN</t>
        </is>
      </c>
      <c r="G321" t="inlineStr">
        <is>
          <t>VANSBRO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59435-2023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45254</v>
      </c>
      <c r="E322" s="1" t="n">
        <v>46217</v>
      </c>
      <c r="F322" t="inlineStr">
        <is>
          <t>DALARNAS LÄN</t>
        </is>
      </c>
      <c r="G322" t="inlineStr">
        <is>
          <t>VANSBRO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45322</v>
      </c>
      <c r="E323" s="1" t="n">
        <v>46217</v>
      </c>
      <c r="F323" t="inlineStr">
        <is>
          <t>DALARNAS LÄN</t>
        </is>
      </c>
      <c r="G323" t="inlineStr">
        <is>
          <t>VANSBRO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59600-2023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45254</v>
      </c>
      <c r="E324" s="1" t="n">
        <v>46217</v>
      </c>
      <c r="F324" t="inlineStr">
        <is>
          <t>DALARNAS LÄN</t>
        </is>
      </c>
      <c r="G324" t="inlineStr">
        <is>
          <t>VANSBRO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12917-2026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46217</v>
      </c>
      <c r="F325" t="inlineStr">
        <is>
          <t>DALARNAS LÄN</t>
        </is>
      </c>
      <c r="G325" t="inlineStr">
        <is>
          <t>VANSBRO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15408-2026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46217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24202-2026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46217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15676-2026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46217</v>
      </c>
      <c r="F328" t="inlineStr">
        <is>
          <t>DALARNAS LÄN</t>
        </is>
      </c>
      <c r="G328" t="inlineStr">
        <is>
          <t>VANSBRO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44930</v>
      </c>
      <c r="E329" s="1" t="n">
        <v>46217</v>
      </c>
      <c r="F329" t="inlineStr">
        <is>
          <t>DALARNAS LÄN</t>
        </is>
      </c>
      <c r="G329" t="inlineStr">
        <is>
          <t>VANSBRO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55078-2022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44886</v>
      </c>
      <c r="E330" s="1" t="n">
        <v>46217</v>
      </c>
      <c r="F330" t="inlineStr">
        <is>
          <t>DALARNAS LÄN</t>
        </is>
      </c>
      <c r="G330" t="inlineStr">
        <is>
          <t>VANSBRO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16134-2026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46217</v>
      </c>
      <c r="F331" t="inlineStr">
        <is>
          <t>DALARNAS LÄN</t>
        </is>
      </c>
      <c r="G331" t="inlineStr">
        <is>
          <t>VANSBRO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30509-2026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46217</v>
      </c>
      <c r="F332" t="inlineStr">
        <is>
          <t>DALARNAS LÄN</t>
        </is>
      </c>
      <c r="G332" t="inlineStr">
        <is>
          <t>VANSBRO</t>
        </is>
      </c>
      <c r="H332" t="inlineStr">
        <is>
          <t>Övriga statliga verk och myndigheter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16669-2026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46217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16952-2026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46217</v>
      </c>
      <c r="F334" t="inlineStr">
        <is>
          <t>DALARNAS LÄN</t>
        </is>
      </c>
      <c r="G334" t="inlineStr">
        <is>
          <t>VANSBRO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16948-2026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46217</v>
      </c>
      <c r="F335" t="inlineStr">
        <is>
          <t>DALARNAS LÄN</t>
        </is>
      </c>
      <c r="G335" t="inlineStr">
        <is>
          <t>VANSBRO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17321-2026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46217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17553-2026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46217</v>
      </c>
      <c r="F337" t="inlineStr">
        <is>
          <t>DALARNAS LÄN</t>
        </is>
      </c>
      <c r="G337" t="inlineStr">
        <is>
          <t>VANSBRO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17609-2026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46217</v>
      </c>
      <c r="F338" t="inlineStr">
        <is>
          <t>DALARNAS LÄN</t>
        </is>
      </c>
      <c r="G338" t="inlineStr">
        <is>
          <t>VANSBRO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46217</v>
      </c>
      <c r="F339" t="inlineStr">
        <is>
          <t>DALARNAS LÄN</t>
        </is>
      </c>
      <c r="G339" t="inlineStr">
        <is>
          <t>VANSBRO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46217</v>
      </c>
      <c r="F340" t="inlineStr">
        <is>
          <t>DALARNAS LÄN</t>
        </is>
      </c>
      <c r="G340" t="inlineStr">
        <is>
          <t>VANSBRO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17551-2026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46217</v>
      </c>
      <c r="F341" t="inlineStr">
        <is>
          <t>DALARNAS LÄN</t>
        </is>
      </c>
      <c r="G341" t="inlineStr">
        <is>
          <t>VANSBRO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17604-2026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46217</v>
      </c>
      <c r="F342" t="inlineStr">
        <is>
          <t>DALARNAS LÄN</t>
        </is>
      </c>
      <c r="G342" t="inlineStr">
        <is>
          <t>VANSBRO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24277-2026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46169</v>
      </c>
      <c r="E343" s="1" t="n">
        <v>46217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18068-2026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46217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30784-2026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46217</v>
      </c>
      <c r="F345" t="inlineStr">
        <is>
          <t>DALARNAS LÄN</t>
        </is>
      </c>
      <c r="G345" t="inlineStr">
        <is>
          <t>VANSBRO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17998-2026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46124</v>
      </c>
      <c r="E346" s="1" t="n">
        <v>46217</v>
      </c>
      <c r="F346" t="inlineStr">
        <is>
          <t>DALARNAS LÄN</t>
        </is>
      </c>
      <c r="G346" t="inlineStr">
        <is>
          <t>VANSBRO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18140-2026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46217</v>
      </c>
      <c r="F347" t="inlineStr">
        <is>
          <t>DALARNAS LÄN</t>
        </is>
      </c>
      <c r="G347" t="inlineStr">
        <is>
          <t>VANSBRO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30796-2026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46212</v>
      </c>
      <c r="E348" s="1" t="n">
        <v>46217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46217</v>
      </c>
      <c r="F349" t="inlineStr">
        <is>
          <t>DALARNAS LÄN</t>
        </is>
      </c>
      <c r="G349" t="inlineStr">
        <is>
          <t>VANSBRO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46217</v>
      </c>
      <c r="F350" t="inlineStr">
        <is>
          <t>DALARNAS LÄN</t>
        </is>
      </c>
      <c r="G350" t="inlineStr">
        <is>
          <t>VANSBRO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18588-2026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46217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46217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61717-2023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46217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18580-2026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46217</v>
      </c>
      <c r="F354" t="inlineStr">
        <is>
          <t>DALARNAS LÄN</t>
        </is>
      </c>
      <c r="G354" t="inlineStr">
        <is>
          <t>VANSBRO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46217</v>
      </c>
      <c r="F355" t="inlineStr">
        <is>
          <t>DALARNAS LÄN</t>
        </is>
      </c>
      <c r="G355" t="inlineStr">
        <is>
          <t>VANSBRO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18823-2026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46217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28872-2026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46217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11408-2025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45726</v>
      </c>
      <c r="E358" s="1" t="n">
        <v>46217</v>
      </c>
      <c r="F358" t="inlineStr">
        <is>
          <t>DALARNAS LÄN</t>
        </is>
      </c>
      <c r="G358" t="inlineStr">
        <is>
          <t>VANSBRO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18717-2026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46217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46217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18709-2026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46217</v>
      </c>
      <c r="F361" t="inlineStr">
        <is>
          <t>DALARNAS LÄN</t>
        </is>
      </c>
      <c r="G361" t="inlineStr">
        <is>
          <t>VANSBRO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33837-2024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45520</v>
      </c>
      <c r="E362" s="1" t="n">
        <v>46217</v>
      </c>
      <c r="F362" t="inlineStr">
        <is>
          <t>DALARNAS LÄN</t>
        </is>
      </c>
      <c r="G362" t="inlineStr">
        <is>
          <t>VANSBRO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35537-2024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46217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61515-2022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44916</v>
      </c>
      <c r="E364" s="1" t="n">
        <v>46217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14057-2023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46217</v>
      </c>
      <c r="F365" t="inlineStr">
        <is>
          <t>DALARNAS LÄN</t>
        </is>
      </c>
      <c r="G365" t="inlineStr">
        <is>
          <t>VANSBRO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44960</v>
      </c>
      <c r="E366" s="1" t="n">
        <v>46217</v>
      </c>
      <c r="F366" t="inlineStr">
        <is>
          <t>DALARNAS LÄN</t>
        </is>
      </c>
      <c r="G366" t="inlineStr">
        <is>
          <t>VANSBRO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41371-2022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44826</v>
      </c>
      <c r="E367" s="1" t="n">
        <v>46217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7142-2023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46217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46217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46217</v>
      </c>
      <c r="F370" t="inlineStr">
        <is>
          <t>DALARNAS LÄN</t>
        </is>
      </c>
      <c r="G370" t="inlineStr">
        <is>
          <t>VANSBRO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22756-2024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46217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46217</v>
      </c>
      <c r="F372" t="inlineStr">
        <is>
          <t>DALARNAS LÄN</t>
        </is>
      </c>
      <c r="G372" t="inlineStr">
        <is>
          <t>VANSBRO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30342-2023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46217</v>
      </c>
      <c r="F373" t="inlineStr">
        <is>
          <t>DALARNAS LÄN</t>
        </is>
      </c>
      <c r="G373" t="inlineStr">
        <is>
          <t>VANSBRO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49509-2024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46217</v>
      </c>
      <c r="F374" t="inlineStr">
        <is>
          <t>DALARNAS LÄN</t>
        </is>
      </c>
      <c r="G374" t="inlineStr">
        <is>
          <t>VANSBRO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46217</v>
      </c>
      <c r="F375" t="inlineStr">
        <is>
          <t>DALARNAS LÄN</t>
        </is>
      </c>
      <c r="G375" t="inlineStr">
        <is>
          <t>VANSBRO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56129-2023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45240</v>
      </c>
      <c r="E376" s="1" t="n">
        <v>46217</v>
      </c>
      <c r="F376" t="inlineStr">
        <is>
          <t>DALARNAS LÄN</t>
        </is>
      </c>
      <c r="G376" t="inlineStr">
        <is>
          <t>VANSBRO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48005-2022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44855</v>
      </c>
      <c r="E377" s="1" t="n">
        <v>46217</v>
      </c>
      <c r="F377" t="inlineStr">
        <is>
          <t>DALARNAS LÄN</t>
        </is>
      </c>
      <c r="G377" t="inlineStr">
        <is>
          <t>VANSBRO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34882-2022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44796</v>
      </c>
      <c r="E378" s="1" t="n">
        <v>46217</v>
      </c>
      <c r="F378" t="inlineStr">
        <is>
          <t>DALARNAS LÄN</t>
        </is>
      </c>
      <c r="G378" t="inlineStr">
        <is>
          <t>VANSBRO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49921-2023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45214</v>
      </c>
      <c r="E379" s="1" t="n">
        <v>46217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27089-2024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45471</v>
      </c>
      <c r="E380" s="1" t="n">
        <v>46217</v>
      </c>
      <c r="F380" t="inlineStr">
        <is>
          <t>DALARNAS LÄN</t>
        </is>
      </c>
      <c r="G380" t="inlineStr">
        <is>
          <t>VANSBRO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45356-2024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46217</v>
      </c>
      <c r="F381" t="inlineStr">
        <is>
          <t>DALARNAS LÄN</t>
        </is>
      </c>
      <c r="G381" t="inlineStr">
        <is>
          <t>VANSBRO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45689</v>
      </c>
      <c r="E382" s="1" t="n">
        <v>46217</v>
      </c>
      <c r="F382" t="inlineStr">
        <is>
          <t>DALARNAS LÄN</t>
        </is>
      </c>
      <c r="G382" t="inlineStr">
        <is>
          <t>VANSBRO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9296-2023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46217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21418-2023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45063</v>
      </c>
      <c r="E384" s="1" t="n">
        <v>46217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55570-2023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45238</v>
      </c>
      <c r="E385" s="1" t="n">
        <v>46217</v>
      </c>
      <c r="F385" t="inlineStr">
        <is>
          <t>DALARNAS LÄN</t>
        </is>
      </c>
      <c r="G385" t="inlineStr">
        <is>
          <t>VANSBRO</t>
        </is>
      </c>
      <c r="H385" t="inlineStr">
        <is>
          <t>Övriga statliga verk och myndigheter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44931</v>
      </c>
      <c r="E386" s="1" t="n">
        <v>46217</v>
      </c>
      <c r="F386" t="inlineStr">
        <is>
          <t>DALARNAS LÄN</t>
        </is>
      </c>
      <c r="G386" t="inlineStr">
        <is>
          <t>VANSBRO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53498-2024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45614</v>
      </c>
      <c r="E387" s="1" t="n">
        <v>46217</v>
      </c>
      <c r="F387" t="inlineStr">
        <is>
          <t>DALARNAS LÄN</t>
        </is>
      </c>
      <c r="G387" t="inlineStr">
        <is>
          <t>VANSBRO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48111-2024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45589</v>
      </c>
      <c r="E388" s="1" t="n">
        <v>46217</v>
      </c>
      <c r="F388" t="inlineStr">
        <is>
          <t>DALARNAS LÄN</t>
        </is>
      </c>
      <c r="G388" t="inlineStr">
        <is>
          <t>VANSBRO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9298-2023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46217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34738-2023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46217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40382-2023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46217</v>
      </c>
      <c r="F391" t="inlineStr">
        <is>
          <t>DALARNAS LÄN</t>
        </is>
      </c>
      <c r="G391" t="inlineStr">
        <is>
          <t>VANSBRO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40383-2023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46217</v>
      </c>
      <c r="F392" t="inlineStr">
        <is>
          <t>DALARNAS LÄN</t>
        </is>
      </c>
      <c r="G392" t="inlineStr">
        <is>
          <t>VANSBRO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34277-2022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44791</v>
      </c>
      <c r="E393" s="1" t="n">
        <v>46217</v>
      </c>
      <c r="F393" t="inlineStr">
        <is>
          <t>DALARNAS LÄN</t>
        </is>
      </c>
      <c r="G393" t="inlineStr">
        <is>
          <t>VANSBRO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45296</v>
      </c>
      <c r="E394" s="1" t="n">
        <v>46217</v>
      </c>
      <c r="F394" t="inlineStr">
        <is>
          <t>DALARNAS LÄN</t>
        </is>
      </c>
      <c r="G394" t="inlineStr">
        <is>
          <t>VANSBRO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8447-2022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44612</v>
      </c>
      <c r="E395" s="1" t="n">
        <v>46217</v>
      </c>
      <c r="F395" t="inlineStr">
        <is>
          <t>DALARNAS LÄN</t>
        </is>
      </c>
      <c r="G395" t="inlineStr">
        <is>
          <t>VANSBRO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35365-2022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44798</v>
      </c>
      <c r="E396" s="1" t="n">
        <v>46217</v>
      </c>
      <c r="F396" t="inlineStr">
        <is>
          <t>DALARNAS LÄN</t>
        </is>
      </c>
      <c r="G396" t="inlineStr">
        <is>
          <t>VANSBRO</t>
        </is>
      </c>
      <c r="H396" t="inlineStr">
        <is>
          <t>Kommuner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10886-2025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45722</v>
      </c>
      <c r="E397" s="1" t="n">
        <v>46217</v>
      </c>
      <c r="F397" t="inlineStr">
        <is>
          <t>DALARNAS LÄN</t>
        </is>
      </c>
      <c r="G397" t="inlineStr">
        <is>
          <t>VANSBRO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33520-2024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45519</v>
      </c>
      <c r="E398" s="1" t="n">
        <v>46217</v>
      </c>
      <c r="F398" t="inlineStr">
        <is>
          <t>DALARNAS LÄN</t>
        </is>
      </c>
      <c r="G398" t="inlineStr">
        <is>
          <t>VANSBRO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62398-2021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44503</v>
      </c>
      <c r="E399" s="1" t="n">
        <v>46217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22.1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23432-2024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45453</v>
      </c>
      <c r="E400" s="1" t="n">
        <v>46217</v>
      </c>
      <c r="F400" t="inlineStr">
        <is>
          <t>DALARNAS LÄN</t>
        </is>
      </c>
      <c r="G400" t="inlineStr">
        <is>
          <t>VANSBRO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45666</v>
      </c>
      <c r="E401" s="1" t="n">
        <v>46217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16823-2025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45754</v>
      </c>
      <c r="E402" s="1" t="n">
        <v>46217</v>
      </c>
      <c r="F402" t="inlineStr">
        <is>
          <t>DALARNAS LÄN</t>
        </is>
      </c>
      <c r="G402" t="inlineStr">
        <is>
          <t>VANSBRO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45712</v>
      </c>
      <c r="E403" s="1" t="n">
        <v>46217</v>
      </c>
      <c r="F403" t="inlineStr">
        <is>
          <t>DALARNAS LÄN</t>
        </is>
      </c>
      <c r="G403" t="inlineStr">
        <is>
          <t>VANSBRO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60036-2023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45258</v>
      </c>
      <c r="E404" s="1" t="n">
        <v>46217</v>
      </c>
      <c r="F404" t="inlineStr">
        <is>
          <t>DALARNAS LÄN</t>
        </is>
      </c>
      <c r="G404" t="inlineStr">
        <is>
          <t>VANSBRO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2086-2024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45309</v>
      </c>
      <c r="E405" s="1" t="n">
        <v>46217</v>
      </c>
      <c r="F405" t="inlineStr">
        <is>
          <t>DALARNAS LÄN</t>
        </is>
      </c>
      <c r="G405" t="inlineStr">
        <is>
          <t>VANSBRO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18882-2025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46217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47824-2023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46217</v>
      </c>
      <c r="F407" t="inlineStr">
        <is>
          <t>DALARNAS LÄN</t>
        </is>
      </c>
      <c r="G407" t="inlineStr">
        <is>
          <t>VANSBRO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42824-2023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45182</v>
      </c>
      <c r="E408" s="1" t="n">
        <v>46217</v>
      </c>
      <c r="F408" t="inlineStr">
        <is>
          <t>DALARNAS LÄN</t>
        </is>
      </c>
      <c r="G408" t="inlineStr">
        <is>
          <t>VANSBRO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56986-2023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46217</v>
      </c>
      <c r="F409" t="inlineStr">
        <is>
          <t>DALARNAS LÄN</t>
        </is>
      </c>
      <c r="G409" t="inlineStr">
        <is>
          <t>VANSBRO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42207-2021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44426</v>
      </c>
      <c r="E410" s="1" t="n">
        <v>46217</v>
      </c>
      <c r="F410" t="inlineStr">
        <is>
          <t>DALARNAS LÄN</t>
        </is>
      </c>
      <c r="G410" t="inlineStr">
        <is>
          <t>VANSBRO</t>
        </is>
      </c>
      <c r="I410" t="n">
        <v>25.5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29288-2024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46217</v>
      </c>
      <c r="F411" t="inlineStr">
        <is>
          <t>DALARNAS LÄN</t>
        </is>
      </c>
      <c r="G411" t="inlineStr">
        <is>
          <t>VANSBRO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45783</v>
      </c>
      <c r="E412" s="1" t="n">
        <v>46217</v>
      </c>
      <c r="F412" t="inlineStr">
        <is>
          <t>DALARNAS LÄN</t>
        </is>
      </c>
      <c r="G412" t="inlineStr">
        <is>
          <t>VANSBRO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45674</v>
      </c>
      <c r="E413" s="1" t="n">
        <v>46217</v>
      </c>
      <c r="F413" t="inlineStr">
        <is>
          <t>DALARNAS LÄN</t>
        </is>
      </c>
      <c r="G413" t="inlineStr">
        <is>
          <t>VANSBRO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21656-2025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45783</v>
      </c>
      <c r="E414" s="1" t="n">
        <v>46217</v>
      </c>
      <c r="F414" t="inlineStr">
        <is>
          <t>DALARNAS LÄN</t>
        </is>
      </c>
      <c r="G414" t="inlineStr">
        <is>
          <t>VANSBRO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23085-2022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44719</v>
      </c>
      <c r="E415" s="1" t="n">
        <v>46217</v>
      </c>
      <c r="F415" t="inlineStr">
        <is>
          <t>DALARNAS LÄN</t>
        </is>
      </c>
      <c r="G415" t="inlineStr">
        <is>
          <t>VANSBRO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30544-2024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45492</v>
      </c>
      <c r="E416" s="1" t="n">
        <v>46217</v>
      </c>
      <c r="F416" t="inlineStr">
        <is>
          <t>DALARNAS LÄN</t>
        </is>
      </c>
      <c r="G416" t="inlineStr">
        <is>
          <t>VANSBRO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29411-2024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45483</v>
      </c>
      <c r="E417" s="1" t="n">
        <v>46217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23792-2025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46217</v>
      </c>
      <c r="F418" t="inlineStr">
        <is>
          <t>DALARNAS LÄN</t>
        </is>
      </c>
      <c r="G418" t="inlineStr">
        <is>
          <t>VANSBRO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4760-2025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45688</v>
      </c>
      <c r="E419" s="1" t="n">
        <v>46217</v>
      </c>
      <c r="F419" t="inlineStr">
        <is>
          <t>DALARNAS LÄN</t>
        </is>
      </c>
      <c r="G419" t="inlineStr">
        <is>
          <t>VANSBRO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35516-2024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46217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24522-2025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46217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26508-2025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46217</v>
      </c>
      <c r="F422" t="inlineStr">
        <is>
          <t>DALARNAS LÄN</t>
        </is>
      </c>
      <c r="G422" t="inlineStr">
        <is>
          <t>VANSBRO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26510-2025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46217</v>
      </c>
      <c r="F423" t="inlineStr">
        <is>
          <t>DALARNAS LÄN</t>
        </is>
      </c>
      <c r="G423" t="inlineStr">
        <is>
          <t>VANSBRO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46217</v>
      </c>
      <c r="F424" t="inlineStr">
        <is>
          <t>DALARNAS LÄN</t>
        </is>
      </c>
      <c r="G424" t="inlineStr">
        <is>
          <t>VANSBRO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26995-2025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46217</v>
      </c>
      <c r="F425" t="inlineStr">
        <is>
          <t>DALARNAS LÄN</t>
        </is>
      </c>
      <c r="G425" t="inlineStr">
        <is>
          <t>VANSBRO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46217</v>
      </c>
      <c r="F426" t="inlineStr">
        <is>
          <t>DALARNAS LÄN</t>
        </is>
      </c>
      <c r="G426" t="inlineStr">
        <is>
          <t>VANSBRO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46217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29281-2025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46217</v>
      </c>
      <c r="F428" t="inlineStr">
        <is>
          <t>DALARNAS LÄN</t>
        </is>
      </c>
      <c r="G428" t="inlineStr">
        <is>
          <t>VANSBRO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31196-2025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46217</v>
      </c>
      <c r="F429" t="inlineStr">
        <is>
          <t>DALARNAS LÄN</t>
        </is>
      </c>
      <c r="G429" t="inlineStr">
        <is>
          <t>VANSBRO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31499-2025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46217</v>
      </c>
      <c r="F430" t="inlineStr">
        <is>
          <t>DALARNAS LÄN</t>
        </is>
      </c>
      <c r="G430" t="inlineStr">
        <is>
          <t>VANSBRO</t>
        </is>
      </c>
      <c r="I430" t="n">
        <v>27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31489-2025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46217</v>
      </c>
      <c r="F431" t="inlineStr">
        <is>
          <t>DALARNAS LÄN</t>
        </is>
      </c>
      <c r="G431" t="inlineStr">
        <is>
          <t>VANSBRO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32040-2025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46217</v>
      </c>
      <c r="F432" t="inlineStr">
        <is>
          <t>DALARNAS LÄN</t>
        </is>
      </c>
      <c r="G432" t="inlineStr">
        <is>
          <t>VANSBRO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33109-2025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46217</v>
      </c>
      <c r="F433" t="inlineStr">
        <is>
          <t>DALARNAS LÄN</t>
        </is>
      </c>
      <c r="G433" t="inlineStr">
        <is>
          <t>VANSBRO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33036-2025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46217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33056-2025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46217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33000-2025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46217</v>
      </c>
      <c r="F436" t="inlineStr">
        <is>
          <t>DALARNAS LÄN</t>
        </is>
      </c>
      <c r="G436" t="inlineStr">
        <is>
          <t>VANSBRO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34440-2025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46217</v>
      </c>
      <c r="F437" t="inlineStr">
        <is>
          <t>DALARNAS LÄN</t>
        </is>
      </c>
      <c r="G437" t="inlineStr">
        <is>
          <t>VANSBRO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46217</v>
      </c>
      <c r="F438" t="inlineStr">
        <is>
          <t>DALARNAS LÄN</t>
        </is>
      </c>
      <c r="G438" t="inlineStr">
        <is>
          <t>VANSBRO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45860</v>
      </c>
      <c r="E439" s="1" t="n">
        <v>46217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17366-2025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45756</v>
      </c>
      <c r="E440" s="1" t="n">
        <v>46217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16830-2025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46217</v>
      </c>
      <c r="F441" t="inlineStr">
        <is>
          <t>DALARNAS LÄN</t>
        </is>
      </c>
      <c r="G441" t="inlineStr">
        <is>
          <t>VANSBRO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46217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46217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46217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46217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46217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46217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2026-07-14T09:02:41Z</dcterms:created>
  <dcterms:modified xmlns:dcterms="http://purl.org/dc/terms/" xmlns:xsi="http://www.w3.org/2001/XMLSchema-instance" xsi:type="dcterms:W3CDTF">2026-07-14T09:02:41Z</dcterms:modified>
</cp:coreProperties>
</file>