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46219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46219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46219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46219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46219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46219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46219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46219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46219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46219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46219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46219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46219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46219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46219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46219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46219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12</v>
      </c>
      <c r="U18" s="2" t="inlineStr">
        <is>
          <t>Garnlav
Knärot
Lunglav
Vedticka</t>
        </is>
      </c>
      <c r="V18">
        <f>HYPERLINK("https://klasma.github.io/Logging_2021/artfynd/A 33962-2025 artfynd.xlsx", "A 33962-2025")</f>
        <v/>
      </c>
      <c r="W18">
        <f>HYPERLINK("https://klasma.github.io/Logging_2021/kartor/A 33962-2025 karta.png", "A 33962-2025")</f>
        <v/>
      </c>
      <c r="X18">
        <f>HYPERLINK("https://klasma.github.io/Logging_2021/knärot/A 33962-2025 karta knärot.png", "A 33962-2025")</f>
        <v/>
      </c>
      <c r="Y18">
        <f>HYPERLINK("https://klasma.github.io/Logging_2021/klagomål/A 33962-2025 FSC-klagomål.docx", "A 33962-2025")</f>
        <v/>
      </c>
      <c r="Z18">
        <f>HYPERLINK("https://klasma.github.io/Logging_2021/klagomålsmail/A 33962-2025 FSC-klagomål mail.docx", "A 33962-2025")</f>
        <v/>
      </c>
      <c r="AA18">
        <f>HYPERLINK("https://klasma.github.io/Logging_2021/tillsyn/A 33962-2025 tillsynsbegäran.docx", "A 33962-2025")</f>
        <v/>
      </c>
      <c r="AB18">
        <f>HYPERLINK("https://klasma.github.io/Logging_2021/tillsynsmail/A 33962-2025 tillsynsbegäran mail.docx", "A 33962-2025")</f>
        <v/>
      </c>
    </row>
    <row r="19" ht="15" customHeight="1">
      <c r="A19" t="inlineStr">
        <is>
          <t>A 13339-2025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46219</v>
      </c>
      <c r="F19" t="inlineStr">
        <is>
          <t>DALARNAS LÄN</t>
        </is>
      </c>
      <c r="G19" t="inlineStr">
        <is>
          <t>VANSBRO</t>
        </is>
      </c>
      <c r="I19" t="n">
        <v>0.4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s="2" t="inlineStr">
        <is>
          <t>Garnlav
Knärot
Dropptaggsvamp
Mörk kolflarnlav</t>
        </is>
      </c>
      <c r="V19">
        <f>HYPERLINK("https://klasma.github.io/Logging_2021/artfynd/A 13339-2025 artfynd.xlsx", "A 13339-2025")</f>
        <v/>
      </c>
      <c r="W19">
        <f>HYPERLINK("https://klasma.github.io/Logging_2021/kartor/A 13339-2025 karta.png", "A 13339-2025")</f>
        <v/>
      </c>
      <c r="X19">
        <f>HYPERLINK("https://klasma.github.io/Logging_2021/knärot/A 13339-2025 karta knärot.png", "A 13339-2025")</f>
        <v/>
      </c>
      <c r="Y19">
        <f>HYPERLINK("https://klasma.github.io/Logging_2021/klagomål/A 13339-2025 FSC-klagomål.docx", "A 13339-2025")</f>
        <v/>
      </c>
      <c r="Z19">
        <f>HYPERLINK("https://klasma.github.io/Logging_2021/klagomålsmail/A 13339-2025 FSC-klagomål mail.docx", "A 13339-2025")</f>
        <v/>
      </c>
      <c r="AA19">
        <f>HYPERLINK("https://klasma.github.io/Logging_2021/tillsyn/A 13339-2025 tillsynsbegäran.docx", "A 13339-2025")</f>
        <v/>
      </c>
      <c r="AB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46219</v>
      </c>
      <c r="F20" t="inlineStr">
        <is>
          <t>DALARNAS LÄN</t>
        </is>
      </c>
      <c r="G20" t="inlineStr">
        <is>
          <t>VANSBRO</t>
        </is>
      </c>
      <c r="I20" t="n">
        <v>0.5</v>
      </c>
      <c r="J20" t="n">
        <v>2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6</v>
      </c>
      <c r="U20" s="2" t="inlineStr">
        <is>
          <t>Knärot
Mörk kolflarnlav
Ullticka
Tjäder</t>
        </is>
      </c>
      <c r="V20">
        <f>HYPERLINK("https://klasma.github.io/Logging_2021/artfynd/A 13344-2025 artfynd.xlsx", "A 13344-2025")</f>
        <v/>
      </c>
      <c r="W20">
        <f>HYPERLINK("https://klasma.github.io/Logging_2021/kartor/A 13344-2025 karta.png", "A 13344-2025")</f>
        <v/>
      </c>
      <c r="X20">
        <f>HYPERLINK("https://klasma.github.io/Logging_2021/knärot/A 13344-2025 karta knärot.png", "A 13344-2025")</f>
        <v/>
      </c>
      <c r="Y20">
        <f>HYPERLINK("https://klasma.github.io/Logging_2021/klagomål/A 13344-2025 FSC-klagomål.docx", "A 13344-2025")</f>
        <v/>
      </c>
      <c r="Z20">
        <f>HYPERLINK("https://klasma.github.io/Logging_2021/klagomålsmail/A 13344-2025 FSC-klagomål mail.docx", "A 13344-2025")</f>
        <v/>
      </c>
      <c r="AA20">
        <f>HYPERLINK("https://klasma.github.io/Logging_2021/tillsyn/A 13344-2025 tillsynsbegäran.docx", "A 13344-2025")</f>
        <v/>
      </c>
      <c r="AB20">
        <f>HYPERLINK("https://klasma.github.io/Logging_2021/tillsynsmail/A 13344-2025 tillsynsbegäran mail.docx", "A 13344-2025")</f>
        <v/>
      </c>
      <c r="AC20">
        <f>HYPERLINK("https://klasma.github.io/Logging_2021/fåglar/A 13344-2025 prioriterade fågelarter.docx", "A 13344-2025")</f>
        <v/>
      </c>
    </row>
    <row r="21" ht="15" customHeight="1">
      <c r="A21" t="inlineStr">
        <is>
          <t>A 11477-2026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46083</v>
      </c>
      <c r="E21" s="1" t="n">
        <v>46219</v>
      </c>
      <c r="F21" t="inlineStr">
        <is>
          <t>DALARNAS LÄN</t>
        </is>
      </c>
      <c r="G21" t="inlineStr">
        <is>
          <t>VANSBRO</t>
        </is>
      </c>
      <c r="I21" t="n">
        <v>14.5</v>
      </c>
      <c r="J21" t="n">
        <v>0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5</v>
      </c>
      <c r="U21" s="2" t="inlineStr">
        <is>
          <t>Garnlav
Dvärgbägarlav
Nordtagging
Vedskivlav</t>
        </is>
      </c>
      <c r="V21">
        <f>HYPERLINK("https://klasma.github.io/Logging_2021/artfynd/A 11477-2026 artfynd.xlsx", "A 11477-2026")</f>
        <v/>
      </c>
      <c r="W21">
        <f>HYPERLINK("https://klasma.github.io/Logging_2021/kartor/A 11477-2026 karta.png", "A 11477-2026")</f>
        <v/>
      </c>
      <c r="Y21">
        <f>HYPERLINK("https://klasma.github.io/Logging_2021/klagomål/A 11477-2026 FSC-klagomål.docx", "A 11477-2026")</f>
        <v/>
      </c>
      <c r="Z21">
        <f>HYPERLINK("https://klasma.github.io/Logging_2021/klagomålsmail/A 11477-2026 FSC-klagomål mail.docx", "A 11477-2026")</f>
        <v/>
      </c>
      <c r="AA21">
        <f>HYPERLINK("https://klasma.github.io/Logging_2021/tillsyn/A 11477-2026 tillsynsbegäran.docx", "A 11477-2026")</f>
        <v/>
      </c>
      <c r="AB21">
        <f>HYPERLINK("https://klasma.github.io/Logging_2021/tillsynsmail/A 11477-2026 tillsynsbegäran mail.docx", "A 11477-2026")</f>
        <v/>
      </c>
    </row>
    <row r="22" ht="15" customHeight="1">
      <c r="A22" t="inlineStr">
        <is>
          <t>A 16725-2024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45409</v>
      </c>
      <c r="E22" s="1" t="n">
        <v>46219</v>
      </c>
      <c r="F22" t="inlineStr">
        <is>
          <t>DALARNAS LÄN</t>
        </is>
      </c>
      <c r="G22" t="inlineStr">
        <is>
          <t>VANSBRO</t>
        </is>
      </c>
      <c r="I22" t="n">
        <v>3.1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s="2" t="inlineStr">
        <is>
          <t>Dropptaggsvamp
Skuggblåslav
Bollvitmossa</t>
        </is>
      </c>
      <c r="V22">
        <f>HYPERLINK("https://klasma.github.io/Logging_2021/artfynd/A 16725-2024 artfynd.xlsx", "A 16725-2024")</f>
        <v/>
      </c>
      <c r="W22">
        <f>HYPERLINK("https://klasma.github.io/Logging_2021/kartor/A 16725-2024 karta.png", "A 16725-2024")</f>
        <v/>
      </c>
      <c r="Y22">
        <f>HYPERLINK("https://klasma.github.io/Logging_2021/klagomål/A 16725-2024 FSC-klagomål.docx", "A 16725-2024")</f>
        <v/>
      </c>
      <c r="Z22">
        <f>HYPERLINK("https://klasma.github.io/Logging_2021/klagomålsmail/A 16725-2024 FSC-klagomål mail.docx", "A 16725-2024")</f>
        <v/>
      </c>
      <c r="AA22">
        <f>HYPERLINK("https://klasma.github.io/Logging_2021/tillsyn/A 16725-2024 tillsynsbegäran.docx", "A 16725-2024")</f>
        <v/>
      </c>
      <c r="AB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45726</v>
      </c>
      <c r="E23" s="1" t="n">
        <v>46219</v>
      </c>
      <c r="F23" t="inlineStr">
        <is>
          <t>DALARNAS LÄN</t>
        </is>
      </c>
      <c r="G23" t="inlineStr">
        <is>
          <t>VANSBRO</t>
        </is>
      </c>
      <c r="I23" t="n">
        <v>7.5</v>
      </c>
      <c r="J23" t="n">
        <v>1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24</v>
      </c>
      <c r="U23" s="2" t="inlineStr">
        <is>
          <t>Garnlav
Knärot
Bollvitmossa</t>
        </is>
      </c>
      <c r="V23">
        <f>HYPERLINK("https://klasma.github.io/Logging_2021/artfynd/A 11433-2025 artfynd.xlsx", "A 11433-2025")</f>
        <v/>
      </c>
      <c r="W23">
        <f>HYPERLINK("https://klasma.github.io/Logging_2021/kartor/A 11433-2025 karta.png", "A 11433-2025")</f>
        <v/>
      </c>
      <c r="X23">
        <f>HYPERLINK("https://klasma.github.io/Logging_2021/knärot/A 11433-2025 karta knärot.png", "A 11433-2025")</f>
        <v/>
      </c>
      <c r="Y23">
        <f>HYPERLINK("https://klasma.github.io/Logging_2021/klagomål/A 11433-2025 FSC-klagomål.docx", "A 11433-2025")</f>
        <v/>
      </c>
      <c r="Z23">
        <f>HYPERLINK("https://klasma.github.io/Logging_2021/klagomålsmail/A 11433-2025 FSC-klagomål mail.docx", "A 11433-2025")</f>
        <v/>
      </c>
      <c r="AA23">
        <f>HYPERLINK("https://klasma.github.io/Logging_2021/tillsyn/A 11433-2025 tillsynsbegäran.docx", "A 11433-2025")</f>
        <v/>
      </c>
      <c r="AB23">
        <f>HYPERLINK("https://klasma.github.io/Logging_2021/tillsynsmail/A 11433-2025 tillsynsbegäran mail.docx", "A 11433-2025")</f>
        <v/>
      </c>
    </row>
    <row r="24" ht="15" customHeight="1">
      <c r="A24" t="inlineStr">
        <is>
          <t>A 33005-2025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46219</v>
      </c>
      <c r="F24" t="inlineStr">
        <is>
          <t>DALARNAS LÄN</t>
        </is>
      </c>
      <c r="G24" t="inlineStr">
        <is>
          <t>VANSBRO</t>
        </is>
      </c>
      <c r="I24" t="n">
        <v>5.5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s="2" t="inlineStr">
        <is>
          <t>Knärot
Kolflarnlav
Tretåig hackspett</t>
        </is>
      </c>
      <c r="V24">
        <f>HYPERLINK("https://klasma.github.io/Logging_2021/artfynd/A 33005-2025 artfynd.xlsx", "A 33005-2025")</f>
        <v/>
      </c>
      <c r="W24">
        <f>HYPERLINK("https://klasma.github.io/Logging_2021/kartor/A 33005-2025 karta.png", "A 33005-2025")</f>
        <v/>
      </c>
      <c r="X24">
        <f>HYPERLINK("https://klasma.github.io/Logging_2021/knärot/A 33005-2025 karta knärot.png", "A 33005-2025")</f>
        <v/>
      </c>
      <c r="Y24">
        <f>HYPERLINK("https://klasma.github.io/Logging_2021/klagomål/A 33005-2025 FSC-klagomål.docx", "A 33005-2025")</f>
        <v/>
      </c>
      <c r="Z24">
        <f>HYPERLINK("https://klasma.github.io/Logging_2021/klagomålsmail/A 33005-2025 FSC-klagomål mail.docx", "A 33005-2025")</f>
        <v/>
      </c>
      <c r="AA24">
        <f>HYPERLINK("https://klasma.github.io/Logging_2021/tillsyn/A 33005-2025 tillsynsbegäran.docx", "A 33005-2025")</f>
        <v/>
      </c>
      <c r="AB24">
        <f>HYPERLINK("https://klasma.github.io/Logging_2021/tillsynsmail/A 33005-2025 tillsynsbegäran mail.docx", "A 33005-2025")</f>
        <v/>
      </c>
      <c r="AC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46219</v>
      </c>
      <c r="F25" t="inlineStr">
        <is>
          <t>DALARNAS LÄN</t>
        </is>
      </c>
      <c r="G25" t="inlineStr">
        <is>
          <t>VANSBRO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s="2" t="inlineStr">
        <is>
          <t>Garnlav
Kortskaftad ärgspik
Vedticka</t>
        </is>
      </c>
      <c r="V25">
        <f>HYPERLINK("https://klasma.github.io/Logging_2021/artfynd/A 27504-2025 artfynd.xlsx", "A 27504-2025")</f>
        <v/>
      </c>
      <c r="W25">
        <f>HYPERLINK("https://klasma.github.io/Logging_2021/kartor/A 27504-2025 karta.png", "A 27504-2025")</f>
        <v/>
      </c>
      <c r="Y25">
        <f>HYPERLINK("https://klasma.github.io/Logging_2021/klagomål/A 27504-2025 FSC-klagomål.docx", "A 27504-2025")</f>
        <v/>
      </c>
      <c r="Z25">
        <f>HYPERLINK("https://klasma.github.io/Logging_2021/klagomålsmail/A 27504-2025 FSC-klagomål mail.docx", "A 27504-2025")</f>
        <v/>
      </c>
      <c r="AA25">
        <f>HYPERLINK("https://klasma.github.io/Logging_2021/tillsyn/A 27504-2025 tillsynsbegäran.docx", "A 27504-2025")</f>
        <v/>
      </c>
      <c r="AB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46219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46219</v>
      </c>
      <c r="F27" t="inlineStr">
        <is>
          <t>DALARNAS LÄN</t>
        </is>
      </c>
      <c r="G27" t="inlineStr">
        <is>
          <t>VANSBRO</t>
        </is>
      </c>
      <c r="I27" t="n">
        <v>2.1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Ullticka</t>
        </is>
      </c>
      <c r="V27">
        <f>HYPERLINK("https://klasma.github.io/Logging_2021/artfynd/A 13323-2025 artfynd.xlsx", "A 13323-2025")</f>
        <v/>
      </c>
      <c r="W27">
        <f>HYPERLINK("https://klasma.github.io/Logging_2021/kartor/A 13323-2025 karta.png", "A 13323-2025")</f>
        <v/>
      </c>
      <c r="X27">
        <f>HYPERLINK("https://klasma.github.io/Logging_2021/knärot/A 13323-2025 karta knärot.png", "A 13323-2025")</f>
        <v/>
      </c>
      <c r="Y27">
        <f>HYPERLINK("https://klasma.github.io/Logging_2021/klagomål/A 13323-2025 FSC-klagomål.docx", "A 13323-2025")</f>
        <v/>
      </c>
      <c r="Z27">
        <f>HYPERLINK("https://klasma.github.io/Logging_2021/klagomålsmail/A 13323-2025 FSC-klagomål mail.docx", "A 13323-2025")</f>
        <v/>
      </c>
      <c r="AA27">
        <f>HYPERLINK("https://klasma.github.io/Logging_2021/tillsyn/A 13323-2025 tillsynsbegäran.docx", "A 13323-2025")</f>
        <v/>
      </c>
      <c r="AB27">
        <f>HYPERLINK("https://klasma.github.io/Logging_2021/tillsynsmail/A 13323-2025 tillsynsbegäran mail.docx", "A 13323-2025")</f>
        <v/>
      </c>
    </row>
    <row r="28" ht="15" customHeight="1">
      <c r="A28" t="inlineStr">
        <is>
          <t>A 14475-2024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45394</v>
      </c>
      <c r="E28" s="1" t="n">
        <v>46219</v>
      </c>
      <c r="F28" t="inlineStr">
        <is>
          <t>DALARNAS LÄN</t>
        </is>
      </c>
      <c r="G28" t="inlineStr">
        <is>
          <t>VANSBRO</t>
        </is>
      </c>
      <c r="I28" t="n">
        <v>20.4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s="2" t="inlineStr">
        <is>
          <t>Garnlav
Dropptaggsvamp</t>
        </is>
      </c>
      <c r="V28">
        <f>HYPERLINK("https://klasma.github.io/Logging_2021/artfynd/A 14475-2024 artfynd.xlsx", "A 14475-2024")</f>
        <v/>
      </c>
      <c r="W28">
        <f>HYPERLINK("https://klasma.github.io/Logging_2021/kartor/A 14475-2024 karta.png", "A 14475-2024")</f>
        <v/>
      </c>
      <c r="Y28">
        <f>HYPERLINK("https://klasma.github.io/Logging_2021/klagomål/A 14475-2024 FSC-klagomål.docx", "A 14475-2024")</f>
        <v/>
      </c>
      <c r="Z28">
        <f>HYPERLINK("https://klasma.github.io/Logging_2021/klagomålsmail/A 14475-2024 FSC-klagomål mail.docx", "A 14475-2024")</f>
        <v/>
      </c>
      <c r="AA28">
        <f>HYPERLINK("https://klasma.github.io/Logging_2021/tillsyn/A 14475-2024 tillsynsbegäran.docx", "A 14475-2024")</f>
        <v/>
      </c>
      <c r="AB28">
        <f>HYPERLINK("https://klasma.github.io/Logging_2021/tillsynsmail/A 14475-2024 tillsynsbegäran mail.docx", "A 14475-2024")</f>
        <v/>
      </c>
    </row>
    <row r="29" ht="15" customHeight="1">
      <c r="A29" t="inlineStr">
        <is>
          <t>A 1691-2026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46219</v>
      </c>
      <c r="F29" t="inlineStr">
        <is>
          <t>DALARNAS LÄN</t>
        </is>
      </c>
      <c r="G29" t="inlineStr">
        <is>
          <t>VANSBRO</t>
        </is>
      </c>
      <c r="I29" t="n">
        <v>6.3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3</v>
      </c>
      <c r="U29" s="2" t="inlineStr">
        <is>
          <t>Dropptaggsvamp
Motaggsvamp</t>
        </is>
      </c>
      <c r="V29">
        <f>HYPERLINK("https://klasma.github.io/Logging_2021/artfynd/A 1691-2026 artfynd.xlsx", "A 1691-2026")</f>
        <v/>
      </c>
      <c r="W29">
        <f>HYPERLINK("https://klasma.github.io/Logging_2021/kartor/A 1691-2026 karta.png", "A 1691-2026")</f>
        <v/>
      </c>
      <c r="Y29">
        <f>HYPERLINK("https://klasma.github.io/Logging_2021/klagomål/A 1691-2026 FSC-klagomål.docx", "A 1691-2026")</f>
        <v/>
      </c>
      <c r="Z29">
        <f>HYPERLINK("https://klasma.github.io/Logging_2021/klagomålsmail/A 1691-2026 FSC-klagomål mail.docx", "A 1691-2026")</f>
        <v/>
      </c>
      <c r="AA29">
        <f>HYPERLINK("https://klasma.github.io/Logging_2021/tillsyn/A 1691-2026 tillsynsbegäran.docx", "A 1691-2026")</f>
        <v/>
      </c>
      <c r="AB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45247</v>
      </c>
      <c r="E30" s="1" t="n">
        <v>46219</v>
      </c>
      <c r="F30" t="inlineStr">
        <is>
          <t>DALARNAS LÄN</t>
        </is>
      </c>
      <c r="G30" t="inlineStr">
        <is>
          <t>VANSBRO</t>
        </is>
      </c>
      <c r="I30" t="n">
        <v>0.5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Sädesärla
Orre</t>
        </is>
      </c>
      <c r="V30">
        <f>HYPERLINK("https://klasma.github.io/Logging_2021/artfynd/A 58009-2023 artfynd.xlsx", "A 58009-2023")</f>
        <v/>
      </c>
      <c r="W30">
        <f>HYPERLINK("https://klasma.github.io/Logging_2021/kartor/A 58009-2023 karta.png", "A 58009-2023")</f>
        <v/>
      </c>
      <c r="Y30">
        <f>HYPERLINK("https://klasma.github.io/Logging_2021/klagomål/A 58009-2023 FSC-klagomål.docx", "A 58009-2023")</f>
        <v/>
      </c>
      <c r="Z30">
        <f>HYPERLINK("https://klasma.github.io/Logging_2021/klagomålsmail/A 58009-2023 FSC-klagomål mail.docx", "A 58009-2023")</f>
        <v/>
      </c>
      <c r="AA30">
        <f>HYPERLINK("https://klasma.github.io/Logging_2021/tillsyn/A 58009-2023 tillsynsbegäran.docx", "A 58009-2023")</f>
        <v/>
      </c>
      <c r="AB30">
        <f>HYPERLINK("https://klasma.github.io/Logging_2021/tillsynsmail/A 58009-2023 tillsynsbegäran mail.docx", "A 58009-2023")</f>
        <v/>
      </c>
      <c r="AC30">
        <f>HYPERLINK("https://klasma.github.io/Logging_2021/fåglar/A 58009-2023 prioriterade fågelarter.docx", "A 58009-2023")</f>
        <v/>
      </c>
    </row>
    <row r="31" ht="15" customHeight="1">
      <c r="A31" t="inlineStr">
        <is>
          <t>A 19656-2026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46134</v>
      </c>
      <c r="E31" s="1" t="n">
        <v>46219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18.2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s="2" t="inlineStr">
        <is>
          <t>Ängsblåvinge
Berggräsfjäril</t>
        </is>
      </c>
      <c r="V31">
        <f>HYPERLINK("https://klasma.github.io/Logging_2021/artfynd/A 19656-2026 artfynd.xlsx", "A 19656-2026")</f>
        <v/>
      </c>
      <c r="W31">
        <f>HYPERLINK("https://klasma.github.io/Logging_2021/kartor/A 19656-2026 karta.png", "A 19656-2026")</f>
        <v/>
      </c>
      <c r="Y31">
        <f>HYPERLINK("https://klasma.github.io/Logging_2021/klagomål/A 19656-2026 FSC-klagomål.docx", "A 19656-2026")</f>
        <v/>
      </c>
      <c r="Z31">
        <f>HYPERLINK("https://klasma.github.io/Logging_2021/klagomålsmail/A 19656-2026 FSC-klagomål mail.docx", "A 19656-2026")</f>
        <v/>
      </c>
      <c r="AA31">
        <f>HYPERLINK("https://klasma.github.io/Logging_2021/tillsyn/A 19656-2026 tillsynsbegäran.docx", "A 19656-2026")</f>
        <v/>
      </c>
      <c r="AB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46219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46219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46219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Kolflarnlav</t>
        </is>
      </c>
      <c r="V34">
        <f>HYPERLINK("https://klasma.github.io/Logging_2021/artfynd/A 51579-2021 artfynd.xlsx", "A 51579-2021")</f>
        <v/>
      </c>
      <c r="W34">
        <f>HYPERLINK("https://klasma.github.io/Logging_2021/kartor/A 51579-2021 karta.png", "A 51579-2021")</f>
        <v/>
      </c>
      <c r="Y34">
        <f>HYPERLINK("https://klasma.github.io/Logging_2021/klagomål/A 51579-2021 FSC-klagomål.docx", "A 51579-2021")</f>
        <v/>
      </c>
      <c r="Z34">
        <f>HYPERLINK("https://klasma.github.io/Logging_2021/klagomålsmail/A 51579-2021 FSC-klagomål mail.docx", "A 51579-2021")</f>
        <v/>
      </c>
      <c r="AA34">
        <f>HYPERLINK("https://klasma.github.io/Logging_2021/tillsyn/A 51579-2021 tillsynsbegäran.docx", "A 51579-2021")</f>
        <v/>
      </c>
      <c r="AB34">
        <f>HYPERLINK("https://klasma.github.io/Logging_2021/tillsynsmail/A 51579-2021 tillsynsbegäran mail.docx", "A 51579-2021")</f>
        <v/>
      </c>
    </row>
    <row r="35" ht="15" customHeight="1">
      <c r="A35" t="inlineStr">
        <is>
          <t>A 48109-2025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46219</v>
      </c>
      <c r="F35" t="inlineStr">
        <is>
          <t>DALARNAS LÄN</t>
        </is>
      </c>
      <c r="G35" t="inlineStr">
        <is>
          <t>VANSBRO</t>
        </is>
      </c>
      <c r="I35" t="n">
        <v>0.8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Gränsticka</t>
        </is>
      </c>
      <c r="V35">
        <f>HYPERLINK("https://klasma.github.io/Logging_2021/artfynd/A 48109-2025 artfynd.xlsx", "A 48109-2025")</f>
        <v/>
      </c>
      <c r="W35">
        <f>HYPERLINK("https://klasma.github.io/Logging_2021/kartor/A 48109-2025 karta.png", "A 48109-2025")</f>
        <v/>
      </c>
      <c r="Y35">
        <f>HYPERLINK("https://klasma.github.io/Logging_2021/klagomål/A 48109-2025 FSC-klagomål.docx", "A 48109-2025")</f>
        <v/>
      </c>
      <c r="Z35">
        <f>HYPERLINK("https://klasma.github.io/Logging_2021/klagomålsmail/A 48109-2025 FSC-klagomål mail.docx", "A 48109-2025")</f>
        <v/>
      </c>
      <c r="AA35">
        <f>HYPERLINK("https://klasma.github.io/Logging_2021/tillsyn/A 48109-2025 tillsynsbegäran.docx", "A 48109-2025")</f>
        <v/>
      </c>
      <c r="AB35">
        <f>HYPERLINK("https://klasma.github.io/Logging_2021/tillsynsmail/A 48109-2025 tillsynsbegäran mail.docx", "A 48109-2025")</f>
        <v/>
      </c>
    </row>
    <row r="36" ht="15" customHeight="1">
      <c r="A36" t="inlineStr">
        <is>
          <t>A 37219-2024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46219</v>
      </c>
      <c r="F36" t="inlineStr">
        <is>
          <t>DALARNAS LÄN</t>
        </is>
      </c>
      <c r="G36" t="inlineStr">
        <is>
          <t>VANSBRO</t>
        </is>
      </c>
      <c r="I36" t="n">
        <v>5.3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s="2" t="inlineStr">
        <is>
          <t>Tjäder</t>
        </is>
      </c>
      <c r="V36">
        <f>HYPERLINK("https://klasma.github.io/Logging_2021/artfynd/A 37219-2024 artfynd.xlsx", "A 37219-2024")</f>
        <v/>
      </c>
      <c r="W36">
        <f>HYPERLINK("https://klasma.github.io/Logging_2021/kartor/A 37219-2024 karta.png", "A 37219-2024")</f>
        <v/>
      </c>
      <c r="Y36">
        <f>HYPERLINK("https://klasma.github.io/Logging_2021/klagomål/A 37219-2024 FSC-klagomål.docx", "A 37219-2024")</f>
        <v/>
      </c>
      <c r="Z36">
        <f>HYPERLINK("https://klasma.github.io/Logging_2021/klagomålsmail/A 37219-2024 FSC-klagomål mail.docx", "A 37219-2024")</f>
        <v/>
      </c>
      <c r="AA36">
        <f>HYPERLINK("https://klasma.github.io/Logging_2021/tillsyn/A 37219-2024 tillsynsbegäran.docx", "A 37219-2024")</f>
        <v/>
      </c>
      <c r="AB36">
        <f>HYPERLINK("https://klasma.github.io/Logging_2021/tillsynsmail/A 37219-2024 tillsynsbegäran mail.docx", "A 37219-2024")</f>
        <v/>
      </c>
      <c r="AC36">
        <f>HYPERLINK("https://klasma.github.io/Logging_2021/fåglar/A 37219-2024 prioriterade fågelarter.docx", "A 37219-2024")</f>
        <v/>
      </c>
    </row>
    <row r="37" ht="15" customHeight="1">
      <c r="A37" t="inlineStr">
        <is>
          <t>A 33250-2024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46219</v>
      </c>
      <c r="F37" t="inlineStr">
        <is>
          <t>DALARNAS LÄN</t>
        </is>
      </c>
      <c r="G37" t="inlineStr">
        <is>
          <t>VANSBRO</t>
        </is>
      </c>
      <c r="I37" t="n">
        <v>6.8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Reliktbock</t>
        </is>
      </c>
      <c r="V37">
        <f>HYPERLINK("https://klasma.github.io/Logging_2021/artfynd/A 33250-2024 artfynd.xlsx", "A 33250-2024")</f>
        <v/>
      </c>
      <c r="W37">
        <f>HYPERLINK("https://klasma.github.io/Logging_2021/kartor/A 33250-2024 karta.png", "A 33250-2024")</f>
        <v/>
      </c>
      <c r="Y37">
        <f>HYPERLINK("https://klasma.github.io/Logging_2021/klagomål/A 33250-2024 FSC-klagomål.docx", "A 33250-2024")</f>
        <v/>
      </c>
      <c r="Z37">
        <f>HYPERLINK("https://klasma.github.io/Logging_2021/klagomålsmail/A 33250-2024 FSC-klagomål mail.docx", "A 33250-2024")</f>
        <v/>
      </c>
      <c r="AA37">
        <f>HYPERLINK("https://klasma.github.io/Logging_2021/tillsyn/A 33250-2024 tillsynsbegäran.docx", "A 33250-2024")</f>
        <v/>
      </c>
      <c r="AB37">
        <f>HYPERLINK("https://klasma.github.io/Logging_2021/tillsynsmail/A 33250-2024 tillsynsbegäran mail.docx", "A 33250-2024")</f>
        <v/>
      </c>
    </row>
    <row r="38" ht="15" customHeight="1">
      <c r="A38" t="inlineStr">
        <is>
          <t>A 3918-2026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46219</v>
      </c>
      <c r="F38" t="inlineStr">
        <is>
          <t>DALARNAS LÄN</t>
        </is>
      </c>
      <c r="G38" t="inlineStr">
        <is>
          <t>VANSBRO</t>
        </is>
      </c>
      <c r="I38" t="n">
        <v>6.2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Duvhök</t>
        </is>
      </c>
      <c r="V38">
        <f>HYPERLINK("https://klasma.github.io/Logging_2021/artfynd/A 3918-2026 artfynd.xlsx", "A 3918-2026")</f>
        <v/>
      </c>
      <c r="W38">
        <f>HYPERLINK("https://klasma.github.io/Logging_2021/kartor/A 3918-2026 karta.png", "A 3918-2026")</f>
        <v/>
      </c>
      <c r="Y38">
        <f>HYPERLINK("https://klasma.github.io/Logging_2021/klagomål/A 3918-2026 FSC-klagomål.docx", "A 3918-2026")</f>
        <v/>
      </c>
      <c r="Z38">
        <f>HYPERLINK("https://klasma.github.io/Logging_2021/klagomålsmail/A 3918-2026 FSC-klagomål mail.docx", "A 3918-2026")</f>
        <v/>
      </c>
      <c r="AA38">
        <f>HYPERLINK("https://klasma.github.io/Logging_2021/tillsyn/A 3918-2026 tillsynsbegäran.docx", "A 3918-2026")</f>
        <v/>
      </c>
      <c r="AB38">
        <f>HYPERLINK("https://klasma.github.io/Logging_2021/tillsynsmail/A 3918-2026 tillsynsbegäran mail.docx", "A 3918-2026")</f>
        <v/>
      </c>
      <c r="AC38">
        <f>HYPERLINK("https://klasma.github.io/Logging_2021/fåglar/A 3918-2026 prioriterade fågelarter.docx", "A 3918-2026")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46219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rörsvepemossa</t>
        </is>
      </c>
      <c r="V39">
        <f>HYPERLINK("https://klasma.github.io/Logging_2021/artfynd/A 5659-2026 artfynd.xlsx", "A 5659-2026")</f>
        <v/>
      </c>
      <c r="W39">
        <f>HYPERLINK("https://klasma.github.io/Logging_2021/kartor/A 5659-2026 karta.png", "A 5659-2026")</f>
        <v/>
      </c>
      <c r="Y39">
        <f>HYPERLINK("https://klasma.github.io/Logging_2021/klagomål/A 5659-2026 FSC-klagomål.docx", "A 5659-2026")</f>
        <v/>
      </c>
      <c r="Z39">
        <f>HYPERLINK("https://klasma.github.io/Logging_2021/klagomålsmail/A 5659-2026 FSC-klagomål mail.docx", "A 5659-2026")</f>
        <v/>
      </c>
      <c r="AA39">
        <f>HYPERLINK("https://klasma.github.io/Logging_2021/tillsyn/A 5659-2026 tillsynsbegäran.docx", "A 5659-2026")</f>
        <v/>
      </c>
      <c r="AB39">
        <f>HYPERLINK("https://klasma.github.io/Logging_2021/tillsynsmail/A 5659-2026 tillsynsbegäran mail.docx", "A 5659-2026")</f>
        <v/>
      </c>
    </row>
    <row r="40" ht="15" customHeight="1">
      <c r="A40" t="inlineStr">
        <is>
          <t>A 57810-2023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46219</v>
      </c>
      <c r="F40" t="inlineStr">
        <is>
          <t>DALARNAS LÄN</t>
        </is>
      </c>
      <c r="G40" t="inlineStr">
        <is>
          <t>VANSBRO</t>
        </is>
      </c>
      <c r="I40" t="n">
        <v>0.6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Järnsparv</t>
        </is>
      </c>
      <c r="V40">
        <f>HYPERLINK("https://klasma.github.io/Logging_2021/artfynd/A 57810-2023 artfynd.xlsx", "A 57810-2023")</f>
        <v/>
      </c>
      <c r="W40">
        <f>HYPERLINK("https://klasma.github.io/Logging_2021/kartor/A 57810-2023 karta.png", "A 57810-2023")</f>
        <v/>
      </c>
      <c r="Y40">
        <f>HYPERLINK("https://klasma.github.io/Logging_2021/klagomål/A 57810-2023 FSC-klagomål.docx", "A 57810-2023")</f>
        <v/>
      </c>
      <c r="Z40">
        <f>HYPERLINK("https://klasma.github.io/Logging_2021/klagomålsmail/A 57810-2023 FSC-klagomål mail.docx", "A 57810-2023")</f>
        <v/>
      </c>
      <c r="AA40">
        <f>HYPERLINK("https://klasma.github.io/Logging_2021/tillsyn/A 57810-2023 tillsynsbegäran.docx", "A 57810-2023")</f>
        <v/>
      </c>
      <c r="AB40">
        <f>HYPERLINK("https://klasma.github.io/Logging_2021/tillsynsmail/A 57810-2023 tillsynsbegäran mail.docx", "A 57810-2023")</f>
        <v/>
      </c>
      <c r="AC40">
        <f>HYPERLINK("https://klasma.github.io/Logging_2021/fåglar/A 57810-2023 prioriterade fågelarter.docx", "A 57810-2023")</f>
        <v/>
      </c>
    </row>
    <row r="41" ht="15" customHeight="1">
      <c r="A41" t="inlineStr">
        <is>
          <t>A 3854-2024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46219</v>
      </c>
      <c r="F41" t="inlineStr">
        <is>
          <t>DALARNAS LÄN</t>
        </is>
      </c>
      <c r="G41" t="inlineStr">
        <is>
          <t>VANSBRO</t>
        </is>
      </c>
      <c r="H41" t="inlineStr">
        <is>
          <t>Kyrkan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HYPERLINK("https://klasma.github.io/Logging_2021/artfynd/A 3854-2024 artfynd.xlsx", "A 3854-2024")</f>
        <v/>
      </c>
      <c r="W41">
        <f>HYPERLINK("https://klasma.github.io/Logging_2021/kartor/A 3854-2024 karta.png", "A 3854-2024")</f>
        <v/>
      </c>
      <c r="Y41">
        <f>HYPERLINK("https://klasma.github.io/Logging_2021/klagomål/A 3854-2024 FSC-klagomål.docx", "A 3854-2024")</f>
        <v/>
      </c>
      <c r="Z41">
        <f>HYPERLINK("https://klasma.github.io/Logging_2021/klagomålsmail/A 3854-2024 FSC-klagomål mail.docx", "A 3854-2024")</f>
        <v/>
      </c>
      <c r="AA41">
        <f>HYPERLINK("https://klasma.github.io/Logging_2021/tillsyn/A 3854-2024 tillsynsbegäran.docx", "A 3854-2024")</f>
        <v/>
      </c>
      <c r="AB41">
        <f>HYPERLINK("https://klasma.github.io/Logging_2021/tillsynsmail/A 3854-2024 tillsynsbegäran mail.docx", "A 3854-2024")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46219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HYPERLINK("https://klasma.github.io/Logging_2021/artfynd/A 27052-2025 artfynd.xlsx", "A 27052-2025")</f>
        <v/>
      </c>
      <c r="W42">
        <f>HYPERLINK("https://klasma.github.io/Logging_2021/kartor/A 27052-2025 karta.png", "A 27052-2025")</f>
        <v/>
      </c>
      <c r="Y42">
        <f>HYPERLINK("https://klasma.github.io/Logging_2021/klagomål/A 27052-2025 FSC-klagomål.docx", "A 27052-2025")</f>
        <v/>
      </c>
      <c r="Z42">
        <f>HYPERLINK("https://klasma.github.io/Logging_2021/klagomålsmail/A 27052-2025 FSC-klagomål mail.docx", "A 27052-2025")</f>
        <v/>
      </c>
      <c r="AA42">
        <f>HYPERLINK("https://klasma.github.io/Logging_2021/tillsyn/A 27052-2025 tillsynsbegäran.docx", "A 27052-2025")</f>
        <v/>
      </c>
      <c r="AB42">
        <f>HYPERLINK("https://klasma.github.io/Logging_2021/tillsynsmail/A 27052-2025 tillsynsbegäran mail.docx", "A 27052-2025")</f>
        <v/>
      </c>
      <c r="AC42">
        <f>HYPERLINK("https://klasma.github.io/Logging_2021/fåglar/A 27052-2025 prioriterade fågelarter.docx", "A 27052-2025")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46219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Kransrams</t>
        </is>
      </c>
      <c r="V43">
        <f>HYPERLINK("https://klasma.github.io/Logging_2021/artfynd/A 20076-2026 artfynd.xlsx", "A 20076-2026")</f>
        <v/>
      </c>
      <c r="W43">
        <f>HYPERLINK("https://klasma.github.io/Logging_2021/kartor/A 20076-2026 karta.png", "A 20076-2026")</f>
        <v/>
      </c>
      <c r="Y43">
        <f>HYPERLINK("https://klasma.github.io/Logging_2021/klagomål/A 20076-2026 FSC-klagomål.docx", "A 20076-2026")</f>
        <v/>
      </c>
      <c r="Z43">
        <f>HYPERLINK("https://klasma.github.io/Logging_2021/klagomålsmail/A 20076-2026 FSC-klagomål mail.docx", "A 20076-2026")</f>
        <v/>
      </c>
      <c r="AA43">
        <f>HYPERLINK("https://klasma.github.io/Logging_2021/tillsyn/A 20076-2026 tillsynsbegäran.docx", "A 20076-2026")</f>
        <v/>
      </c>
      <c r="AB43">
        <f>HYPERLINK("https://klasma.github.io/Logging_2021/tillsynsmail/A 20076-2026 tillsynsbegäran mail.docx", "A 20076-2026")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46219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s="2" t="inlineStr">
        <is>
          <t>Garnlav</t>
        </is>
      </c>
      <c r="V44">
        <f>HYPERLINK("https://klasma.github.io/Logging_2021/artfynd/A 32917-2025 artfynd.xlsx", "A 32917-2025")</f>
        <v/>
      </c>
      <c r="W44">
        <f>HYPERLINK("https://klasma.github.io/Logging_2021/kartor/A 32917-2025 karta.png", "A 32917-2025")</f>
        <v/>
      </c>
      <c r="Y44">
        <f>HYPERLINK("https://klasma.github.io/Logging_2021/klagomål/A 32917-2025 FSC-klagomål.docx", "A 32917-2025")</f>
        <v/>
      </c>
      <c r="Z44">
        <f>HYPERLINK("https://klasma.github.io/Logging_2021/klagomålsmail/A 32917-2025 FSC-klagomål mail.docx", "A 32917-2025")</f>
        <v/>
      </c>
      <c r="AA44">
        <f>HYPERLINK("https://klasma.github.io/Logging_2021/tillsyn/A 32917-2025 tillsynsbegäran.docx", "A 32917-2025")</f>
        <v/>
      </c>
      <c r="AB44">
        <f>HYPERLINK("https://klasma.github.io/Logging_2021/tillsynsmail/A 32917-2025 tillsynsbegäran mail.docx", "A 32917-2025")</f>
        <v/>
      </c>
    </row>
    <row r="45" ht="15" customHeight="1">
      <c r="A45" t="inlineStr">
        <is>
          <t>A 33003-2025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46219</v>
      </c>
      <c r="F45" t="inlineStr">
        <is>
          <t>DALARNAS LÄN</t>
        </is>
      </c>
      <c r="G45" t="inlineStr">
        <is>
          <t>VANSBRO</t>
        </is>
      </c>
      <c r="I45" t="n">
        <v>2.3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s="2" t="inlineStr">
        <is>
          <t>Knärot</t>
        </is>
      </c>
      <c r="V45">
        <f>HYPERLINK("https://klasma.github.io/Logging_2021/artfynd/A 33003-2025 artfynd.xlsx", "A 33003-2025")</f>
        <v/>
      </c>
      <c r="W45">
        <f>HYPERLINK("https://klasma.github.io/Logging_2021/kartor/A 33003-2025 karta.png", "A 33003-2025")</f>
        <v/>
      </c>
      <c r="X45">
        <f>HYPERLINK("https://klasma.github.io/Logging_2021/knärot/A 33003-2025 karta knärot.png", "A 33003-2025")</f>
        <v/>
      </c>
      <c r="Y45">
        <f>HYPERLINK("https://klasma.github.io/Logging_2021/klagomål/A 33003-2025 FSC-klagomål.docx", "A 33003-2025")</f>
        <v/>
      </c>
      <c r="Z45">
        <f>HYPERLINK("https://klasma.github.io/Logging_2021/klagomålsmail/A 33003-2025 FSC-klagomål mail.docx", "A 33003-2025")</f>
        <v/>
      </c>
      <c r="AA45">
        <f>HYPERLINK("https://klasma.github.io/Logging_2021/tillsyn/A 33003-2025 tillsynsbegäran.docx", "A 33003-2025")</f>
        <v/>
      </c>
      <c r="AB45">
        <f>HYPERLINK("https://klasma.github.io/Logging_2021/tillsynsmail/A 33003-2025 tillsynsbegäran mail.docx", "A 33003-2025")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46219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Motaggsvamp</t>
        </is>
      </c>
      <c r="V46">
        <f>HYPERLINK("https://klasma.github.io/Logging_2021/artfynd/A 52675-2025 artfynd.xlsx", "A 52675-2025")</f>
        <v/>
      </c>
      <c r="W46">
        <f>HYPERLINK("https://klasma.github.io/Logging_2021/kartor/A 52675-2025 karta.png", "A 52675-2025")</f>
        <v/>
      </c>
      <c r="Y46">
        <f>HYPERLINK("https://klasma.github.io/Logging_2021/klagomål/A 52675-2025 FSC-klagomål.docx", "A 52675-2025")</f>
        <v/>
      </c>
      <c r="Z46">
        <f>HYPERLINK("https://klasma.github.io/Logging_2021/klagomålsmail/A 52675-2025 FSC-klagomål mail.docx", "A 52675-2025")</f>
        <v/>
      </c>
      <c r="AA46">
        <f>HYPERLINK("https://klasma.github.io/Logging_2021/tillsyn/A 52675-2025 tillsynsbegäran.docx", "A 52675-2025")</f>
        <v/>
      </c>
      <c r="AB46">
        <f>HYPERLINK("https://klasma.github.io/Logging_2021/tillsynsmail/A 52675-2025 tillsynsbegäran mail.docx", "A 52675-2025")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46219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Skarp dropptaggsvamp</t>
        </is>
      </c>
      <c r="V47">
        <f>HYPERLINK("https://klasma.github.io/Logging_2021/artfynd/A 54453-2024 artfynd.xlsx", "A 54453-2024")</f>
        <v/>
      </c>
      <c r="W47">
        <f>HYPERLINK("https://klasma.github.io/Logging_2021/kartor/A 54453-2024 karta.png", "A 54453-2024")</f>
        <v/>
      </c>
      <c r="Y47">
        <f>HYPERLINK("https://klasma.github.io/Logging_2021/klagomål/A 54453-2024 FSC-klagomål.docx", "A 54453-2024")</f>
        <v/>
      </c>
      <c r="Z47">
        <f>HYPERLINK("https://klasma.github.io/Logging_2021/klagomålsmail/A 54453-2024 FSC-klagomål mail.docx", "A 54453-2024")</f>
        <v/>
      </c>
      <c r="AA47">
        <f>HYPERLINK("https://klasma.github.io/Logging_2021/tillsyn/A 54453-2024 tillsynsbegäran.docx", "A 54453-2024")</f>
        <v/>
      </c>
      <c r="AB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46219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Talltita</t>
        </is>
      </c>
      <c r="V48">
        <f>HYPERLINK("https://klasma.github.io/Logging_2021/artfynd/A 26756-2026 artfynd.xlsx", "A 26756-2026")</f>
        <v/>
      </c>
      <c r="W48">
        <f>HYPERLINK("https://klasma.github.io/Logging_2021/kartor/A 26756-2026 karta.png", "A 26756-2026")</f>
        <v/>
      </c>
      <c r="Y48">
        <f>HYPERLINK("https://klasma.github.io/Logging_2021/klagomål/A 26756-2026 FSC-klagomål.docx", "A 26756-2026")</f>
        <v/>
      </c>
      <c r="Z48">
        <f>HYPERLINK("https://klasma.github.io/Logging_2021/klagomålsmail/A 26756-2026 FSC-klagomål mail.docx", "A 26756-2026")</f>
        <v/>
      </c>
      <c r="AA48">
        <f>HYPERLINK("https://klasma.github.io/Logging_2021/tillsyn/A 26756-2026 tillsynsbegäran.docx", "A 26756-2026")</f>
        <v/>
      </c>
      <c r="AB48">
        <f>HYPERLINK("https://klasma.github.io/Logging_2021/tillsynsmail/A 26756-2026 tillsynsbegäran mail.docx", "A 26756-2026")</f>
        <v/>
      </c>
      <c r="AC48">
        <f>HYPERLINK("https://klasma.github.io/Logging_2021/fåglar/A 26756-2026 prioriterade fågelarter.docx", "A 26756-2026")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46219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46219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46219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46219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46219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66705-2021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44519</v>
      </c>
      <c r="E54" s="1" t="n">
        <v>46219</v>
      </c>
      <c r="F54" t="inlineStr">
        <is>
          <t>DALARNAS LÄN</t>
        </is>
      </c>
      <c r="G54" t="inlineStr">
        <is>
          <t>VANSBRO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46219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46219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46219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46219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46219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46219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46219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46219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46219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46219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46219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46219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46219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46219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46219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46219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46219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46219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46219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46219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46219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46219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48111-2024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45589</v>
      </c>
      <c r="E77" s="1" t="n">
        <v>46219</v>
      </c>
      <c r="F77" t="inlineStr">
        <is>
          <t>DALARNAS LÄN</t>
        </is>
      </c>
      <c r="G77" t="inlineStr">
        <is>
          <t>VANSBRO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51400-2024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46219</v>
      </c>
      <c r="F78" t="inlineStr">
        <is>
          <t>DALARNAS LÄN</t>
        </is>
      </c>
      <c r="G78" t="inlineStr">
        <is>
          <t>VANSBRO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46219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46219</v>
      </c>
      <c r="F80" t="inlineStr">
        <is>
          <t>DALARNAS LÄN</t>
        </is>
      </c>
      <c r="G80" t="inlineStr">
        <is>
          <t>VANSBRO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46219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30889-2024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45498</v>
      </c>
      <c r="E82" s="1" t="n">
        <v>46219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44966</v>
      </c>
      <c r="E83" s="1" t="n">
        <v>46219</v>
      </c>
      <c r="F83" t="inlineStr">
        <is>
          <t>DALARNAS LÄN</t>
        </is>
      </c>
      <c r="G83" t="inlineStr">
        <is>
          <t>VANSBRO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55774-2021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44476</v>
      </c>
      <c r="E84" s="1" t="n">
        <v>46219</v>
      </c>
      <c r="F84" t="inlineStr">
        <is>
          <t>DALARNAS LÄN</t>
        </is>
      </c>
      <c r="G84" t="inlineStr">
        <is>
          <t>VANSBRO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46219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9298-2023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44980</v>
      </c>
      <c r="E86" s="1" t="n">
        <v>46219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29574-2022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46219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29575-2022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44754</v>
      </c>
      <c r="E88" s="1" t="n">
        <v>46219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46219</v>
      </c>
      <c r="F89" t="inlineStr">
        <is>
          <t>DALARNAS LÄN</t>
        </is>
      </c>
      <c r="G89" t="inlineStr">
        <is>
          <t>VANSBRO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24982-2023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46219</v>
      </c>
      <c r="F90" t="inlineStr">
        <is>
          <t>DALARNAS LÄN</t>
        </is>
      </c>
      <c r="G90" t="inlineStr">
        <is>
          <t>VANSBRO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24481-2023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46219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56098-2021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44477</v>
      </c>
      <c r="E92" s="1" t="n">
        <v>46219</v>
      </c>
      <c r="F92" t="inlineStr">
        <is>
          <t>DALARNAS LÄN</t>
        </is>
      </c>
      <c r="G92" t="inlineStr">
        <is>
          <t>VANSBRO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20931-2022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44701</v>
      </c>
      <c r="E93" s="1" t="n">
        <v>46219</v>
      </c>
      <c r="F93" t="inlineStr">
        <is>
          <t>DALARNAS LÄN</t>
        </is>
      </c>
      <c r="G93" t="inlineStr">
        <is>
          <t>VANSBRO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43570-2023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46219</v>
      </c>
      <c r="F94" t="inlineStr">
        <is>
          <t>DALARNAS LÄN</t>
        </is>
      </c>
      <c r="G94" t="inlineStr">
        <is>
          <t>VANSBRO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35780-2024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45532</v>
      </c>
      <c r="E95" s="1" t="n">
        <v>46219</v>
      </c>
      <c r="F95" t="inlineStr">
        <is>
          <t>DALARNAS LÄN</t>
        </is>
      </c>
      <c r="G95" t="inlineStr">
        <is>
          <t>VANSBRO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20185-2025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45772</v>
      </c>
      <c r="E96" s="1" t="n">
        <v>46219</v>
      </c>
      <c r="F96" t="inlineStr">
        <is>
          <t>DALARNAS LÄN</t>
        </is>
      </c>
      <c r="G96" t="inlineStr">
        <is>
          <t>VANSBRO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46219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26658-2022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46219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45689</v>
      </c>
      <c r="E99" s="1" t="n">
        <v>46219</v>
      </c>
      <c r="F99" t="inlineStr">
        <is>
          <t>DALARNAS LÄN</t>
        </is>
      </c>
      <c r="G99" t="inlineStr">
        <is>
          <t>VANSBRO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54423-2024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46219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46219</v>
      </c>
      <c r="F101" t="inlineStr">
        <is>
          <t>DALARNAS LÄN</t>
        </is>
      </c>
      <c r="G101" t="inlineStr">
        <is>
          <t>VANSBRO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56773-2023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46219</v>
      </c>
      <c r="F102" t="inlineStr">
        <is>
          <t>DALARNAS LÄN</t>
        </is>
      </c>
      <c r="G102" t="inlineStr">
        <is>
          <t>VANSBRO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10012-2024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46219</v>
      </c>
      <c r="F103" t="inlineStr">
        <is>
          <t>DALARNAS LÄN</t>
        </is>
      </c>
      <c r="G103" t="inlineStr">
        <is>
          <t>VANSBRO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50533-2024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45601</v>
      </c>
      <c r="E104" s="1" t="n">
        <v>46219</v>
      </c>
      <c r="F104" t="inlineStr">
        <is>
          <t>DALARNAS LÄN</t>
        </is>
      </c>
      <c r="G104" t="inlineStr">
        <is>
          <t>VANSBRO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28924-2024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45481</v>
      </c>
      <c r="E105" s="1" t="n">
        <v>46219</v>
      </c>
      <c r="F105" t="inlineStr">
        <is>
          <t>DALARNAS LÄN</t>
        </is>
      </c>
      <c r="G105" t="inlineStr">
        <is>
          <t>VANSBRO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34738-2023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46219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40382-2023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46219</v>
      </c>
      <c r="F107" t="inlineStr">
        <is>
          <t>DALARNAS LÄN</t>
        </is>
      </c>
      <c r="G107" t="inlineStr">
        <is>
          <t>VANSBRO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15972-2025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46219</v>
      </c>
      <c r="F108" t="inlineStr">
        <is>
          <t>DALARNAS LÄN</t>
        </is>
      </c>
      <c r="G108" t="inlineStr">
        <is>
          <t>VANSBRO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46219</v>
      </c>
      <c r="F109" t="inlineStr">
        <is>
          <t>DALARNAS LÄN</t>
        </is>
      </c>
      <c r="G109" t="inlineStr">
        <is>
          <t>VANSBRO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40383-2023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46219</v>
      </c>
      <c r="F110" t="inlineStr">
        <is>
          <t>DALARNAS LÄN</t>
        </is>
      </c>
      <c r="G110" t="inlineStr">
        <is>
          <t>VANSBRO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43589-2022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44837</v>
      </c>
      <c r="E111" s="1" t="n">
        <v>46219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39336-2023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46219</v>
      </c>
      <c r="F112" t="inlineStr">
        <is>
          <t>DALARNAS LÄN</t>
        </is>
      </c>
      <c r="G112" t="inlineStr">
        <is>
          <t>VANSBRO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57903-2024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45631</v>
      </c>
      <c r="E113" s="1" t="n">
        <v>46219</v>
      </c>
      <c r="F113" t="inlineStr">
        <is>
          <t>DALARNAS LÄN</t>
        </is>
      </c>
      <c r="G113" t="inlineStr">
        <is>
          <t>VANSBRO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45315</v>
      </c>
      <c r="E114" s="1" t="n">
        <v>46219</v>
      </c>
      <c r="F114" t="inlineStr">
        <is>
          <t>DALARNAS LÄN</t>
        </is>
      </c>
      <c r="G114" t="inlineStr">
        <is>
          <t>VANSBRO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34277-2022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46219</v>
      </c>
      <c r="F115" t="inlineStr">
        <is>
          <t>DALARNAS LÄN</t>
        </is>
      </c>
      <c r="G115" t="inlineStr">
        <is>
          <t>VANSBRO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51396-2022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44869</v>
      </c>
      <c r="E116" s="1" t="n">
        <v>46219</v>
      </c>
      <c r="F116" t="inlineStr">
        <is>
          <t>DALARNAS LÄN</t>
        </is>
      </c>
      <c r="G116" t="inlineStr">
        <is>
          <t>VANSBRO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38670-2025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45884</v>
      </c>
      <c r="E117" s="1" t="n">
        <v>46219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35943-2024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46219</v>
      </c>
      <c r="F118" t="inlineStr">
        <is>
          <t>DALARNAS LÄN</t>
        </is>
      </c>
      <c r="G118" t="inlineStr">
        <is>
          <t>VANSBRO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32383-2024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46219</v>
      </c>
      <c r="F119" t="inlineStr">
        <is>
          <t>DALARNAS LÄN</t>
        </is>
      </c>
      <c r="G119" t="inlineStr">
        <is>
          <t>VANSBRO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57904-2024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46219</v>
      </c>
      <c r="F120" t="inlineStr">
        <is>
          <t>DALARNAS LÄN</t>
        </is>
      </c>
      <c r="G120" t="inlineStr">
        <is>
          <t>VANSBRO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46219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45296</v>
      </c>
      <c r="E122" s="1" t="n">
        <v>46219</v>
      </c>
      <c r="F122" t="inlineStr">
        <is>
          <t>DALARNAS LÄN</t>
        </is>
      </c>
      <c r="G122" t="inlineStr">
        <is>
          <t>VANSBRO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39177-2025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46219</v>
      </c>
      <c r="F123" t="inlineStr">
        <is>
          <t>DALARNAS LÄN</t>
        </is>
      </c>
      <c r="G123" t="inlineStr">
        <is>
          <t>VANSBRO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2147-2025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46219</v>
      </c>
      <c r="F124" t="inlineStr">
        <is>
          <t>DALARNAS LÄN</t>
        </is>
      </c>
      <c r="G124" t="inlineStr">
        <is>
          <t>VANSBRO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39173-2025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46219</v>
      </c>
      <c r="F125" t="inlineStr">
        <is>
          <t>DALARNAS LÄN</t>
        </is>
      </c>
      <c r="G125" t="inlineStr">
        <is>
          <t>VANSBRO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53839-2022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46219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49565-2022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44862</v>
      </c>
      <c r="E127" s="1" t="n">
        <v>46219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72635-2021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44546</v>
      </c>
      <c r="E128" s="1" t="n">
        <v>46219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47790-2024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46219</v>
      </c>
      <c r="F129" t="inlineStr">
        <is>
          <t>DALARNAS LÄN</t>
        </is>
      </c>
      <c r="G129" t="inlineStr">
        <is>
          <t>VANSBRO</t>
        </is>
      </c>
      <c r="H129" t="inlineStr">
        <is>
          <t>Övriga statliga verk och myndigheter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39502-2025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46219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39490-2025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46219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24384-2024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46219</v>
      </c>
      <c r="F132" t="inlineStr">
        <is>
          <t>DALARNAS LÄN</t>
        </is>
      </c>
      <c r="G132" t="inlineStr">
        <is>
          <t>VANSBRO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21966-2024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46219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39974-2022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46219</v>
      </c>
      <c r="F134" t="inlineStr">
        <is>
          <t>DALARNAS LÄN</t>
        </is>
      </c>
      <c r="G134" t="inlineStr">
        <is>
          <t>VANSBRO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61663-2024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46219</v>
      </c>
      <c r="F135" t="inlineStr">
        <is>
          <t>DALARNAS LÄN</t>
        </is>
      </c>
      <c r="G135" t="inlineStr">
        <is>
          <t>VANSBRO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46219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51414-2021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44461</v>
      </c>
      <c r="E137" s="1" t="n">
        <v>46219</v>
      </c>
      <c r="F137" t="inlineStr">
        <is>
          <t>DALARNAS LÄN</t>
        </is>
      </c>
      <c r="G137" t="inlineStr">
        <is>
          <t>VANSBRO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51601-2023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46219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52572-2023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45225</v>
      </c>
      <c r="E139" s="1" t="n">
        <v>46219</v>
      </c>
      <c r="F139" t="inlineStr">
        <is>
          <t>DALARNAS LÄN</t>
        </is>
      </c>
      <c r="G139" t="inlineStr">
        <is>
          <t>VANSBRO</t>
        </is>
      </c>
      <c r="H139" t="inlineStr">
        <is>
          <t>Övriga statliga verk och myndigheter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46219</v>
      </c>
      <c r="F140" t="inlineStr">
        <is>
          <t>DALARNAS LÄN</t>
        </is>
      </c>
      <c r="G140" t="inlineStr">
        <is>
          <t>VANSBRO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46219</v>
      </c>
      <c r="F141" t="inlineStr">
        <is>
          <t>DALARNAS LÄN</t>
        </is>
      </c>
      <c r="G141" t="inlineStr">
        <is>
          <t>VANSBRO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42209-2025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46219</v>
      </c>
      <c r="F142" t="inlineStr">
        <is>
          <t>DALARNAS LÄN</t>
        </is>
      </c>
      <c r="G142" t="inlineStr">
        <is>
          <t>VANSBRO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4680-2023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44957</v>
      </c>
      <c r="E143" s="1" t="n">
        <v>46219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46219</v>
      </c>
      <c r="F144" t="inlineStr">
        <is>
          <t>DALARNAS LÄN</t>
        </is>
      </c>
      <c r="G144" t="inlineStr">
        <is>
          <t>VANSBRO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12016-2024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46219</v>
      </c>
      <c r="F145" t="inlineStr">
        <is>
          <t>DALARNAS LÄN</t>
        </is>
      </c>
      <c r="G145" t="inlineStr">
        <is>
          <t>VANSBRO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46219</v>
      </c>
      <c r="F146" t="inlineStr">
        <is>
          <t>DALARNAS LÄN</t>
        </is>
      </c>
      <c r="G146" t="inlineStr">
        <is>
          <t>VANSBRO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35288-2024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46219</v>
      </c>
      <c r="F147" t="inlineStr">
        <is>
          <t>DALARNAS LÄN</t>
        </is>
      </c>
      <c r="G147" t="inlineStr">
        <is>
          <t>VANSBRO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18658-2025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46219</v>
      </c>
      <c r="F148" t="inlineStr">
        <is>
          <t>DALARNAS LÄN</t>
        </is>
      </c>
      <c r="G148" t="inlineStr">
        <is>
          <t>VANSBRO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32820-2024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45516</v>
      </c>
      <c r="E149" s="1" t="n">
        <v>46219</v>
      </c>
      <c r="F149" t="inlineStr">
        <is>
          <t>DALARNAS LÄN</t>
        </is>
      </c>
      <c r="G149" t="inlineStr">
        <is>
          <t>VANSBRO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18859-2025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45764</v>
      </c>
      <c r="E150" s="1" t="n">
        <v>46219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8447-2022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44612</v>
      </c>
      <c r="E151" s="1" t="n">
        <v>46219</v>
      </c>
      <c r="F151" t="inlineStr">
        <is>
          <t>DALARNAS LÄN</t>
        </is>
      </c>
      <c r="G151" t="inlineStr">
        <is>
          <t>VANSBRO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46219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18304-2025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46219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60848-2024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46219</v>
      </c>
      <c r="F154" t="inlineStr">
        <is>
          <t>DALARNAS LÄN</t>
        </is>
      </c>
      <c r="G154" t="inlineStr">
        <is>
          <t>VANSBRO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46219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13327-2025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45735</v>
      </c>
      <c r="E156" s="1" t="n">
        <v>46219</v>
      </c>
      <c r="F156" t="inlineStr">
        <is>
          <t>DALARNAS LÄN</t>
        </is>
      </c>
      <c r="G156" t="inlineStr">
        <is>
          <t>VANSBRO</t>
        </is>
      </c>
      <c r="H156" t="inlineStr">
        <is>
          <t>Kommuner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35365-2022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46219</v>
      </c>
      <c r="F157" t="inlineStr">
        <is>
          <t>DALARNAS LÄN</t>
        </is>
      </c>
      <c r="G157" t="inlineStr">
        <is>
          <t>VANSBRO</t>
        </is>
      </c>
      <c r="H157" t="inlineStr">
        <is>
          <t>Kommuner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63816-2021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44509</v>
      </c>
      <c r="E158" s="1" t="n">
        <v>46219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17.6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30392-2024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45491</v>
      </c>
      <c r="E159" s="1" t="n">
        <v>46219</v>
      </c>
      <c r="F159" t="inlineStr">
        <is>
          <t>DALARNAS LÄN</t>
        </is>
      </c>
      <c r="G159" t="inlineStr">
        <is>
          <t>VANSBRO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45689</v>
      </c>
      <c r="E160" s="1" t="n">
        <v>46219</v>
      </c>
      <c r="F160" t="inlineStr">
        <is>
          <t>DALARNAS LÄN</t>
        </is>
      </c>
      <c r="G160" t="inlineStr">
        <is>
          <t>VANSBRO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45689</v>
      </c>
      <c r="E161" s="1" t="n">
        <v>46219</v>
      </c>
      <c r="F161" t="inlineStr">
        <is>
          <t>DALARNAS LÄN</t>
        </is>
      </c>
      <c r="G161" t="inlineStr">
        <is>
          <t>VANSBRO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61653-2024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46219</v>
      </c>
      <c r="F162" t="inlineStr">
        <is>
          <t>DALARNAS LÄN</t>
        </is>
      </c>
      <c r="G162" t="inlineStr">
        <is>
          <t>VANSBRO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46219</v>
      </c>
      <c r="F163" t="inlineStr">
        <is>
          <t>DALARNAS LÄN</t>
        </is>
      </c>
      <c r="G163" t="inlineStr">
        <is>
          <t>VANSBRO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38034-2024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45544</v>
      </c>
      <c r="E164" s="1" t="n">
        <v>46219</v>
      </c>
      <c r="F164" t="inlineStr">
        <is>
          <t>DALARNAS LÄN</t>
        </is>
      </c>
      <c r="G164" t="inlineStr">
        <is>
          <t>VANSBRO</t>
        </is>
      </c>
      <c r="H164" t="inlineStr">
        <is>
          <t>Övriga statliga verk och myndigheter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46219</v>
      </c>
      <c r="F165" t="inlineStr">
        <is>
          <t>DALARNAS LÄN</t>
        </is>
      </c>
      <c r="G165" t="inlineStr">
        <is>
          <t>VANSBRO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48102-2025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45933</v>
      </c>
      <c r="E166" s="1" t="n">
        <v>46219</v>
      </c>
      <c r="F166" t="inlineStr">
        <is>
          <t>DALARNAS LÄN</t>
        </is>
      </c>
      <c r="G166" t="inlineStr">
        <is>
          <t>VANSBRO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48840-2025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45937</v>
      </c>
      <c r="E167" s="1" t="n">
        <v>46219</v>
      </c>
      <c r="F167" t="inlineStr">
        <is>
          <t>DALARNAS LÄN</t>
        </is>
      </c>
      <c r="G167" t="inlineStr">
        <is>
          <t>VANSBRO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8694-2023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44972</v>
      </c>
      <c r="E168" s="1" t="n">
        <v>46219</v>
      </c>
      <c r="F168" t="inlineStr">
        <is>
          <t>DALARNAS LÄN</t>
        </is>
      </c>
      <c r="G168" t="inlineStr">
        <is>
          <t>VANSBRO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59736-2022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46219</v>
      </c>
      <c r="F169" t="inlineStr">
        <is>
          <t>DALARNAS LÄN</t>
        </is>
      </c>
      <c r="G169" t="inlineStr">
        <is>
          <t>VANSBRO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46219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46219</v>
      </c>
      <c r="F171" t="inlineStr">
        <is>
          <t>DALARNAS LÄN</t>
        </is>
      </c>
      <c r="G171" t="inlineStr">
        <is>
          <t>VANSBRO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49673-2025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46219</v>
      </c>
      <c r="F172" t="inlineStr">
        <is>
          <t>DALARNAS LÄN</t>
        </is>
      </c>
      <c r="G172" t="inlineStr">
        <is>
          <t>VANSBRO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46165-2021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44442</v>
      </c>
      <c r="E173" s="1" t="n">
        <v>46219</v>
      </c>
      <c r="F173" t="inlineStr">
        <is>
          <t>DALARNAS LÄN</t>
        </is>
      </c>
      <c r="G173" t="inlineStr">
        <is>
          <t>VANSBRO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46219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öst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43139-2023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46219</v>
      </c>
      <c r="F175" t="inlineStr">
        <is>
          <t>DALARNAS LÄN</t>
        </is>
      </c>
      <c r="G175" t="inlineStr">
        <is>
          <t>VANSBRO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10886-2025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46219</v>
      </c>
      <c r="F176" t="inlineStr">
        <is>
          <t>DALARNAS LÄN</t>
        </is>
      </c>
      <c r="G176" t="inlineStr">
        <is>
          <t>VANSBRO</t>
        </is>
      </c>
      <c r="I176" t="n">
        <v>15.5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46219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50687-2025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46219</v>
      </c>
      <c r="F178" t="inlineStr">
        <is>
          <t>DALARNAS LÄN</t>
        </is>
      </c>
      <c r="G178" t="inlineStr">
        <is>
          <t>VANSBRO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51414-2025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45950</v>
      </c>
      <c r="E179" s="1" t="n">
        <v>46219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45689</v>
      </c>
      <c r="E180" s="1" t="n">
        <v>46219</v>
      </c>
      <c r="F180" t="inlineStr">
        <is>
          <t>DALARNAS LÄN</t>
        </is>
      </c>
      <c r="G180" t="inlineStr">
        <is>
          <t>VANSBRO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29671-2026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46204</v>
      </c>
      <c r="E181" s="1" t="n">
        <v>46219</v>
      </c>
      <c r="F181" t="inlineStr">
        <is>
          <t>DALARNAS LÄN</t>
        </is>
      </c>
      <c r="G181" t="inlineStr">
        <is>
          <t>VANSBRO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29687-2026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46204</v>
      </c>
      <c r="E182" s="1" t="n">
        <v>46219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29621-2026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46204</v>
      </c>
      <c r="E183" s="1" t="n">
        <v>46219</v>
      </c>
      <c r="F183" t="inlineStr">
        <is>
          <t>DALARNAS LÄN</t>
        </is>
      </c>
      <c r="G183" t="inlineStr">
        <is>
          <t>VANSBRO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51855-2025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46219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29442-2026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46203</v>
      </c>
      <c r="E185" s="1" t="n">
        <v>46219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51606-2023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45222</v>
      </c>
      <c r="E186" s="1" t="n">
        <v>46219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52442-2025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46219</v>
      </c>
      <c r="F187" t="inlineStr">
        <is>
          <t>DALARNAS LÄN</t>
        </is>
      </c>
      <c r="G187" t="inlineStr">
        <is>
          <t>VANSBRO</t>
        </is>
      </c>
      <c r="I187" t="n">
        <v>12.6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29439-2026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46203</v>
      </c>
      <c r="E188" s="1" t="n">
        <v>46219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29630-2026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46204</v>
      </c>
      <c r="E189" s="1" t="n">
        <v>46219</v>
      </c>
      <c r="F189" t="inlineStr">
        <is>
          <t>DALARNAS LÄN</t>
        </is>
      </c>
      <c r="G189" t="inlineStr">
        <is>
          <t>VANSBRO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46219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45956</v>
      </c>
      <c r="E191" s="1" t="n">
        <v>46219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53315-2025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46219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5386-2024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45331</v>
      </c>
      <c r="E193" s="1" t="n">
        <v>46219</v>
      </c>
      <c r="F193" t="inlineStr">
        <is>
          <t>DALARNAS LÄN</t>
        </is>
      </c>
      <c r="G193" t="inlineStr">
        <is>
          <t>VANSBRO</t>
        </is>
      </c>
      <c r="I193" t="n">
        <v>11.4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46219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53989-2025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46219</v>
      </c>
      <c r="F195" t="inlineStr">
        <is>
          <t>DALARNAS LÄN</t>
        </is>
      </c>
      <c r="G195" t="inlineStr">
        <is>
          <t>VANSBRO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33520-2024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46219</v>
      </c>
      <c r="F196" t="inlineStr">
        <is>
          <t>DALARNAS LÄN</t>
        </is>
      </c>
      <c r="G196" t="inlineStr">
        <is>
          <t>VANSBRO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23752-2026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46219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öst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44960</v>
      </c>
      <c r="E198" s="1" t="n">
        <v>46219</v>
      </c>
      <c r="F198" t="inlineStr">
        <is>
          <t>DALARNAS LÄN</t>
        </is>
      </c>
      <c r="G198" t="inlineStr">
        <is>
          <t>VANSBRO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46219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54342-2025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46219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46219</v>
      </c>
      <c r="F201" t="inlineStr">
        <is>
          <t>DALARNAS LÄN</t>
        </is>
      </c>
      <c r="G201" t="inlineStr">
        <is>
          <t>VANSBRO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54591-2025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46219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23780-2026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46219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30568-2026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46219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11274-2024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45371</v>
      </c>
      <c r="E205" s="1" t="n">
        <v>46219</v>
      </c>
      <c r="F205" t="inlineStr">
        <is>
          <t>DALARNAS LÄN</t>
        </is>
      </c>
      <c r="G205" t="inlineStr">
        <is>
          <t>VANSBRO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46219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60031-2022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44909</v>
      </c>
      <c r="E207" s="1" t="n">
        <v>46219</v>
      </c>
      <c r="F207" t="inlineStr">
        <is>
          <t>DALARNAS LÄN</t>
        </is>
      </c>
      <c r="G207" t="inlineStr">
        <is>
          <t>VANSBRO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57947-2023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46219</v>
      </c>
      <c r="F208" t="inlineStr">
        <is>
          <t>DALARNAS LÄN</t>
        </is>
      </c>
      <c r="G208" t="inlineStr">
        <is>
          <t>VANSBRO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56043-2025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46219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33829-2024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46219</v>
      </c>
      <c r="F210" t="inlineStr">
        <is>
          <t>DALARNAS LÄN</t>
        </is>
      </c>
      <c r="G210" t="inlineStr">
        <is>
          <t>VANSBRO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35299-2024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45530</v>
      </c>
      <c r="E211" s="1" t="n">
        <v>46219</v>
      </c>
      <c r="F211" t="inlineStr">
        <is>
          <t>DALARNAS LÄN</t>
        </is>
      </c>
      <c r="G211" t="inlineStr">
        <is>
          <t>VANSBRO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24202-2026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46219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56280-2025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46219</v>
      </c>
      <c r="F213" t="inlineStr">
        <is>
          <t>DALARNAS LÄN</t>
        </is>
      </c>
      <c r="G213" t="inlineStr">
        <is>
          <t>VANSBRO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30509-2026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46219</v>
      </c>
      <c r="F214" t="inlineStr">
        <is>
          <t>DALARNAS LÄN</t>
        </is>
      </c>
      <c r="G214" t="inlineStr">
        <is>
          <t>VANSBRO</t>
        </is>
      </c>
      <c r="H214" t="inlineStr">
        <is>
          <t>Övriga statliga verk och myndigheter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13062-2023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45002</v>
      </c>
      <c r="E215" s="1" t="n">
        <v>46219</v>
      </c>
      <c r="F215" t="inlineStr">
        <is>
          <t>DALARNAS LÄN</t>
        </is>
      </c>
      <c r="G215" t="inlineStr">
        <is>
          <t>VANSBRO</t>
        </is>
      </c>
      <c r="H215" t="inlineStr">
        <is>
          <t>Övriga statliga verk och myndigheter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57255-2025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46219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62622-2022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44925</v>
      </c>
      <c r="E217" s="1" t="n">
        <v>46219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24277-2026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46219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30784-2026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46212</v>
      </c>
      <c r="E219" s="1" t="n">
        <v>46219</v>
      </c>
      <c r="F219" t="inlineStr">
        <is>
          <t>DALARNAS LÄN</t>
        </is>
      </c>
      <c r="G219" t="inlineStr">
        <is>
          <t>VANSBRO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30796-2026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46212</v>
      </c>
      <c r="E220" s="1" t="n">
        <v>46219</v>
      </c>
      <c r="F220" t="inlineStr">
        <is>
          <t>DALARNAS LÄN</t>
        </is>
      </c>
      <c r="G220" t="inlineStr">
        <is>
          <t>VANSBRO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62398-2021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44503</v>
      </c>
      <c r="E221" s="1" t="n">
        <v>46219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22.1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57716-2025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46219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46219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23432-2024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45453</v>
      </c>
      <c r="E224" s="1" t="n">
        <v>46219</v>
      </c>
      <c r="F224" t="inlineStr">
        <is>
          <t>DALARNAS LÄN</t>
        </is>
      </c>
      <c r="G224" t="inlineStr">
        <is>
          <t>VANSBRO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28872-2026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46199</v>
      </c>
      <c r="E225" s="1" t="n">
        <v>46219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45666</v>
      </c>
      <c r="E226" s="1" t="n">
        <v>46219</v>
      </c>
      <c r="F226" t="inlineStr">
        <is>
          <t>DALARNAS LÄN</t>
        </is>
      </c>
      <c r="G226" t="inlineStr">
        <is>
          <t>VANSBRO</t>
        </is>
      </c>
      <c r="H226" t="inlineStr">
        <is>
          <t>Övriga statliga verk och myndigheter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27080-2024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45471</v>
      </c>
      <c r="E227" s="1" t="n">
        <v>46219</v>
      </c>
      <c r="F227" t="inlineStr">
        <is>
          <t>DALARNAS LÄN</t>
        </is>
      </c>
      <c r="G227" t="inlineStr">
        <is>
          <t>VANSBRO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45987</v>
      </c>
      <c r="E228" s="1" t="n">
        <v>46219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53828-2021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46219</v>
      </c>
      <c r="F229" t="inlineStr">
        <is>
          <t>DALARNAS LÄN</t>
        </is>
      </c>
      <c r="G229" t="inlineStr">
        <is>
          <t>VANSBRO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25045-2026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46219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60145-2025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46219</v>
      </c>
      <c r="F231" t="inlineStr">
        <is>
          <t>DALARNAS LÄN</t>
        </is>
      </c>
      <c r="G231" t="inlineStr">
        <is>
          <t>VANSBRO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16823-2025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46219</v>
      </c>
      <c r="F232" t="inlineStr">
        <is>
          <t>DALARNAS LÄN</t>
        </is>
      </c>
      <c r="G232" t="inlineStr">
        <is>
          <t>VANSBRO</t>
        </is>
      </c>
      <c r="I232" t="n">
        <v>9.9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21973-2024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46219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60229-2025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46219</v>
      </c>
      <c r="F234" t="inlineStr">
        <is>
          <t>DALARNAS LÄN</t>
        </is>
      </c>
      <c r="G234" t="inlineStr">
        <is>
          <t>VANSBRO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8793-2025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46219</v>
      </c>
      <c r="F235" t="inlineStr">
        <is>
          <t>DALARNAS LÄN</t>
        </is>
      </c>
      <c r="G235" t="inlineStr">
        <is>
          <t>VANSBRO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29174-2026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46202</v>
      </c>
      <c r="E236" s="1" t="n">
        <v>46219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60036-2023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46219</v>
      </c>
      <c r="F237" t="inlineStr">
        <is>
          <t>DALARNAS LÄN</t>
        </is>
      </c>
      <c r="G237" t="inlineStr">
        <is>
          <t>VANSBRO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61598-2025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46002</v>
      </c>
      <c r="E238" s="1" t="n">
        <v>46219</v>
      </c>
      <c r="F238" t="inlineStr">
        <is>
          <t>DALARNAS LÄN</t>
        </is>
      </c>
      <c r="G238" t="inlineStr">
        <is>
          <t>VANSBRO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2086-2024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45309</v>
      </c>
      <c r="E239" s="1" t="n">
        <v>46219</v>
      </c>
      <c r="F239" t="inlineStr">
        <is>
          <t>DALARNAS LÄN</t>
        </is>
      </c>
      <c r="G239" t="inlineStr">
        <is>
          <t>VANSBRO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18882-2025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46219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47824-2023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46219</v>
      </c>
      <c r="F241" t="inlineStr">
        <is>
          <t>DALARNAS LÄN</t>
        </is>
      </c>
      <c r="G241" t="inlineStr">
        <is>
          <t>VANSBRO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42824-2023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45182</v>
      </c>
      <c r="E242" s="1" t="n">
        <v>46219</v>
      </c>
      <c r="F242" t="inlineStr">
        <is>
          <t>DALARNAS LÄN</t>
        </is>
      </c>
      <c r="G242" t="inlineStr">
        <is>
          <t>VANSBRO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56986-2023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46219</v>
      </c>
      <c r="F243" t="inlineStr">
        <is>
          <t>DALARNAS LÄN</t>
        </is>
      </c>
      <c r="G243" t="inlineStr">
        <is>
          <t>VANSBRO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5420-2024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45331</v>
      </c>
      <c r="E244" s="1" t="n">
        <v>46219</v>
      </c>
      <c r="F244" t="inlineStr">
        <is>
          <t>DALARNAS LÄN</t>
        </is>
      </c>
      <c r="G244" t="inlineStr">
        <is>
          <t>VANSBRO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50258-2024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46219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45.8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46219</v>
      </c>
      <c r="F246" t="inlineStr">
        <is>
          <t>DALARNAS LÄN</t>
        </is>
      </c>
      <c r="G246" t="inlineStr">
        <is>
          <t>VANSBRO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46033</v>
      </c>
      <c r="E247" s="1" t="n">
        <v>46219</v>
      </c>
      <c r="F247" t="inlineStr">
        <is>
          <t>DALARNAS LÄN</t>
        </is>
      </c>
      <c r="G247" t="inlineStr">
        <is>
          <t>VANSBRO</t>
        </is>
      </c>
      <c r="I247" t="n">
        <v>9.9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23899-2023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46219</v>
      </c>
      <c r="F248" t="inlineStr">
        <is>
          <t>DALARNAS LÄN</t>
        </is>
      </c>
      <c r="G248" t="inlineStr">
        <is>
          <t>VANSBRO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46031</v>
      </c>
      <c r="E249" s="1" t="n">
        <v>46219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öst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11485-2024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45372</v>
      </c>
      <c r="E250" s="1" t="n">
        <v>46219</v>
      </c>
      <c r="F250" t="inlineStr">
        <is>
          <t>DALARNAS LÄN</t>
        </is>
      </c>
      <c r="G250" t="inlineStr">
        <is>
          <t>VANSBRO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2196-2026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46219</v>
      </c>
      <c r="F251" t="inlineStr">
        <is>
          <t>DALARNAS LÄN</t>
        </is>
      </c>
      <c r="G251" t="inlineStr">
        <is>
          <t>VANSBRO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36855-2022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46219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46037</v>
      </c>
      <c r="E253" s="1" t="n">
        <v>46219</v>
      </c>
      <c r="F253" t="inlineStr">
        <is>
          <t>DALARNAS LÄN</t>
        </is>
      </c>
      <c r="G253" t="inlineStr">
        <is>
          <t>VANSBRO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45608-2023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46219</v>
      </c>
      <c r="F254" t="inlineStr">
        <is>
          <t>DALARNAS LÄN</t>
        </is>
      </c>
      <c r="G254" t="inlineStr">
        <is>
          <t>VANSBRO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46219</v>
      </c>
      <c r="F255" t="inlineStr">
        <is>
          <t>DALARNAS LÄN</t>
        </is>
      </c>
      <c r="G255" t="inlineStr">
        <is>
          <t>VANSBRO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42207-2021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44426</v>
      </c>
      <c r="E256" s="1" t="n">
        <v>46219</v>
      </c>
      <c r="F256" t="inlineStr">
        <is>
          <t>DALARNAS LÄN</t>
        </is>
      </c>
      <c r="G256" t="inlineStr">
        <is>
          <t>VANSBRO</t>
        </is>
      </c>
      <c r="I256" t="n">
        <v>25.5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29288-2024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45483</v>
      </c>
      <c r="E257" s="1" t="n">
        <v>46219</v>
      </c>
      <c r="F257" t="inlineStr">
        <is>
          <t>DALARNAS LÄN</t>
        </is>
      </c>
      <c r="G257" t="inlineStr">
        <is>
          <t>VANSBRO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46219</v>
      </c>
      <c r="F258" t="inlineStr">
        <is>
          <t>DALARNAS LÄN</t>
        </is>
      </c>
      <c r="G258" t="inlineStr">
        <is>
          <t>VANSBRO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46219</v>
      </c>
      <c r="F259" t="inlineStr">
        <is>
          <t>DALARNAS LÄN</t>
        </is>
      </c>
      <c r="G259" t="inlineStr">
        <is>
          <t>VANSBRO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13639-2022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44648</v>
      </c>
      <c r="E260" s="1" t="n">
        <v>46219</v>
      </c>
      <c r="F260" t="inlineStr">
        <is>
          <t>DALARNAS LÄN</t>
        </is>
      </c>
      <c r="G260" t="inlineStr">
        <is>
          <t>VANSBRO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21616-2025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46219</v>
      </c>
      <c r="F261" t="inlineStr">
        <is>
          <t>DALARNAS LÄN</t>
        </is>
      </c>
      <c r="G261" t="inlineStr">
        <is>
          <t>VANSBRO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46219</v>
      </c>
      <c r="F262" t="inlineStr">
        <is>
          <t>DALARNAS LÄN</t>
        </is>
      </c>
      <c r="G262" t="inlineStr">
        <is>
          <t>VANSBRO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21656-2025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45783</v>
      </c>
      <c r="E263" s="1" t="n">
        <v>46219</v>
      </c>
      <c r="F263" t="inlineStr">
        <is>
          <t>DALARNAS LÄN</t>
        </is>
      </c>
      <c r="G263" t="inlineStr">
        <is>
          <t>VANSBRO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23085-2022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44719</v>
      </c>
      <c r="E264" s="1" t="n">
        <v>46219</v>
      </c>
      <c r="F264" t="inlineStr">
        <is>
          <t>DALARNAS LÄN</t>
        </is>
      </c>
      <c r="G264" t="inlineStr">
        <is>
          <t>VANSBRO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921-2025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45665</v>
      </c>
      <c r="E265" s="1" t="n">
        <v>46219</v>
      </c>
      <c r="F265" t="inlineStr">
        <is>
          <t>DALARNAS LÄN</t>
        </is>
      </c>
      <c r="G265" t="inlineStr">
        <is>
          <t>VANSBRO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46219</v>
      </c>
      <c r="F266" t="inlineStr">
        <is>
          <t>DALARNAS LÄN</t>
        </is>
      </c>
      <c r="G266" t="inlineStr">
        <is>
          <t>VANSBRO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18306-2025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45762</v>
      </c>
      <c r="E267" s="1" t="n">
        <v>46219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46219</v>
      </c>
      <c r="F268" t="inlineStr">
        <is>
          <t>DALARNAS LÄN</t>
        </is>
      </c>
      <c r="G268" t="inlineStr">
        <is>
          <t>VANSBRO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45147</v>
      </c>
      <c r="E269" s="1" t="n">
        <v>46219</v>
      </c>
      <c r="F269" t="inlineStr">
        <is>
          <t>DALARNAS LÄN</t>
        </is>
      </c>
      <c r="G269" t="inlineStr">
        <is>
          <t>VANSBRO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46219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46219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46219</v>
      </c>
      <c r="F272" t="inlineStr">
        <is>
          <t>DALARNAS LÄN</t>
        </is>
      </c>
      <c r="G272" t="inlineStr">
        <is>
          <t>VANSBRO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46219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6643-2025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46219</v>
      </c>
      <c r="F274" t="inlineStr">
        <is>
          <t>DALARNAS LÄN</t>
        </is>
      </c>
      <c r="G274" t="inlineStr">
        <is>
          <t>VANSBRO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6076-2026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46219</v>
      </c>
      <c r="F275" t="inlineStr">
        <is>
          <t>DALARNAS LÄN</t>
        </is>
      </c>
      <c r="G275" t="inlineStr">
        <is>
          <t>VANSBRO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46219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30544-2024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45492</v>
      </c>
      <c r="E277" s="1" t="n">
        <v>46219</v>
      </c>
      <c r="F277" t="inlineStr">
        <is>
          <t>DALARNAS LÄN</t>
        </is>
      </c>
      <c r="G277" t="inlineStr">
        <is>
          <t>VANSBRO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24827-2022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44728</v>
      </c>
      <c r="E278" s="1" t="n">
        <v>46219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öst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24839-2022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44728</v>
      </c>
      <c r="E279" s="1" t="n">
        <v>46219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öst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7259-2026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46219</v>
      </c>
      <c r="F280" t="inlineStr">
        <is>
          <t>DALARNAS LÄN</t>
        </is>
      </c>
      <c r="G280" t="inlineStr">
        <is>
          <t>VANSBRO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7236-2026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46219</v>
      </c>
      <c r="F281" t="inlineStr">
        <is>
          <t>DALARNAS LÄN</t>
        </is>
      </c>
      <c r="G281" t="inlineStr">
        <is>
          <t>VANSBRO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43254-2023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45183</v>
      </c>
      <c r="E282" s="1" t="n">
        <v>46219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öst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43258-2023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45183</v>
      </c>
      <c r="E283" s="1" t="n">
        <v>46219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7014-2026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46219</v>
      </c>
      <c r="F284" t="inlineStr">
        <is>
          <t>DALARNAS LÄN</t>
        </is>
      </c>
      <c r="G284" t="inlineStr">
        <is>
          <t>VANSBRO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46466-2024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46219</v>
      </c>
      <c r="F285" t="inlineStr">
        <is>
          <t>DALARNAS LÄN</t>
        </is>
      </c>
      <c r="G285" t="inlineStr">
        <is>
          <t>VANSBRO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7779-2026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46219</v>
      </c>
      <c r="F286" t="inlineStr">
        <is>
          <t>DALARNAS LÄN</t>
        </is>
      </c>
      <c r="G286" t="inlineStr">
        <is>
          <t>VANSBRO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3258-2026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46041</v>
      </c>
      <c r="E287" s="1" t="n">
        <v>46219</v>
      </c>
      <c r="F287" t="inlineStr">
        <is>
          <t>DALARNAS LÄN</t>
        </is>
      </c>
      <c r="G287" t="inlineStr">
        <is>
          <t>VANSBRO</t>
        </is>
      </c>
      <c r="I287" t="n">
        <v>15.1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46219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1140-2025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45666</v>
      </c>
      <c r="E289" s="1" t="n">
        <v>46219</v>
      </c>
      <c r="F289" t="inlineStr">
        <is>
          <t>DALARNAS LÄN</t>
        </is>
      </c>
      <c r="G289" t="inlineStr">
        <is>
          <t>VANSBRO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25496-2024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45463</v>
      </c>
      <c r="E290" s="1" t="n">
        <v>46219</v>
      </c>
      <c r="F290" t="inlineStr">
        <is>
          <t>DALARNAS LÄN</t>
        </is>
      </c>
      <c r="G290" t="inlineStr">
        <is>
          <t>VANSBRO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59856-2024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46219</v>
      </c>
      <c r="F291" t="inlineStr">
        <is>
          <t>DALARNAS LÄN</t>
        </is>
      </c>
      <c r="G291" t="inlineStr">
        <is>
          <t>VANSBRO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25916-2022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44734</v>
      </c>
      <c r="E292" s="1" t="n">
        <v>46219</v>
      </c>
      <c r="F292" t="inlineStr">
        <is>
          <t>DALARNAS LÄN</t>
        </is>
      </c>
      <c r="G292" t="inlineStr">
        <is>
          <t>VANSBRO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56269-2023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46219</v>
      </c>
      <c r="F293" t="inlineStr">
        <is>
          <t>DALARNAS LÄN</t>
        </is>
      </c>
      <c r="G293" t="inlineStr">
        <is>
          <t>VANSBRO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64072-2025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46219</v>
      </c>
      <c r="F294" t="inlineStr">
        <is>
          <t>DALARNAS LÄN</t>
        </is>
      </c>
      <c r="G294" t="inlineStr">
        <is>
          <t>VANSBRO</t>
        </is>
      </c>
      <c r="I294" t="n">
        <v>19.1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46219</v>
      </c>
      <c r="F295" t="inlineStr">
        <is>
          <t>DALARNAS LÄN</t>
        </is>
      </c>
      <c r="G295" t="inlineStr">
        <is>
          <t>VANSBRO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9417-2026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46219</v>
      </c>
      <c r="F296" t="inlineStr">
        <is>
          <t>DALARNAS LÄN</t>
        </is>
      </c>
      <c r="G296" t="inlineStr">
        <is>
          <t>VANSBRO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40290-2023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46219</v>
      </c>
      <c r="F297" t="inlineStr">
        <is>
          <t>DALARNAS LÄN</t>
        </is>
      </c>
      <c r="G297" t="inlineStr">
        <is>
          <t>VANSBRO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46219</v>
      </c>
      <c r="F298" t="inlineStr">
        <is>
          <t>DALARNAS LÄN</t>
        </is>
      </c>
      <c r="G298" t="inlineStr">
        <is>
          <t>VANSBRO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29411-2024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45483</v>
      </c>
      <c r="E299" s="1" t="n">
        <v>46219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43658-2023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46219</v>
      </c>
      <c r="F300" t="inlineStr">
        <is>
          <t>DALARNAS LÄN</t>
        </is>
      </c>
      <c r="G300" t="inlineStr">
        <is>
          <t>VANSBRO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50741-2022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44867</v>
      </c>
      <c r="E301" s="1" t="n">
        <v>46219</v>
      </c>
      <c r="F301" t="inlineStr">
        <is>
          <t>DALARNAS LÄN</t>
        </is>
      </c>
      <c r="G301" t="inlineStr">
        <is>
          <t>VANSBRO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23792-2025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46219</v>
      </c>
      <c r="F302" t="inlineStr">
        <is>
          <t>DALARNAS LÄN</t>
        </is>
      </c>
      <c r="G302" t="inlineStr">
        <is>
          <t>VANSBRO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11350-2026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46082</v>
      </c>
      <c r="E303" s="1" t="n">
        <v>46219</v>
      </c>
      <c r="F303" t="inlineStr">
        <is>
          <t>DALARNAS LÄN</t>
        </is>
      </c>
      <c r="G303" t="inlineStr">
        <is>
          <t>VANSBRO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15088-2025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45744</v>
      </c>
      <c r="E304" s="1" t="n">
        <v>46219</v>
      </c>
      <c r="F304" t="inlineStr">
        <is>
          <t>DALARNAS LÄN</t>
        </is>
      </c>
      <c r="G304" t="inlineStr">
        <is>
          <t>VANSBRO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50125-2023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46219</v>
      </c>
      <c r="F305" t="inlineStr">
        <is>
          <t>DALARNAS LÄN</t>
        </is>
      </c>
      <c r="G305" t="inlineStr">
        <is>
          <t>VANSBRO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50141-2023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46219</v>
      </c>
      <c r="F306" t="inlineStr">
        <is>
          <t>DALARNAS LÄN</t>
        </is>
      </c>
      <c r="G306" t="inlineStr">
        <is>
          <t>VANSBRO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11349-2026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46082</v>
      </c>
      <c r="E307" s="1" t="n">
        <v>46219</v>
      </c>
      <c r="F307" t="inlineStr">
        <is>
          <t>DALARNAS LÄN</t>
        </is>
      </c>
      <c r="G307" t="inlineStr">
        <is>
          <t>VANSBRO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11603-2026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46219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16827-2025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45754</v>
      </c>
      <c r="E309" s="1" t="n">
        <v>46219</v>
      </c>
      <c r="F309" t="inlineStr">
        <is>
          <t>DALARNAS LÄN</t>
        </is>
      </c>
      <c r="G309" t="inlineStr">
        <is>
          <t>VANSBRO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59435-2023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46219</v>
      </c>
      <c r="F310" t="inlineStr">
        <is>
          <t>DALARNAS LÄN</t>
        </is>
      </c>
      <c r="G310" t="inlineStr">
        <is>
          <t>VANSBRO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45322</v>
      </c>
      <c r="E311" s="1" t="n">
        <v>46219</v>
      </c>
      <c r="F311" t="inlineStr">
        <is>
          <t>DALARNAS LÄN</t>
        </is>
      </c>
      <c r="G311" t="inlineStr">
        <is>
          <t>VANSBRO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59600-2023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45254</v>
      </c>
      <c r="E312" s="1" t="n">
        <v>46219</v>
      </c>
      <c r="F312" t="inlineStr">
        <is>
          <t>DALARNAS LÄN</t>
        </is>
      </c>
      <c r="G312" t="inlineStr">
        <is>
          <t>VANSBRO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12475-2026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46090</v>
      </c>
      <c r="E313" s="1" t="n">
        <v>46219</v>
      </c>
      <c r="F313" t="inlineStr">
        <is>
          <t>DALARNAS LÄN</t>
        </is>
      </c>
      <c r="G313" t="inlineStr">
        <is>
          <t>VANSBRO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46219</v>
      </c>
      <c r="F314" t="inlineStr">
        <is>
          <t>DALARNAS LÄN</t>
        </is>
      </c>
      <c r="G314" t="inlineStr">
        <is>
          <t>VANSBRO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44930</v>
      </c>
      <c r="E315" s="1" t="n">
        <v>46219</v>
      </c>
      <c r="F315" t="inlineStr">
        <is>
          <t>DALARNAS LÄN</t>
        </is>
      </c>
      <c r="G315" t="inlineStr">
        <is>
          <t>VANSBRO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13392-2026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46219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35516-2024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46219</v>
      </c>
      <c r="F317" t="inlineStr">
        <is>
          <t>DALARNAS LÄN</t>
        </is>
      </c>
      <c r="G317" t="inlineStr">
        <is>
          <t>VANSBRO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24522-2025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46219</v>
      </c>
      <c r="F318" t="inlineStr">
        <is>
          <t>DALARNAS LÄN</t>
        </is>
      </c>
      <c r="G318" t="inlineStr">
        <is>
          <t>VANSBRO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13495-2026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46219</v>
      </c>
      <c r="F319" t="inlineStr">
        <is>
          <t>DALARNAS LÄN</t>
        </is>
      </c>
      <c r="G319" t="inlineStr">
        <is>
          <t>VANSBRO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13403-2026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46219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13506-2026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46219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55078-2022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44886</v>
      </c>
      <c r="E322" s="1" t="n">
        <v>46219</v>
      </c>
      <c r="F322" t="inlineStr">
        <is>
          <t>DALARNAS LÄN</t>
        </is>
      </c>
      <c r="G322" t="inlineStr">
        <is>
          <t>VANSBRO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14112-2026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46219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12917-2026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46219</v>
      </c>
      <c r="F324" t="inlineStr">
        <is>
          <t>DALARNAS LÄN</t>
        </is>
      </c>
      <c r="G324" t="inlineStr">
        <is>
          <t>VANSBRO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15408-2026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46219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15676-2026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46219</v>
      </c>
      <c r="F326" t="inlineStr">
        <is>
          <t>DALARNAS LÄN</t>
        </is>
      </c>
      <c r="G326" t="inlineStr">
        <is>
          <t>VANSBRO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20419-2025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45775</v>
      </c>
      <c r="E327" s="1" t="n">
        <v>46219</v>
      </c>
      <c r="F327" t="inlineStr">
        <is>
          <t>DALARNAS LÄN</t>
        </is>
      </c>
      <c r="G327" t="inlineStr">
        <is>
          <t>VANSBRO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61717-2023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46219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16134-2026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46108</v>
      </c>
      <c r="E329" s="1" t="n">
        <v>46219</v>
      </c>
      <c r="F329" t="inlineStr">
        <is>
          <t>DALARNAS LÄN</t>
        </is>
      </c>
      <c r="G329" t="inlineStr">
        <is>
          <t>VANSBRO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46219</v>
      </c>
      <c r="F330" t="inlineStr">
        <is>
          <t>DALARNAS LÄN</t>
        </is>
      </c>
      <c r="G330" t="inlineStr">
        <is>
          <t>VANSBRO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46219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16952-2026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46219</v>
      </c>
      <c r="F332" t="inlineStr">
        <is>
          <t>DALARNAS LÄN</t>
        </is>
      </c>
      <c r="G332" t="inlineStr">
        <is>
          <t>VANSBRO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11408-2025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45726</v>
      </c>
      <c r="E333" s="1" t="n">
        <v>46219</v>
      </c>
      <c r="F333" t="inlineStr">
        <is>
          <t>DALARNAS LÄN</t>
        </is>
      </c>
      <c r="G333" t="inlineStr">
        <is>
          <t>VANSBRO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46219</v>
      </c>
      <c r="F334" t="inlineStr">
        <is>
          <t>DALARNAS LÄN</t>
        </is>
      </c>
      <c r="G334" t="inlineStr">
        <is>
          <t>VANSBRO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17321-2026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46219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26508-2025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45807</v>
      </c>
      <c r="E336" s="1" t="n">
        <v>46219</v>
      </c>
      <c r="F336" t="inlineStr">
        <is>
          <t>DALARNAS LÄN</t>
        </is>
      </c>
      <c r="G336" t="inlineStr">
        <is>
          <t>VANSBRO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33837-2024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46219</v>
      </c>
      <c r="F337" t="inlineStr">
        <is>
          <t>DALARNAS LÄN</t>
        </is>
      </c>
      <c r="G337" t="inlineStr">
        <is>
          <t>VANSBRO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26510-2025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45807</v>
      </c>
      <c r="E338" s="1" t="n">
        <v>46219</v>
      </c>
      <c r="F338" t="inlineStr">
        <is>
          <t>DALARNAS LÄN</t>
        </is>
      </c>
      <c r="G338" t="inlineStr">
        <is>
          <t>VANSBRO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17553-2026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46120</v>
      </c>
      <c r="E339" s="1" t="n">
        <v>46219</v>
      </c>
      <c r="F339" t="inlineStr">
        <is>
          <t>DALARNAS LÄN</t>
        </is>
      </c>
      <c r="G339" t="inlineStr">
        <is>
          <t>VANSBRO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17609-2026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46219</v>
      </c>
      <c r="F340" t="inlineStr">
        <is>
          <t>DALARNAS LÄN</t>
        </is>
      </c>
      <c r="G340" t="inlineStr">
        <is>
          <t>VANSBRO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17613-2026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46219</v>
      </c>
      <c r="F341" t="inlineStr">
        <is>
          <t>DALARNAS LÄN</t>
        </is>
      </c>
      <c r="G341" t="inlineStr">
        <is>
          <t>VANSBRO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35537-2024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45531</v>
      </c>
      <c r="E342" s="1" t="n">
        <v>46219</v>
      </c>
      <c r="F342" t="inlineStr">
        <is>
          <t>DALARNAS LÄN</t>
        </is>
      </c>
      <c r="G342" t="inlineStr">
        <is>
          <t>VANSBRO</t>
        </is>
      </c>
      <c r="H342" t="inlineStr">
        <is>
          <t>Övriga statliga verk och myndigheter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17552-2026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46219</v>
      </c>
      <c r="F343" t="inlineStr">
        <is>
          <t>DALARNAS LÄN</t>
        </is>
      </c>
      <c r="G343" t="inlineStr">
        <is>
          <t>VANSBRO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46120</v>
      </c>
      <c r="E344" s="1" t="n">
        <v>46219</v>
      </c>
      <c r="F344" t="inlineStr">
        <is>
          <t>DALARNAS LÄN</t>
        </is>
      </c>
      <c r="G344" t="inlineStr">
        <is>
          <t>VANSBRO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17604-2026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46219</v>
      </c>
      <c r="F345" t="inlineStr">
        <is>
          <t>DALARNAS LÄN</t>
        </is>
      </c>
      <c r="G345" t="inlineStr">
        <is>
          <t>VANSBRO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18068-2026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46219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61515-2022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44916</v>
      </c>
      <c r="E347" s="1" t="n">
        <v>46219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26990-2025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46219</v>
      </c>
      <c r="F348" t="inlineStr">
        <is>
          <t>DALARNAS LÄN</t>
        </is>
      </c>
      <c r="G348" t="inlineStr">
        <is>
          <t>VANSBRO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26995-2025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46219</v>
      </c>
      <c r="F349" t="inlineStr">
        <is>
          <t>DALARNAS LÄN</t>
        </is>
      </c>
      <c r="G349" t="inlineStr">
        <is>
          <t>VANSBRO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17998-2026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46124</v>
      </c>
      <c r="E350" s="1" t="n">
        <v>46219</v>
      </c>
      <c r="F350" t="inlineStr">
        <is>
          <t>DALARNAS LÄN</t>
        </is>
      </c>
      <c r="G350" t="inlineStr">
        <is>
          <t>VANSBRO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18140-2026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46125</v>
      </c>
      <c r="E351" s="1" t="n">
        <v>46219</v>
      </c>
      <c r="F351" t="inlineStr">
        <is>
          <t>DALARNAS LÄN</t>
        </is>
      </c>
      <c r="G351" t="inlineStr">
        <is>
          <t>VANSBRO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18586-2026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46219</v>
      </c>
      <c r="F352" t="inlineStr">
        <is>
          <t>DALARNAS LÄN</t>
        </is>
      </c>
      <c r="G352" t="inlineStr">
        <is>
          <t>VANSBRO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45695</v>
      </c>
      <c r="E353" s="1" t="n">
        <v>46219</v>
      </c>
      <c r="F353" t="inlineStr">
        <is>
          <t>DALARNAS LÄN</t>
        </is>
      </c>
      <c r="G353" t="inlineStr">
        <is>
          <t>VANSBRO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18577-2026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46219</v>
      </c>
      <c r="F354" t="inlineStr">
        <is>
          <t>DALARNAS LÄN</t>
        </is>
      </c>
      <c r="G354" t="inlineStr">
        <is>
          <t>VANSBRO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45008</v>
      </c>
      <c r="E355" s="1" t="n">
        <v>46219</v>
      </c>
      <c r="F355" t="inlineStr">
        <is>
          <t>DALARNAS LÄN</t>
        </is>
      </c>
      <c r="G355" t="inlineStr">
        <is>
          <t>VANSBRO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18588-2026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46127</v>
      </c>
      <c r="E356" s="1" t="n">
        <v>46219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44960</v>
      </c>
      <c r="E357" s="1" t="n">
        <v>46219</v>
      </c>
      <c r="F357" t="inlineStr">
        <is>
          <t>DALARNAS LÄN</t>
        </is>
      </c>
      <c r="G357" t="inlineStr">
        <is>
          <t>VANSBRO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18580-2026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46219</v>
      </c>
      <c r="F358" t="inlineStr">
        <is>
          <t>DALARNAS LÄN</t>
        </is>
      </c>
      <c r="G358" t="inlineStr">
        <is>
          <t>VANSBRO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18823-2026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46219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41371-2022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44826</v>
      </c>
      <c r="E360" s="1" t="n">
        <v>46219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18717-2026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46219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18709-2026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46219</v>
      </c>
      <c r="F362" t="inlineStr">
        <is>
          <t>DALARNAS LÄN</t>
        </is>
      </c>
      <c r="G362" t="inlineStr">
        <is>
          <t>VANSBRO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7142-2023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46219</v>
      </c>
      <c r="F363" t="inlineStr">
        <is>
          <t>DALARNAS LÄN</t>
        </is>
      </c>
      <c r="G363" t="inlineStr">
        <is>
          <t>VANSBRO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44673</v>
      </c>
      <c r="E364" s="1" t="n">
        <v>46219</v>
      </c>
      <c r="F364" t="inlineStr">
        <is>
          <t>DALARNAS LÄN</t>
        </is>
      </c>
      <c r="G364" t="inlineStr">
        <is>
          <t>VANSBRO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54159-2022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44881</v>
      </c>
      <c r="E365" s="1" t="n">
        <v>46219</v>
      </c>
      <c r="F365" t="inlineStr">
        <is>
          <t>DALARNAS LÄN</t>
        </is>
      </c>
      <c r="G365" t="inlineStr">
        <is>
          <t>VANSBRO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28469-2025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46219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22756-2024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46219</v>
      </c>
      <c r="F367" t="inlineStr">
        <is>
          <t>DALARNAS LÄN</t>
        </is>
      </c>
      <c r="G367" t="inlineStr">
        <is>
          <t>VANSBRO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29281-2025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46219</v>
      </c>
      <c r="F368" t="inlineStr">
        <is>
          <t>DALARNAS LÄN</t>
        </is>
      </c>
      <c r="G368" t="inlineStr">
        <is>
          <t>VANSBRO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28007-2025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45817</v>
      </c>
      <c r="E369" s="1" t="n">
        <v>46219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19809-2026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46219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46219</v>
      </c>
      <c r="F371" t="inlineStr">
        <is>
          <t>DALARNAS LÄN</t>
        </is>
      </c>
      <c r="G371" t="inlineStr">
        <is>
          <t>VANSBRO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30342-2023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46219</v>
      </c>
      <c r="F372" t="inlineStr">
        <is>
          <t>DALARNAS LÄN</t>
        </is>
      </c>
      <c r="G372" t="inlineStr">
        <is>
          <t>VANSBRO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49509-2024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45596</v>
      </c>
      <c r="E373" s="1" t="n">
        <v>46219</v>
      </c>
      <c r="F373" t="inlineStr">
        <is>
          <t>DALARNAS LÄN</t>
        </is>
      </c>
      <c r="G373" t="inlineStr">
        <is>
          <t>VANSBRO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55942-2023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45240</v>
      </c>
      <c r="E374" s="1" t="n">
        <v>46219</v>
      </c>
      <c r="F374" t="inlineStr">
        <is>
          <t>DALARNAS LÄN</t>
        </is>
      </c>
      <c r="G374" t="inlineStr">
        <is>
          <t>VANSBRO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20669-2025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45776</v>
      </c>
      <c r="E375" s="1" t="n">
        <v>46219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26387-2025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45806</v>
      </c>
      <c r="E376" s="1" t="n">
        <v>46219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56129-2023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45240</v>
      </c>
      <c r="E377" s="1" t="n">
        <v>46219</v>
      </c>
      <c r="F377" t="inlineStr">
        <is>
          <t>DALARNAS LÄN</t>
        </is>
      </c>
      <c r="G377" t="inlineStr">
        <is>
          <t>VANSBRO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48005-2022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46219</v>
      </c>
      <c r="F378" t="inlineStr">
        <is>
          <t>DALARNAS LÄN</t>
        </is>
      </c>
      <c r="G378" t="inlineStr">
        <is>
          <t>VANSBRO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34882-2022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44796</v>
      </c>
      <c r="E379" s="1" t="n">
        <v>46219</v>
      </c>
      <c r="F379" t="inlineStr">
        <is>
          <t>DALARNAS LÄN</t>
        </is>
      </c>
      <c r="G379" t="inlineStr">
        <is>
          <t>VANSBRO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49921-2023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45214</v>
      </c>
      <c r="E380" s="1" t="n">
        <v>46219</v>
      </c>
      <c r="F380" t="inlineStr">
        <is>
          <t>DALARNAS LÄN</t>
        </is>
      </c>
      <c r="G380" t="inlineStr">
        <is>
          <t>VANSBRO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31196-2025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46219</v>
      </c>
      <c r="F381" t="inlineStr">
        <is>
          <t>DALARNAS LÄN</t>
        </is>
      </c>
      <c r="G381" t="inlineStr">
        <is>
          <t>VANSBRO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31499-2025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46219</v>
      </c>
      <c r="F382" t="inlineStr">
        <is>
          <t>DALARNAS LÄN</t>
        </is>
      </c>
      <c r="G382" t="inlineStr">
        <is>
          <t>VANSBRO</t>
        </is>
      </c>
      <c r="I382" t="n">
        <v>27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20208-2026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46219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31489-2025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46219</v>
      </c>
      <c r="F384" t="inlineStr">
        <is>
          <t>DALARNAS LÄN</t>
        </is>
      </c>
      <c r="G384" t="inlineStr">
        <is>
          <t>VANSBRO</t>
        </is>
      </c>
      <c r="I384" t="n">
        <v>9.1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27089-2024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45471</v>
      </c>
      <c r="E385" s="1" t="n">
        <v>46219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45356-2024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45576</v>
      </c>
      <c r="E386" s="1" t="n">
        <v>46219</v>
      </c>
      <c r="F386" t="inlineStr">
        <is>
          <t>DALARNAS LÄN</t>
        </is>
      </c>
      <c r="G386" t="inlineStr">
        <is>
          <t>VANSBRO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27000-2025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45811</v>
      </c>
      <c r="E387" s="1" t="n">
        <v>46219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32040-2025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46219</v>
      </c>
      <c r="F388" t="inlineStr">
        <is>
          <t>DALARNAS LÄN</t>
        </is>
      </c>
      <c r="G388" t="inlineStr">
        <is>
          <t>VANSBRO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33109-2025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46219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33036-2025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45840</v>
      </c>
      <c r="E390" s="1" t="n">
        <v>46219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33056-2025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45840</v>
      </c>
      <c r="E391" s="1" t="n">
        <v>46219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33000-2025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46219</v>
      </c>
      <c r="F392" t="inlineStr">
        <is>
          <t>DALARNAS LÄN</t>
        </is>
      </c>
      <c r="G392" t="inlineStr">
        <is>
          <t>VANSBRO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21117-2024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46219</v>
      </c>
      <c r="F393" t="inlineStr">
        <is>
          <t>DALARNAS LÄN</t>
        </is>
      </c>
      <c r="G393" t="inlineStr">
        <is>
          <t>VANSBRO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45689</v>
      </c>
      <c r="E394" s="1" t="n">
        <v>46219</v>
      </c>
      <c r="F394" t="inlineStr">
        <is>
          <t>DALARNAS LÄN</t>
        </is>
      </c>
      <c r="G394" t="inlineStr">
        <is>
          <t>VANSBRO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9296-2023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46219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21418-2023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46219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55570-2023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46219</v>
      </c>
      <c r="F397" t="inlineStr">
        <is>
          <t>DALARNAS LÄN</t>
        </is>
      </c>
      <c r="G397" t="inlineStr">
        <is>
          <t>VANSBRO</t>
        </is>
      </c>
      <c r="H397" t="inlineStr">
        <is>
          <t>Övriga statliga verk och myndigheter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44931</v>
      </c>
      <c r="E398" s="1" t="n">
        <v>46219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11598-2025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46219</v>
      </c>
      <c r="F399" t="inlineStr">
        <is>
          <t>DALARNAS LÄN</t>
        </is>
      </c>
      <c r="G399" t="inlineStr">
        <is>
          <t>VANSBRO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53498-2024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45614</v>
      </c>
      <c r="E400" s="1" t="n">
        <v>46219</v>
      </c>
      <c r="F400" t="inlineStr">
        <is>
          <t>DALARNAS LÄN</t>
        </is>
      </c>
      <c r="G400" t="inlineStr">
        <is>
          <t>VANSBRO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9145-2025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46219</v>
      </c>
      <c r="F401" t="inlineStr">
        <is>
          <t>DALARNAS LÄN</t>
        </is>
      </c>
      <c r="G401" t="inlineStr">
        <is>
          <t>VANSBRO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34440-2025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46219</v>
      </c>
      <c r="F402" t="inlineStr">
        <is>
          <t>DALARNAS LÄN</t>
        </is>
      </c>
      <c r="G402" t="inlineStr">
        <is>
          <t>VANSBRO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46051</v>
      </c>
      <c r="E403" s="1" t="n">
        <v>46219</v>
      </c>
      <c r="F403" t="inlineStr">
        <is>
          <t>DALARNAS LÄN</t>
        </is>
      </c>
      <c r="G403" t="inlineStr">
        <is>
          <t>VANSBRO</t>
        </is>
      </c>
      <c r="I403" t="n">
        <v>13.9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49819-2025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45940</v>
      </c>
      <c r="E404" s="1" t="n">
        <v>46219</v>
      </c>
      <c r="F404" t="inlineStr">
        <is>
          <t>DALARNAS LÄN</t>
        </is>
      </c>
      <c r="G404" t="inlineStr">
        <is>
          <t>VANSBRO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35284-2025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45854</v>
      </c>
      <c r="E405" s="1" t="n">
        <v>46219</v>
      </c>
      <c r="F405" t="inlineStr">
        <is>
          <t>DALARNAS LÄN</t>
        </is>
      </c>
      <c r="G405" t="inlineStr">
        <is>
          <t>VANSBRO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64071-2025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46219</v>
      </c>
      <c r="F406" t="inlineStr">
        <is>
          <t>DALARNAS LÄN</t>
        </is>
      </c>
      <c r="G406" t="inlineStr">
        <is>
          <t>VANSBRO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35782-2025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45860</v>
      </c>
      <c r="E407" s="1" t="n">
        <v>46219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25958-2026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46219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26689-2026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46219</v>
      </c>
      <c r="F409" t="inlineStr">
        <is>
          <t>DALARNAS LÄN</t>
        </is>
      </c>
      <c r="G409" t="inlineStr">
        <is>
          <t>VANSBRO</t>
        </is>
      </c>
      <c r="H409" t="inlineStr">
        <is>
          <t>Övriga statliga verk och myndigheter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17366-2025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45756</v>
      </c>
      <c r="E410" s="1" t="n">
        <v>46219</v>
      </c>
      <c r="F410" t="inlineStr">
        <is>
          <t>DALARNAS LÄN</t>
        </is>
      </c>
      <c r="G410" t="inlineStr">
        <is>
          <t>VANSBRO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16830-2025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45754</v>
      </c>
      <c r="E411" s="1" t="n">
        <v>46219</v>
      </c>
      <c r="F411" t="inlineStr">
        <is>
          <t>DALARNAS LÄN</t>
        </is>
      </c>
      <c r="G411" t="inlineStr">
        <is>
          <t>VANSBRO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26542-2026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46219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10013-2024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45363</v>
      </c>
      <c r="E413" s="1" t="n">
        <v>46219</v>
      </c>
      <c r="F413" t="inlineStr">
        <is>
          <t>DALARNAS LÄN</t>
        </is>
      </c>
      <c r="G413" t="inlineStr">
        <is>
          <t>VANSBRO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36382-2025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45868</v>
      </c>
      <c r="E414" s="1" t="n">
        <v>46219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28011-2025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45817</v>
      </c>
      <c r="E415" s="1" t="n">
        <v>46219</v>
      </c>
      <c r="F415" t="inlineStr">
        <is>
          <t>DALARNAS LÄN</t>
        </is>
      </c>
      <c r="G415" t="inlineStr">
        <is>
          <t>VANSBRO</t>
        </is>
      </c>
      <c r="I415" t="n">
        <v>15.8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20732-2026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46219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öst AB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11007-2026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46219</v>
      </c>
      <c r="F417" t="inlineStr">
        <is>
          <t>DALARNAS LÄN</t>
        </is>
      </c>
      <c r="G417" t="inlineStr">
        <is>
          <t>VANSBRO</t>
        </is>
      </c>
      <c r="H417" t="inlineStr">
        <is>
          <t>Övriga statliga verk och myndigheter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27344-2026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46219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37285-2025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45876</v>
      </c>
      <c r="E419" s="1" t="n">
        <v>46219</v>
      </c>
      <c r="F419" t="inlineStr">
        <is>
          <t>DALARNAS LÄN</t>
        </is>
      </c>
      <c r="G419" t="inlineStr">
        <is>
          <t>VANSBRO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37287-2025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45876</v>
      </c>
      <c r="E420" s="1" t="n">
        <v>46219</v>
      </c>
      <c r="F420" t="inlineStr">
        <is>
          <t>DALARNAS LÄN</t>
        </is>
      </c>
      <c r="G420" t="inlineStr">
        <is>
          <t>VANSBRO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27195-2026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46219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27334-2026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46219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27631-2026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46219</v>
      </c>
      <c r="F423" t="inlineStr">
        <is>
          <t>DALARNAS LÄN</t>
        </is>
      </c>
      <c r="G423" t="inlineStr">
        <is>
          <t>VANSBRO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27629-2026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46219</v>
      </c>
      <c r="F424" t="inlineStr">
        <is>
          <t>DALARNAS LÄN</t>
        </is>
      </c>
      <c r="G424" t="inlineStr">
        <is>
          <t>VANSBRO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27930-2026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46219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27117-2026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46219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26669-2026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46219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27937-2026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46219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21744-2026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46149</v>
      </c>
      <c r="E429" s="1" t="n">
        <v>46219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27932-2026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46191</v>
      </c>
      <c r="E430" s="1" t="n">
        <v>46219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7864-2024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45350</v>
      </c>
      <c r="E431" s="1" t="n">
        <v>46219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22379-2026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46154</v>
      </c>
      <c r="E432" s="1" t="n">
        <v>46219</v>
      </c>
      <c r="F432" t="inlineStr">
        <is>
          <t>DALARNAS LÄN</t>
        </is>
      </c>
      <c r="G432" t="inlineStr">
        <is>
          <t>VANSBRO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22384-2026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46154</v>
      </c>
      <c r="E433" s="1" t="n">
        <v>46219</v>
      </c>
      <c r="F433" t="inlineStr">
        <is>
          <t>DALARNAS LÄN</t>
        </is>
      </c>
      <c r="G433" t="inlineStr">
        <is>
          <t>VANSBRO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28069-2026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46219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39484-2025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45890</v>
      </c>
      <c r="E435" s="1" t="n">
        <v>46219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28480-2026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46219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27242-2026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46219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28466-2026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46197</v>
      </c>
      <c r="E438" s="1" t="n">
        <v>46219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29035-2026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46219</v>
      </c>
      <c r="F439" t="inlineStr">
        <is>
          <t>DALARNAS LÄN</t>
        </is>
      </c>
      <c r="G439" t="inlineStr">
        <is>
          <t>VANSBRO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23059-2026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46219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23018-2026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46219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46219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46219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46219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46219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46219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46219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2026-07-16T01:27:32Z</dcterms:created>
  <dcterms:modified xmlns:dcterms="http://purl.org/dc/terms/" xmlns:xsi="http://www.w3.org/2001/XMLSchema-instance" xsi:type="dcterms:W3CDTF">2026-07-16T01:27:32Z</dcterms:modified>
</cp:coreProperties>
</file>