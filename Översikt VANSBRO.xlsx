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46310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46310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46310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46310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46310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46310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46310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46310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46310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46310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46310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46310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46310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46310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46310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46310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46310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46310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46310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46310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46310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46310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46310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45350-2024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45576</v>
      </c>
      <c r="E25" s="1" t="n">
        <v>46310</v>
      </c>
      <c r="F25" t="inlineStr">
        <is>
          <t>DALARNAS LÄN</t>
        </is>
      </c>
      <c r="G25" t="inlineStr">
        <is>
          <t>VANSBRO</t>
        </is>
      </c>
      <c r="I25" t="n">
        <v>13.4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8</v>
      </c>
      <c r="U25" t="n">
        <v>8</v>
      </c>
      <c r="V25" s="2" t="inlineStr">
        <is>
          <t>Garnlav
Dropptaggsvamp
Kolflarnlav
Mindre märgborre</t>
        </is>
      </c>
      <c r="W25">
        <f>HYPERLINK("https://klasma.github.io/Logging_2021/artfynd/A 45350-2024 artfynd.xlsx", "A 45350-2024")</f>
        <v/>
      </c>
      <c r="X25">
        <f>HYPERLINK("https://klasma.github.io/Logging_2021/kartor/A 45350-2024 karta.png", "A 45350-2024")</f>
        <v/>
      </c>
      <c r="Y25">
        <f>HYPERLINK("https://klasma.github.io/Logging_2021/kartor_geotiff/A 45350-2024 georefererad karta.tif", "A 45350-2024")</f>
        <v/>
      </c>
      <c r="AA25">
        <f>HYPERLINK("https://klasma.github.io/Logging_2021/klagomål/A 45350-2024 FSC-klagomål.docx", "A 45350-2024")</f>
        <v/>
      </c>
      <c r="AB25">
        <f>HYPERLINK("https://klasma.github.io/Logging_2021/klagomålsmail/A 45350-2024 FSC-klagomål mail.docx", "A 45350-2024")</f>
        <v/>
      </c>
      <c r="AC25">
        <f>HYPERLINK("https://klasma.github.io/Logging_2021/tillsyn/A 45350-2024 tillsynsbegäran.docx", "A 45350-2024")</f>
        <v/>
      </c>
      <c r="AD25">
        <f>HYPERLINK("https://klasma.github.io/Logging_2021/tillsynsmail/A 45350-2024 tillsynsbegäran mail.docx", "A 45350-2024")</f>
        <v/>
      </c>
    </row>
    <row r="26" ht="15" customHeight="1">
      <c r="A26" t="inlineStr">
        <is>
          <t>A 13339-2025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46310</v>
      </c>
      <c r="F26" t="inlineStr">
        <is>
          <t>DALARNAS LÄN</t>
        </is>
      </c>
      <c r="G26" t="inlineStr">
        <is>
          <t>VANSBRO</t>
        </is>
      </c>
      <c r="I26" t="n">
        <v>0.4</v>
      </c>
      <c r="J26" t="n">
        <v>1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5</v>
      </c>
      <c r="U26" t="n">
        <v>5</v>
      </c>
      <c r="V26" s="2" t="inlineStr">
        <is>
          <t>Garnlav
Knärot
Dropptaggsvamp
Mörk kolflarnlav</t>
        </is>
      </c>
      <c r="W26">
        <f>HYPERLINK("https://klasma.github.io/Logging_2021/artfynd/A 13339-2025 artfynd.xlsx", "A 13339-2025")</f>
        <v/>
      </c>
      <c r="X26">
        <f>HYPERLINK("https://klasma.github.io/Logging_2021/kartor/A 13339-2025 karta.png", "A 13339-2025")</f>
        <v/>
      </c>
      <c r="Y26">
        <f>HYPERLINK("https://klasma.github.io/Logging_2021/kartor_geotiff/A 13339-2025 georefererad karta.tif", "A 13339-2025")</f>
        <v/>
      </c>
      <c r="Z26">
        <f>HYPERLINK("https://klasma.github.io/Logging_2021/knärot/A 13339-2025 karta knärot.png", "A 13339-2025")</f>
        <v/>
      </c>
      <c r="AA26">
        <f>HYPERLINK("https://klasma.github.io/Logging_2021/klagomål/A 13339-2025 FSC-klagomål.docx", "A 13339-2025")</f>
        <v/>
      </c>
      <c r="AB26">
        <f>HYPERLINK("https://klasma.github.io/Logging_2021/klagomålsmail/A 13339-2025 FSC-klagomål mail.docx", "A 13339-2025")</f>
        <v/>
      </c>
      <c r="AC26">
        <f>HYPERLINK("https://klasma.github.io/Logging_2021/tillsyn/A 13339-2025 tillsynsbegäran.docx", "A 13339-2025")</f>
        <v/>
      </c>
      <c r="AD26">
        <f>HYPERLINK("https://klasma.github.io/Logging_2021/tillsynsmail/A 13339-2025 tillsynsbegäran mail.docx", "A 13339-2025")</f>
        <v/>
      </c>
    </row>
    <row r="27" ht="15" customHeight="1">
      <c r="A27" t="inlineStr">
        <is>
          <t>A 13344-2025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46310</v>
      </c>
      <c r="F27" t="inlineStr">
        <is>
          <t>DALARNAS LÄN</t>
        </is>
      </c>
      <c r="G27" t="inlineStr">
        <is>
          <t>VANSBRO</t>
        </is>
      </c>
      <c r="I27" t="n">
        <v>0.5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6</v>
      </c>
      <c r="U27" t="n">
        <v>6</v>
      </c>
      <c r="V27" s="2" t="inlineStr">
        <is>
          <t>Knärot
Mörk kolflarnlav
Ullticka
Tjäder</t>
        </is>
      </c>
      <c r="W27">
        <f>HYPERLINK("https://klasma.github.io/Logging_2021/artfynd/A 13344-2025 artfynd.xlsx", "A 13344-2025")</f>
        <v/>
      </c>
      <c r="X27">
        <f>HYPERLINK("https://klasma.github.io/Logging_2021/kartor/A 13344-2025 karta.png", "A 13344-2025")</f>
        <v/>
      </c>
      <c r="Y27">
        <f>HYPERLINK("https://klasma.github.io/Logging_2021/kartor_geotiff/A 13344-2025 georefererad karta.tif", "A 13344-2025")</f>
        <v/>
      </c>
      <c r="Z27">
        <f>HYPERLINK("https://klasma.github.io/Logging_2021/knärot/A 13344-2025 karta knärot.png", "A 13344-2025")</f>
        <v/>
      </c>
      <c r="AA27">
        <f>HYPERLINK("https://klasma.github.io/Logging_2021/klagomål/A 13344-2025 FSC-klagomål.docx", "A 13344-2025")</f>
        <v/>
      </c>
      <c r="AB27">
        <f>HYPERLINK("https://klasma.github.io/Logging_2021/klagomålsmail/A 13344-2025 FSC-klagomål mail.docx", "A 13344-2025")</f>
        <v/>
      </c>
      <c r="AC27">
        <f>HYPERLINK("https://klasma.github.io/Logging_2021/tillsyn/A 13344-2025 tillsynsbegäran.docx", "A 13344-2025")</f>
        <v/>
      </c>
      <c r="AD27">
        <f>HYPERLINK("https://klasma.github.io/Logging_2021/tillsynsmail/A 13344-2025 tillsynsbegäran mail.docx", "A 13344-2025")</f>
        <v/>
      </c>
      <c r="AE27">
        <f>HYPERLINK("https://klasma.github.io/Logging_2021/fåglar/A 13344-2025 prioriterade fågelarter.docx", "A 13344-2025")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46310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46310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46310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46310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41377-2026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46301</v>
      </c>
      <c r="E32" s="1" t="n">
        <v>46310</v>
      </c>
      <c r="F32" t="inlineStr">
        <is>
          <t>DALARNAS LÄN</t>
        </is>
      </c>
      <c r="G32" t="inlineStr">
        <is>
          <t>VANSBRO</t>
        </is>
      </c>
      <c r="I32" t="n">
        <v>0.6</v>
      </c>
      <c r="J32" t="n">
        <v>1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3</v>
      </c>
      <c r="T32" t="n">
        <v>4</v>
      </c>
      <c r="U32" t="n">
        <v>0</v>
      </c>
      <c r="V32" s="2" t="inlineStr">
        <is>
          <t>Garnlav
Knärot
Ullticka</t>
        </is>
      </c>
      <c r="W32">
        <f>HYPERLINK("https://klasma.github.io/Logging_2021/artfynd/A 41377-2026 artfynd.xlsx", "A 41377-2026")</f>
        <v/>
      </c>
      <c r="X32">
        <f>HYPERLINK("https://klasma.github.io/Logging_2021/kartor/A 41377-2026 karta.png", "A 41377-2026")</f>
        <v/>
      </c>
      <c r="Y32">
        <f>HYPERLINK("https://klasma.github.io/Logging_2021/kartor_geotiff/A 41377-2026 georefererad karta.tif", "A 41377-2026")</f>
        <v/>
      </c>
      <c r="Z32">
        <f>HYPERLINK("https://klasma.github.io/Logging_2021/knärot/A 41377-2026 karta knärot.png", "A 41377-2026")</f>
        <v/>
      </c>
      <c r="AA32">
        <f>HYPERLINK("https://klasma.github.io/Logging_2021/klagomål/A 41377-2026 FSC-klagomål.docx", "A 41377-2026")</f>
        <v/>
      </c>
      <c r="AB32">
        <f>HYPERLINK("https://klasma.github.io/Logging_2021/klagomålsmail/A 41377-2026 FSC-klagomål mail.docx", "A 41377-2026")</f>
        <v/>
      </c>
      <c r="AC32">
        <f>HYPERLINK("https://klasma.github.io/Logging_2021/tillsyn/A 41377-2026 tillsynsbegäran.docx", "A 41377-2026")</f>
        <v/>
      </c>
      <c r="AD32">
        <f>HYPERLINK("https://klasma.github.io/Logging_2021/tillsynsmail/A 41377-2026 tillsynsbegäran mail.docx", "A 41377-2026")</f>
        <v/>
      </c>
    </row>
    <row r="33" ht="15" customHeight="1">
      <c r="A33" t="inlineStr">
        <is>
          <t>A 41690-2026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46302</v>
      </c>
      <c r="E33" s="1" t="n">
        <v>46310</v>
      </c>
      <c r="F33" t="inlineStr">
        <is>
          <t>DALARNAS LÄN</t>
        </is>
      </c>
      <c r="G33" t="inlineStr">
        <is>
          <t>VANSBRO</t>
        </is>
      </c>
      <c r="I33" t="n">
        <v>2.4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Drillsnäppa
Ullticka
Älg</t>
        </is>
      </c>
      <c r="W33">
        <f>HYPERLINK("https://klasma.github.io/Logging_2021/artfynd/A 41690-2026 artfynd.xlsx", "A 41690-2026")</f>
        <v/>
      </c>
      <c r="X33">
        <f>HYPERLINK("https://klasma.github.io/Logging_2021/kartor/A 41690-2026 karta.png", "A 41690-2026")</f>
        <v/>
      </c>
      <c r="Y33">
        <f>HYPERLINK("https://klasma.github.io/Logging_2021/kartor_geotiff/A 41690-2026 georefererad karta.tif", "A 41690-2026")</f>
        <v/>
      </c>
      <c r="AA33">
        <f>HYPERLINK("https://klasma.github.io/Logging_2021/klagomål/A 41690-2026 FSC-klagomål.docx", "A 41690-2026")</f>
        <v/>
      </c>
      <c r="AB33">
        <f>HYPERLINK("https://klasma.github.io/Logging_2021/klagomålsmail/A 41690-2026 FSC-klagomål mail.docx", "A 41690-2026")</f>
        <v/>
      </c>
      <c r="AC33">
        <f>HYPERLINK("https://klasma.github.io/Logging_2021/tillsyn/A 41690-2026 tillsynsbegäran.docx", "A 41690-2026")</f>
        <v/>
      </c>
      <c r="AD33">
        <f>HYPERLINK("https://klasma.github.io/Logging_2021/tillsynsmail/A 41690-2026 tillsynsbegäran mail.docx", "A 41690-2026")</f>
        <v/>
      </c>
      <c r="AE33">
        <f>HYPERLINK("https://klasma.github.io/Logging_2021/fåglar/A 41690-2026 prioriterade fågelarter.docx", "A 41690-2026")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46310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46310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19656-2026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46310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18.2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Ängsblåvinge
Berggräsfjäril</t>
        </is>
      </c>
      <c r="W36">
        <f>HYPERLINK("https://klasma.github.io/Logging_2021/artfynd/A 19656-2026 artfynd.xlsx", "A 19656-2026")</f>
        <v/>
      </c>
      <c r="X36">
        <f>HYPERLINK("https://klasma.github.io/Logging_2021/kartor/A 19656-2026 karta.png", "A 19656-2026")</f>
        <v/>
      </c>
      <c r="Y36">
        <f>HYPERLINK("https://klasma.github.io/Logging_2021/kartor_geotiff/A 19656-2026 georefererad karta.tif", "A 19656-2026")</f>
        <v/>
      </c>
      <c r="AA36">
        <f>HYPERLINK("https://klasma.github.io/Logging_2021/klagomål/A 19656-2026 FSC-klagomål.docx", "A 19656-2026")</f>
        <v/>
      </c>
      <c r="AB36">
        <f>HYPERLINK("https://klasma.github.io/Logging_2021/klagomålsmail/A 19656-2026 FSC-klagomål mail.docx", "A 19656-2026")</f>
        <v/>
      </c>
      <c r="AC36">
        <f>HYPERLINK("https://klasma.github.io/Logging_2021/tillsyn/A 19656-2026 tillsynsbegäran.docx", "A 19656-2026")</f>
        <v/>
      </c>
      <c r="AD36">
        <f>HYPERLINK("https://klasma.github.io/Logging_2021/tillsynsmail/A 19656-2026 tillsynsbegäran mail.docx", "A 19656-2026")</f>
        <v/>
      </c>
    </row>
    <row r="37" ht="15" customHeight="1">
      <c r="A37" t="inlineStr">
        <is>
          <t>A 1691-2026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46310</v>
      </c>
      <c r="F37" t="inlineStr">
        <is>
          <t>DALARNAS LÄN</t>
        </is>
      </c>
      <c r="G37" t="inlineStr">
        <is>
          <t>VANSBRO</t>
        </is>
      </c>
      <c r="I37" t="n">
        <v>6.3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Dropptaggsvamp
Motaggsvamp</t>
        </is>
      </c>
      <c r="W37">
        <f>HYPERLINK("https://klasma.github.io/Logging_2021/artfynd/A 1691-2026 artfynd.xlsx", "A 1691-2026")</f>
        <v/>
      </c>
      <c r="X37">
        <f>HYPERLINK("https://klasma.github.io/Logging_2021/kartor/A 1691-2026 karta.png", "A 1691-2026")</f>
        <v/>
      </c>
      <c r="Y37">
        <f>HYPERLINK("https://klasma.github.io/Logging_2021/kartor_geotiff/A 1691-2026 georefererad karta.tif", "A 1691-2026")</f>
        <v/>
      </c>
      <c r="AA37">
        <f>HYPERLINK("https://klasma.github.io/Logging_2021/klagomål/A 1691-2026 FSC-klagomål.docx", "A 1691-2026")</f>
        <v/>
      </c>
      <c r="AB37">
        <f>HYPERLINK("https://klasma.github.io/Logging_2021/klagomålsmail/A 1691-2026 FSC-klagomål mail.docx", "A 1691-2026")</f>
        <v/>
      </c>
      <c r="AC37">
        <f>HYPERLINK("https://klasma.github.io/Logging_2021/tillsyn/A 1691-2026 tillsynsbegäran.docx", "A 1691-2026")</f>
        <v/>
      </c>
      <c r="AD37">
        <f>HYPERLINK("https://klasma.github.io/Logging_2021/tillsynsmail/A 1691-2026 tillsynsbegäran mail.docx", "A 1691-2026")</f>
        <v/>
      </c>
    </row>
    <row r="38" ht="15" customHeight="1">
      <c r="A38" t="inlineStr">
        <is>
          <t>A 58009-2023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46310</v>
      </c>
      <c r="F38" t="inlineStr">
        <is>
          <t>DALARNAS LÄN</t>
        </is>
      </c>
      <c r="G38" t="inlineStr">
        <is>
          <t>VANSBRO</t>
        </is>
      </c>
      <c r="I38" t="n">
        <v>0.5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Sädesärla
Orre</t>
        </is>
      </c>
      <c r="W38">
        <f>HYPERLINK("https://klasma.github.io/Logging_2021/artfynd/A 58009-2023 artfynd.xlsx", "A 58009-2023")</f>
        <v/>
      </c>
      <c r="X38">
        <f>HYPERLINK("https://klasma.github.io/Logging_2021/kartor/A 58009-2023 karta.png", "A 58009-2023")</f>
        <v/>
      </c>
      <c r="Y38">
        <f>HYPERLINK("https://klasma.github.io/Logging_2021/kartor_geotiff/A 58009-2023 georefererad karta.tif", "A 58009-2023")</f>
        <v/>
      </c>
      <c r="AA38">
        <f>HYPERLINK("https://klasma.github.io/Logging_2021/klagomål/A 58009-2023 FSC-klagomål.docx", "A 58009-2023")</f>
        <v/>
      </c>
      <c r="AB38">
        <f>HYPERLINK("https://klasma.github.io/Logging_2021/klagomålsmail/A 58009-2023 FSC-klagomål mail.docx", "A 58009-2023")</f>
        <v/>
      </c>
      <c r="AC38">
        <f>HYPERLINK("https://klasma.github.io/Logging_2021/tillsyn/A 58009-2023 tillsynsbegäran.docx", "A 58009-2023")</f>
        <v/>
      </c>
      <c r="AD38">
        <f>HYPERLINK("https://klasma.github.io/Logging_2021/tillsynsmail/A 58009-2023 tillsynsbegäran mail.docx", "A 58009-2023")</f>
        <v/>
      </c>
      <c r="AE38">
        <f>HYPERLINK("https://klasma.github.io/Logging_2021/fåglar/A 58009-2023 prioriterade fågelarter.docx", "A 58009-2023")</f>
        <v/>
      </c>
    </row>
    <row r="39" ht="15" customHeight="1">
      <c r="A39" t="inlineStr">
        <is>
          <t>A 14475-2024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45394</v>
      </c>
      <c r="E39" s="1" t="n">
        <v>46310</v>
      </c>
      <c r="F39" t="inlineStr">
        <is>
          <t>DALARNAS LÄN</t>
        </is>
      </c>
      <c r="G39" t="inlineStr">
        <is>
          <t>VANSBRO</t>
        </is>
      </c>
      <c r="I39" t="n">
        <v>20.4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3</v>
      </c>
      <c r="U39" t="n">
        <v>3</v>
      </c>
      <c r="V39" s="2" t="inlineStr">
        <is>
          <t>Garnlav
Dropptaggsvamp</t>
        </is>
      </c>
      <c r="W39">
        <f>HYPERLINK("https://klasma.github.io/Logging_2021/artfynd/A 14475-2024 artfynd.xlsx", "A 14475-2024")</f>
        <v/>
      </c>
      <c r="X39">
        <f>HYPERLINK("https://klasma.github.io/Logging_2021/kartor/A 14475-2024 karta.png", "A 14475-2024")</f>
        <v/>
      </c>
      <c r="Y39">
        <f>HYPERLINK("https://klasma.github.io/Logging_2021/kartor_geotiff/A 14475-2024 georefererad karta.tif", "A 14475-2024")</f>
        <v/>
      </c>
      <c r="AA39">
        <f>HYPERLINK("https://klasma.github.io/Logging_2021/klagomål/A 14475-2024 FSC-klagomål.docx", "A 14475-2024")</f>
        <v/>
      </c>
      <c r="AB39">
        <f>HYPERLINK("https://klasma.github.io/Logging_2021/klagomålsmail/A 14475-2024 FSC-klagomål mail.docx", "A 14475-2024")</f>
        <v/>
      </c>
      <c r="AC39">
        <f>HYPERLINK("https://klasma.github.io/Logging_2021/tillsyn/A 14475-2024 tillsynsbegäran.docx", "A 14475-2024")</f>
        <v/>
      </c>
      <c r="AD39">
        <f>HYPERLINK("https://klasma.github.io/Logging_2021/tillsynsmail/A 14475-2024 tillsynsbegäran mail.docx", "A 14475-2024")</f>
        <v/>
      </c>
    </row>
    <row r="40" ht="15" customHeight="1">
      <c r="A40" t="inlineStr">
        <is>
          <t>A 33793-2026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46310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0.9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Nästlav</t>
        </is>
      </c>
      <c r="W40">
        <f>HYPERLINK("https://klasma.github.io/Logging_2021/artfynd/A 33793-2026 artfynd.xlsx", "A 33793-2026")</f>
        <v/>
      </c>
      <c r="X40">
        <f>HYPERLINK("https://klasma.github.io/Logging_2021/kartor/A 33793-2026 karta.png", "A 33793-2026")</f>
        <v/>
      </c>
      <c r="Y40">
        <f>HYPERLINK("https://klasma.github.io/Logging_2021/kartor_geotiff/A 33793-2026 georefererad karta.tif", "A 33793-2026")</f>
        <v/>
      </c>
      <c r="AA40">
        <f>HYPERLINK("https://klasma.github.io/Logging_2021/klagomål/A 33793-2026 FSC-klagomål.docx", "A 33793-2026")</f>
        <v/>
      </c>
      <c r="AB40">
        <f>HYPERLINK("https://klasma.github.io/Logging_2021/klagomålsmail/A 33793-2026 FSC-klagomål mail.docx", "A 33793-2026")</f>
        <v/>
      </c>
      <c r="AC40">
        <f>HYPERLINK("https://klasma.github.io/Logging_2021/tillsyn/A 33793-2026 tillsynsbegäran.docx", "A 33793-2026")</f>
        <v/>
      </c>
      <c r="AD40">
        <f>HYPERLINK("https://klasma.github.io/Logging_2021/tillsynsmail/A 33793-2026 tillsynsbegäran mail.docx", "A 33793-2026")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46310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32917-2025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46310</v>
      </c>
      <c r="F42" t="inlineStr">
        <is>
          <t>DALARNAS LÄN</t>
        </is>
      </c>
      <c r="G42" t="inlineStr">
        <is>
          <t>VANSBRO</t>
        </is>
      </c>
      <c r="I42" t="n">
        <v>6.6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Garnlav</t>
        </is>
      </c>
      <c r="W42">
        <f>HYPERLINK("https://klasma.github.io/Logging_2021/artfynd/A 32917-2025 artfynd.xlsx", "A 32917-2025")</f>
        <v/>
      </c>
      <c r="X42">
        <f>HYPERLINK("https://klasma.github.io/Logging_2021/kartor/A 32917-2025 karta.png", "A 32917-2025")</f>
        <v/>
      </c>
      <c r="Y42">
        <f>HYPERLINK("https://klasma.github.io/Logging_2021/kartor_geotiff/A 32917-2025 georefererad karta.tif", "A 32917-2025")</f>
        <v/>
      </c>
      <c r="AA42">
        <f>HYPERLINK("https://klasma.github.io/Logging_2021/klagomål/A 32917-2025 FSC-klagomål.docx", "A 32917-2025")</f>
        <v/>
      </c>
      <c r="AB42">
        <f>HYPERLINK("https://klasma.github.io/Logging_2021/klagomålsmail/A 32917-2025 FSC-klagomål mail.docx", "A 32917-2025")</f>
        <v/>
      </c>
      <c r="AC42">
        <f>HYPERLINK("https://klasma.github.io/Logging_2021/tillsyn/A 32917-2025 tillsynsbegäran.docx", "A 32917-2025")</f>
        <v/>
      </c>
      <c r="AD42">
        <f>HYPERLINK("https://klasma.github.io/Logging_2021/tillsynsmail/A 32917-2025 tillsynsbegäran mail.docx", "A 32917-2025")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46310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52675-2025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45956</v>
      </c>
      <c r="E44" s="1" t="n">
        <v>46310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Motaggsvamp</t>
        </is>
      </c>
      <c r="W44">
        <f>HYPERLINK("https://klasma.github.io/Logging_2021/artfynd/A 52675-2025 artfynd.xlsx", "A 52675-2025")</f>
        <v/>
      </c>
      <c r="X44">
        <f>HYPERLINK("https://klasma.github.io/Logging_2021/kartor/A 52675-2025 karta.png", "A 52675-2025")</f>
        <v/>
      </c>
      <c r="Y44">
        <f>HYPERLINK("https://klasma.github.io/Logging_2021/kartor_geotiff/A 52675-2025 georefererad karta.tif", "A 52675-2025")</f>
        <v/>
      </c>
      <c r="AA44">
        <f>HYPERLINK("https://klasma.github.io/Logging_2021/klagomål/A 52675-2025 FSC-klagomål.docx", "A 52675-2025")</f>
        <v/>
      </c>
      <c r="AB44">
        <f>HYPERLINK("https://klasma.github.io/Logging_2021/klagomålsmail/A 52675-2025 FSC-klagomål mail.docx", "A 52675-2025")</f>
        <v/>
      </c>
      <c r="AC44">
        <f>HYPERLINK("https://klasma.github.io/Logging_2021/tillsyn/A 52675-2025 tillsynsbegäran.docx", "A 52675-2025")</f>
        <v/>
      </c>
      <c r="AD44">
        <f>HYPERLINK("https://klasma.github.io/Logging_2021/tillsynsmail/A 52675-2025 tillsynsbegäran mail.docx", "A 52675-2025")</f>
        <v/>
      </c>
    </row>
    <row r="45" ht="15" customHeight="1">
      <c r="A45" t="inlineStr">
        <is>
          <t>A 20076-2026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46136</v>
      </c>
      <c r="E45" s="1" t="n">
        <v>46310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öst AB</t>
        </is>
      </c>
      <c r="I45" t="n">
        <v>13.2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Kransrams</t>
        </is>
      </c>
      <c r="W45">
        <f>HYPERLINK("https://klasma.github.io/Logging_2021/artfynd/A 20076-2026 artfynd.xlsx", "A 20076-2026")</f>
        <v/>
      </c>
      <c r="X45">
        <f>HYPERLINK("https://klasma.github.io/Logging_2021/kartor/A 20076-2026 karta.png", "A 20076-2026")</f>
        <v/>
      </c>
      <c r="Y45">
        <f>HYPERLINK("https://klasma.github.io/Logging_2021/kartor_geotiff/A 20076-2026 georefererad karta.tif", "A 20076-2026")</f>
        <v/>
      </c>
      <c r="AA45">
        <f>HYPERLINK("https://klasma.github.io/Logging_2021/klagomål/A 20076-2026 FSC-klagomål.docx", "A 20076-2026")</f>
        <v/>
      </c>
      <c r="AB45">
        <f>HYPERLINK("https://klasma.github.io/Logging_2021/klagomålsmail/A 20076-2026 FSC-klagomål mail.docx", "A 20076-2026")</f>
        <v/>
      </c>
      <c r="AC45">
        <f>HYPERLINK("https://klasma.github.io/Logging_2021/tillsyn/A 20076-2026 tillsynsbegäran.docx", "A 20076-2026")</f>
        <v/>
      </c>
      <c r="AD45">
        <f>HYPERLINK("https://klasma.github.io/Logging_2021/tillsynsmail/A 20076-2026 tillsynsbegäran mail.docx", "A 20076-2026")</f>
        <v/>
      </c>
    </row>
    <row r="46" ht="15" customHeight="1">
      <c r="A46" t="inlineStr">
        <is>
          <t>A 3918-2026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46310</v>
      </c>
      <c r="F46" t="inlineStr">
        <is>
          <t>DALARNAS LÄN</t>
        </is>
      </c>
      <c r="G46" t="inlineStr">
        <is>
          <t>VANSBRO</t>
        </is>
      </c>
      <c r="I46" t="n">
        <v>6.2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Duvhök</t>
        </is>
      </c>
      <c r="W46">
        <f>HYPERLINK("https://klasma.github.io/Logging_2021/artfynd/A 3918-2026 artfynd.xlsx", "A 3918-2026")</f>
        <v/>
      </c>
      <c r="X46">
        <f>HYPERLINK("https://klasma.github.io/Logging_2021/kartor/A 3918-2026 karta.png", "A 3918-2026")</f>
        <v/>
      </c>
      <c r="Y46">
        <f>HYPERLINK("https://klasma.github.io/Logging_2021/kartor_geotiff/A 3918-2026 georefererad karta.tif", "A 3918-2026")</f>
        <v/>
      </c>
      <c r="AA46">
        <f>HYPERLINK("https://klasma.github.io/Logging_2021/klagomål/A 3918-2026 FSC-klagomål.docx", "A 3918-2026")</f>
        <v/>
      </c>
      <c r="AB46">
        <f>HYPERLINK("https://klasma.github.io/Logging_2021/klagomålsmail/A 3918-2026 FSC-klagomål mail.docx", "A 3918-2026")</f>
        <v/>
      </c>
      <c r="AC46">
        <f>HYPERLINK("https://klasma.github.io/Logging_2021/tillsyn/A 3918-2026 tillsynsbegäran.docx", "A 3918-2026")</f>
        <v/>
      </c>
      <c r="AD46">
        <f>HYPERLINK("https://klasma.github.io/Logging_2021/tillsynsmail/A 3918-2026 tillsynsbegäran mail.docx", "A 3918-2026")</f>
        <v/>
      </c>
      <c r="AE46">
        <f>HYPERLINK("https://klasma.github.io/Logging_2021/fåglar/A 3918-2026 prioriterade fågelarter.docx", "A 3918-2026")</f>
        <v/>
      </c>
    </row>
    <row r="47" ht="15" customHeight="1">
      <c r="A47" t="inlineStr">
        <is>
          <t>A 5659-2026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46310</v>
      </c>
      <c r="F47" t="inlineStr">
        <is>
          <t>DALARNAS LÄN</t>
        </is>
      </c>
      <c r="G47" t="inlineStr">
        <is>
          <t>VANSBRO</t>
        </is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rörsvepemossa</t>
        </is>
      </c>
      <c r="W47">
        <f>HYPERLINK("https://klasma.github.io/Logging_2021/artfynd/A 5659-2026 artfynd.xlsx", "A 5659-2026")</f>
        <v/>
      </c>
      <c r="X47">
        <f>HYPERLINK("https://klasma.github.io/Logging_2021/kartor/A 5659-2026 karta.png", "A 5659-2026")</f>
        <v/>
      </c>
      <c r="Y47">
        <f>HYPERLINK("https://klasma.github.io/Logging_2021/kartor_geotiff/A 5659-2026 georefererad karta.tif", "A 5659-2026")</f>
        <v/>
      </c>
      <c r="Z47">
        <f>HYPERLINK("https://klasma.github.io/Logging_2021/knärot/A 5659-2026 karta knärot.png", "A 5659-2026")</f>
        <v/>
      </c>
      <c r="AA47">
        <f>HYPERLINK("https://klasma.github.io/Logging_2021/klagomål/A 5659-2026 FSC-klagomål.docx", "A 5659-2026")</f>
        <v/>
      </c>
      <c r="AB47">
        <f>HYPERLINK("https://klasma.github.io/Logging_2021/klagomålsmail/A 5659-2026 FSC-klagomål mail.docx", "A 5659-2026")</f>
        <v/>
      </c>
      <c r="AC47">
        <f>HYPERLINK("https://klasma.github.io/Logging_2021/tillsyn/A 5659-2026 tillsynsbegäran.docx", "A 5659-2026")</f>
        <v/>
      </c>
      <c r="AD47">
        <f>HYPERLINK("https://klasma.github.io/Logging_2021/tillsynsmail/A 5659-2026 tillsynsbegäran mail.docx", "A 5659-2026")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46310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37219-2024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45539</v>
      </c>
      <c r="E49" s="1" t="n">
        <v>46310</v>
      </c>
      <c r="F49" t="inlineStr">
        <is>
          <t>DALARNAS LÄN</t>
        </is>
      </c>
      <c r="G49" t="inlineStr">
        <is>
          <t>VANSBRO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Tjäder</t>
        </is>
      </c>
      <c r="W49">
        <f>HYPERLINK("https://klasma.github.io/Logging_2021/artfynd/A 37219-2024 artfynd.xlsx", "A 37219-2024")</f>
        <v/>
      </c>
      <c r="X49">
        <f>HYPERLINK("https://klasma.github.io/Logging_2021/kartor/A 37219-2024 karta.png", "A 37219-2024")</f>
        <v/>
      </c>
      <c r="Y49">
        <f>HYPERLINK("https://klasma.github.io/Logging_2021/kartor_geotiff/A 37219-2024 georefererad karta.tif", "A 37219-2024")</f>
        <v/>
      </c>
      <c r="AA49">
        <f>HYPERLINK("https://klasma.github.io/Logging_2021/klagomål/A 37219-2024 FSC-klagomål.docx", "A 37219-2024")</f>
        <v/>
      </c>
      <c r="AB49">
        <f>HYPERLINK("https://klasma.github.io/Logging_2021/klagomålsmail/A 37219-2024 FSC-klagomål mail.docx", "A 37219-2024")</f>
        <v/>
      </c>
      <c r="AC49">
        <f>HYPERLINK("https://klasma.github.io/Logging_2021/tillsyn/A 37219-2024 tillsynsbegäran.docx", "A 37219-2024")</f>
        <v/>
      </c>
      <c r="AD49">
        <f>HYPERLINK("https://klasma.github.io/Logging_2021/tillsynsmail/A 37219-2024 tillsynsbegäran mail.docx", "A 37219-2024")</f>
        <v/>
      </c>
      <c r="AE49">
        <f>HYPERLINK("https://klasma.github.io/Logging_2021/fåglar/A 37219-2024 prioriterade fågelarter.docx", "A 37219-2024")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46310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57810-2023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46310</v>
      </c>
      <c r="F51" t="inlineStr">
        <is>
          <t>DALARNAS LÄN</t>
        </is>
      </c>
      <c r="G51" t="inlineStr">
        <is>
          <t>VANSBRO</t>
        </is>
      </c>
      <c r="I51" t="n">
        <v>0.6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Järnsparv</t>
        </is>
      </c>
      <c r="W51">
        <f>HYPERLINK("https://klasma.github.io/Logging_2021/artfynd/A 57810-2023 artfynd.xlsx", "A 57810-2023")</f>
        <v/>
      </c>
      <c r="X51">
        <f>HYPERLINK("https://klasma.github.io/Logging_2021/kartor/A 57810-2023 karta.png", "A 57810-2023")</f>
        <v/>
      </c>
      <c r="Y51">
        <f>HYPERLINK("https://klasma.github.io/Logging_2021/kartor_geotiff/A 57810-2023 georefererad karta.tif", "A 57810-2023")</f>
        <v/>
      </c>
      <c r="AA51">
        <f>HYPERLINK("https://klasma.github.io/Logging_2021/klagomål/A 57810-2023 FSC-klagomål.docx", "A 57810-2023")</f>
        <v/>
      </c>
      <c r="AB51">
        <f>HYPERLINK("https://klasma.github.io/Logging_2021/klagomålsmail/A 57810-2023 FSC-klagomål mail.docx", "A 57810-2023")</f>
        <v/>
      </c>
      <c r="AC51">
        <f>HYPERLINK("https://klasma.github.io/Logging_2021/tillsyn/A 57810-2023 tillsynsbegäran.docx", "A 57810-2023")</f>
        <v/>
      </c>
      <c r="AD51">
        <f>HYPERLINK("https://klasma.github.io/Logging_2021/tillsynsmail/A 57810-2023 tillsynsbegäran mail.docx", "A 57810-2023")</f>
        <v/>
      </c>
      <c r="AE51">
        <f>HYPERLINK("https://klasma.github.io/Logging_2021/fåglar/A 57810-2023 prioriterade fågelarter.docx", "A 57810-2023")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46310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A 35533-2026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46262</v>
      </c>
      <c r="E53" s="1" t="n">
        <v>46310</v>
      </c>
      <c r="F53" t="inlineStr">
        <is>
          <t>DALARNAS LÄN</t>
        </is>
      </c>
      <c r="G53" t="inlineStr">
        <is>
          <t>VANSBRO</t>
        </is>
      </c>
      <c r="I53" t="n">
        <v>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HYPERLINK("https://klasma.github.io/Logging_2021/artfynd/A 35533-2026 artfynd.xlsx", "A 35533-2026")</f>
        <v/>
      </c>
      <c r="X53">
        <f>HYPERLINK("https://klasma.github.io/Logging_2021/kartor/A 35533-2026 karta.png", "A 35533-2026")</f>
        <v/>
      </c>
      <c r="Y53">
        <f>HYPERLINK("https://klasma.github.io/Logging_2021/kartor_geotiff/A 35533-2026 georefererad karta.tif", "A 35533-2026")</f>
        <v/>
      </c>
      <c r="Z53">
        <f>HYPERLINK("https://klasma.github.io/Logging_2021/knärot/A 35533-2026 karta knärot.png", "A 35533-2026")</f>
        <v/>
      </c>
      <c r="AA53">
        <f>HYPERLINK("https://klasma.github.io/Logging_2021/klagomål/A 35533-2026 FSC-klagomål.docx", "A 35533-2026")</f>
        <v/>
      </c>
      <c r="AB53">
        <f>HYPERLINK("https://klasma.github.io/Logging_2021/klagomålsmail/A 35533-2026 FSC-klagomål mail.docx", "A 35533-2026")</f>
        <v/>
      </c>
      <c r="AC53">
        <f>HYPERLINK("https://klasma.github.io/Logging_2021/tillsyn/A 35533-2026 tillsynsbegäran.docx", "A 35533-2026")</f>
        <v/>
      </c>
      <c r="AD53">
        <f>HYPERLINK("https://klasma.github.io/Logging_2021/tillsynsmail/A 35533-2026 tillsynsbegäran mail.docx", "A 35533-2026")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46310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46310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46310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46310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46310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46310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46310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46310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46310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46310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46310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46310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46310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46310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46310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46310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46310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46310</v>
      </c>
      <c r="F71" t="inlineStr">
        <is>
          <t>DALARNAS LÄN</t>
        </is>
      </c>
      <c r="G71" t="inlineStr">
        <is>
          <t>VANSBRO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44614</v>
      </c>
      <c r="E72" s="1" t="n">
        <v>46310</v>
      </c>
      <c r="F72" t="inlineStr">
        <is>
          <t>DALARNAS LÄN</t>
        </is>
      </c>
      <c r="G72" t="inlineStr">
        <is>
          <t>VANSBRO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46310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46310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46310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46310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46310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46310</v>
      </c>
      <c r="F78" t="inlineStr">
        <is>
          <t>DALARNAS LÄN</t>
        </is>
      </c>
      <c r="G78" t="inlineStr">
        <is>
          <t>VANSBRO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9296-2023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44980</v>
      </c>
      <c r="E79" s="1" t="n">
        <v>46310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46310</v>
      </c>
      <c r="F80" t="inlineStr">
        <is>
          <t>DALARNAS LÄN</t>
        </is>
      </c>
      <c r="G80" t="inlineStr">
        <is>
          <t>VANSBRO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29411-2024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45483</v>
      </c>
      <c r="E81" s="1" t="n">
        <v>46310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väst AB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46310</v>
      </c>
      <c r="F82" t="inlineStr">
        <is>
          <t>DALARNAS LÄN</t>
        </is>
      </c>
      <c r="G82" t="inlineStr">
        <is>
          <t>VANSBRO</t>
        </is>
      </c>
      <c r="H82" t="inlineStr">
        <is>
          <t>Kyrkan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35516-2024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46310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24522-2025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46310</v>
      </c>
      <c r="F84" t="inlineStr">
        <is>
          <t>DALARNAS LÄN</t>
        </is>
      </c>
      <c r="G84" t="inlineStr">
        <is>
          <t>VANSBRO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46310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46310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29575-2022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44754</v>
      </c>
      <c r="E87" s="1" t="n">
        <v>46310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44816</v>
      </c>
      <c r="E88" s="1" t="n">
        <v>46310</v>
      </c>
      <c r="F88" t="inlineStr">
        <is>
          <t>DALARNAS LÄN</t>
        </is>
      </c>
      <c r="G88" t="inlineStr">
        <is>
          <t>VANSBRO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46310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55078-2022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46310</v>
      </c>
      <c r="F90" t="inlineStr">
        <is>
          <t>DALARNAS LÄN</t>
        </is>
      </c>
      <c r="G90" t="inlineStr">
        <is>
          <t>VANSBRO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35288-2024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46310</v>
      </c>
      <c r="F91" t="inlineStr">
        <is>
          <t>DALARNAS LÄN</t>
        </is>
      </c>
      <c r="G91" t="inlineStr">
        <is>
          <t>VANSBRO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45807</v>
      </c>
      <c r="E92" s="1" t="n">
        <v>46310</v>
      </c>
      <c r="F92" t="inlineStr">
        <is>
          <t>DALARNAS LÄN</t>
        </is>
      </c>
      <c r="G92" t="inlineStr">
        <is>
          <t>VANSBRO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46310</v>
      </c>
      <c r="F93" t="inlineStr">
        <is>
          <t>DALARNAS LÄN</t>
        </is>
      </c>
      <c r="G93" t="inlineStr">
        <is>
          <t>VANSBRO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4680-2023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44957</v>
      </c>
      <c r="E94" s="1" t="n">
        <v>46310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45498</v>
      </c>
      <c r="E95" s="1" t="n">
        <v>46310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46310</v>
      </c>
      <c r="F96" t="inlineStr">
        <is>
          <t>DALARNAS LÄN</t>
        </is>
      </c>
      <c r="G96" t="inlineStr">
        <is>
          <t>VANSBRO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46310</v>
      </c>
      <c r="F97" t="inlineStr">
        <is>
          <t>DALARNAS LÄN</t>
        </is>
      </c>
      <c r="G97" t="inlineStr">
        <is>
          <t>VANSBRO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55570-2023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46310</v>
      </c>
      <c r="F98" t="inlineStr">
        <is>
          <t>DALARNAS LÄN</t>
        </is>
      </c>
      <c r="G98" t="inlineStr">
        <is>
          <t>VANSBRO</t>
        </is>
      </c>
      <c r="H98" t="inlineStr">
        <is>
          <t>Övriga statliga verk och myndigheter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46310</v>
      </c>
      <c r="F99" t="inlineStr">
        <is>
          <t>DALARNAS LÄN</t>
        </is>
      </c>
      <c r="G99" t="inlineStr">
        <is>
          <t>VANSBRO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46310</v>
      </c>
      <c r="F100" t="inlineStr">
        <is>
          <t>DALARNAS LÄN</t>
        </is>
      </c>
      <c r="G100" t="inlineStr">
        <is>
          <t>VANSBRO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45141</v>
      </c>
      <c r="E101" s="1" t="n">
        <v>46310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54423-2024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45617</v>
      </c>
      <c r="E102" s="1" t="n">
        <v>46310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28469-2025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46310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öst AB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46310</v>
      </c>
      <c r="F104" t="inlineStr">
        <is>
          <t>DALARNAS LÄN</t>
        </is>
      </c>
      <c r="G104" t="inlineStr">
        <is>
          <t>VANSBRO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45078</v>
      </c>
      <c r="E105" s="1" t="n">
        <v>46310</v>
      </c>
      <c r="F105" t="inlineStr">
        <is>
          <t>DALARNAS LÄN</t>
        </is>
      </c>
      <c r="G105" t="inlineStr">
        <is>
          <t>VANSBRO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46310</v>
      </c>
      <c r="F106" t="inlineStr">
        <is>
          <t>DALARNAS LÄN</t>
        </is>
      </c>
      <c r="G106" t="inlineStr">
        <is>
          <t>VANSBRO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11408-2025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45726</v>
      </c>
      <c r="E107" s="1" t="n">
        <v>46310</v>
      </c>
      <c r="F107" t="inlineStr">
        <is>
          <t>DALARNAS LÄN</t>
        </is>
      </c>
      <c r="G107" t="inlineStr">
        <is>
          <t>VANSBRO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45608-2023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45194</v>
      </c>
      <c r="E108" s="1" t="n">
        <v>46310</v>
      </c>
      <c r="F108" t="inlineStr">
        <is>
          <t>DALARNAS LÄN</t>
        </is>
      </c>
      <c r="G108" t="inlineStr">
        <is>
          <t>VANSBRO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61663-2024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46310</v>
      </c>
      <c r="F109" t="inlineStr">
        <is>
          <t>DALARNAS LÄN</t>
        </is>
      </c>
      <c r="G109" t="inlineStr">
        <is>
          <t>VANSBRO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45884</v>
      </c>
      <c r="E110" s="1" t="n">
        <v>46310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31196-2025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45832</v>
      </c>
      <c r="E111" s="1" t="n">
        <v>46310</v>
      </c>
      <c r="F111" t="inlineStr">
        <is>
          <t>DALARNAS LÄN</t>
        </is>
      </c>
      <c r="G111" t="inlineStr">
        <is>
          <t>VANSBRO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46310</v>
      </c>
      <c r="F112" t="inlineStr">
        <is>
          <t>DALARNAS LÄN</t>
        </is>
      </c>
      <c r="G112" t="inlineStr">
        <is>
          <t>VANSBRO</t>
        </is>
      </c>
      <c r="I112" t="n">
        <v>27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46310</v>
      </c>
      <c r="F113" t="inlineStr">
        <is>
          <t>DALARNAS LÄN</t>
        </is>
      </c>
      <c r="G113" t="inlineStr">
        <is>
          <t>VANSBRO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32040-2025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46310</v>
      </c>
      <c r="F114" t="inlineStr">
        <is>
          <t>DALARNAS LÄN</t>
        </is>
      </c>
      <c r="G114" t="inlineStr">
        <is>
          <t>VANSBRO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8694-2023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44972</v>
      </c>
      <c r="E115" s="1" t="n">
        <v>46310</v>
      </c>
      <c r="F115" t="inlineStr">
        <is>
          <t>DALARNAS LÄN</t>
        </is>
      </c>
      <c r="G115" t="inlineStr">
        <is>
          <t>VANSBRO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45183</v>
      </c>
      <c r="E116" s="1" t="n">
        <v>46310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öst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44791</v>
      </c>
      <c r="E117" s="1" t="n">
        <v>46310</v>
      </c>
      <c r="F117" t="inlineStr">
        <is>
          <t>DALARNAS LÄN</t>
        </is>
      </c>
      <c r="G117" t="inlineStr">
        <is>
          <t>VANSBRO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46310</v>
      </c>
      <c r="F118" t="inlineStr">
        <is>
          <t>DALARNAS LÄN</t>
        </is>
      </c>
      <c r="G118" t="inlineStr">
        <is>
          <t>VANSBRO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46310</v>
      </c>
      <c r="F119" t="inlineStr">
        <is>
          <t>DALARNAS LÄN</t>
        </is>
      </c>
      <c r="G119" t="inlineStr">
        <is>
          <t>VANSBRO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44826</v>
      </c>
      <c r="E120" s="1" t="n">
        <v>46310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46310</v>
      </c>
      <c r="F121" t="inlineStr">
        <is>
          <t>DALARNAS LÄN</t>
        </is>
      </c>
      <c r="G121" t="inlineStr">
        <is>
          <t>VANSBRO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45840</v>
      </c>
      <c r="E122" s="1" t="n">
        <v>46310</v>
      </c>
      <c r="F122" t="inlineStr">
        <is>
          <t>DALARNAS LÄN</t>
        </is>
      </c>
      <c r="G122" t="inlineStr">
        <is>
          <t>VANSBRO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33056-2025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45840</v>
      </c>
      <c r="E123" s="1" t="n">
        <v>46310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33036-2025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45840</v>
      </c>
      <c r="E124" s="1" t="n">
        <v>46310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öst AB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46310</v>
      </c>
      <c r="F125" t="inlineStr">
        <is>
          <t>DALARNAS LÄN</t>
        </is>
      </c>
      <c r="G125" t="inlineStr">
        <is>
          <t>VANSBRO</t>
        </is>
      </c>
      <c r="H125" t="inlineStr">
        <is>
          <t>Övriga statliga verk och myndigheter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46310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öst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45846</v>
      </c>
      <c r="E127" s="1" t="n">
        <v>46310</v>
      </c>
      <c r="F127" t="inlineStr">
        <is>
          <t>DALARNAS LÄN</t>
        </is>
      </c>
      <c r="G127" t="inlineStr">
        <is>
          <t>VANSBRO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34882-2022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46310</v>
      </c>
      <c r="F128" t="inlineStr">
        <is>
          <t>DALARNAS LÄN</t>
        </is>
      </c>
      <c r="G128" t="inlineStr">
        <is>
          <t>VANSBRO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46310</v>
      </c>
      <c r="F129" t="inlineStr">
        <is>
          <t>DALARNAS LÄN</t>
        </is>
      </c>
      <c r="G129" t="inlineStr">
        <is>
          <t>VANSBRO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45854</v>
      </c>
      <c r="E130" s="1" t="n">
        <v>46310</v>
      </c>
      <c r="F130" t="inlineStr">
        <is>
          <t>DALARNAS LÄN</t>
        </is>
      </c>
      <c r="G130" t="inlineStr">
        <is>
          <t>VANSBRO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20185-2025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45772</v>
      </c>
      <c r="E131" s="1" t="n">
        <v>46310</v>
      </c>
      <c r="F131" t="inlineStr">
        <is>
          <t>DALARNAS LÄN</t>
        </is>
      </c>
      <c r="G131" t="inlineStr">
        <is>
          <t>VANSBRO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17366-2025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45756</v>
      </c>
      <c r="E132" s="1" t="n">
        <v>46310</v>
      </c>
      <c r="F132" t="inlineStr">
        <is>
          <t>DALARNAS LÄN</t>
        </is>
      </c>
      <c r="G132" t="inlineStr">
        <is>
          <t>VANSBRO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46310</v>
      </c>
      <c r="F133" t="inlineStr">
        <is>
          <t>DALARNAS LÄN</t>
        </is>
      </c>
      <c r="G133" t="inlineStr">
        <is>
          <t>VANSBRO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35782-2025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45860</v>
      </c>
      <c r="E134" s="1" t="n">
        <v>46310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45754</v>
      </c>
      <c r="E135" s="1" t="n">
        <v>46310</v>
      </c>
      <c r="F135" t="inlineStr">
        <is>
          <t>DALARNAS LÄN</t>
        </is>
      </c>
      <c r="G135" t="inlineStr">
        <is>
          <t>VANSBRO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45520</v>
      </c>
      <c r="E136" s="1" t="n">
        <v>46310</v>
      </c>
      <c r="F136" t="inlineStr">
        <is>
          <t>DALARNAS LÄN</t>
        </is>
      </c>
      <c r="G136" t="inlineStr">
        <is>
          <t>VANSBRO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46310</v>
      </c>
      <c r="F137" t="inlineStr">
        <is>
          <t>DALARNAS LÄN</t>
        </is>
      </c>
      <c r="G137" t="inlineStr">
        <is>
          <t>VANSBRO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45868</v>
      </c>
      <c r="E138" s="1" t="n">
        <v>46310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45689</v>
      </c>
      <c r="E139" s="1" t="n">
        <v>46310</v>
      </c>
      <c r="F139" t="inlineStr">
        <is>
          <t>DALARNAS LÄN</t>
        </is>
      </c>
      <c r="G139" t="inlineStr">
        <is>
          <t>VANSBRO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45601</v>
      </c>
      <c r="E140" s="1" t="n">
        <v>46310</v>
      </c>
      <c r="F140" t="inlineStr">
        <is>
          <t>DALARNAS LÄN</t>
        </is>
      </c>
      <c r="G140" t="inlineStr">
        <is>
          <t>VANSBRO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45637</v>
      </c>
      <c r="E141" s="1" t="n">
        <v>46310</v>
      </c>
      <c r="F141" t="inlineStr">
        <is>
          <t>DALARNAS LÄN</t>
        </is>
      </c>
      <c r="G141" t="inlineStr">
        <is>
          <t>VANSBRO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13639-2022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46310</v>
      </c>
      <c r="F142" t="inlineStr">
        <is>
          <t>DALARNAS LÄN</t>
        </is>
      </c>
      <c r="G142" t="inlineStr">
        <is>
          <t>VANSBRO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45876</v>
      </c>
      <c r="E143" s="1" t="n">
        <v>46310</v>
      </c>
      <c r="F143" t="inlineStr">
        <is>
          <t>DALARNAS LÄN</t>
        </is>
      </c>
      <c r="G143" t="inlineStr">
        <is>
          <t>VANSBRO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37287-2025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45876</v>
      </c>
      <c r="E144" s="1" t="n">
        <v>46310</v>
      </c>
      <c r="F144" t="inlineStr">
        <is>
          <t>DALARNAS LÄN</t>
        </is>
      </c>
      <c r="G144" t="inlineStr">
        <is>
          <t>VANSBRO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45532</v>
      </c>
      <c r="E145" s="1" t="n">
        <v>46310</v>
      </c>
      <c r="F145" t="inlineStr">
        <is>
          <t>DALARNAS LÄN</t>
        </is>
      </c>
      <c r="G145" t="inlineStr">
        <is>
          <t>VANSBRO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46310</v>
      </c>
      <c r="F146" t="inlineStr">
        <is>
          <t>DALARNAS LÄN</t>
        </is>
      </c>
      <c r="G146" t="inlineStr">
        <is>
          <t>VANSBRO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46310</v>
      </c>
      <c r="F147" t="inlineStr">
        <is>
          <t>DALARNAS LÄN</t>
        </is>
      </c>
      <c r="G147" t="inlineStr">
        <is>
          <t>VANSBRO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44980</v>
      </c>
      <c r="E148" s="1" t="n">
        <v>46310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45754</v>
      </c>
      <c r="E149" s="1" t="n">
        <v>46310</v>
      </c>
      <c r="F149" t="inlineStr">
        <is>
          <t>DALARNAS LÄN</t>
        </is>
      </c>
      <c r="G149" t="inlineStr">
        <is>
          <t>VANSBRO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46310</v>
      </c>
      <c r="F150" t="inlineStr">
        <is>
          <t>DALARNAS LÄN</t>
        </is>
      </c>
      <c r="G150" t="inlineStr">
        <is>
          <t>VANSBRO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45933</v>
      </c>
      <c r="E151" s="1" t="n">
        <v>46310</v>
      </c>
      <c r="F151" t="inlineStr">
        <is>
          <t>DALARNAS LÄN</t>
        </is>
      </c>
      <c r="G151" t="inlineStr">
        <is>
          <t>VANSBRO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46310</v>
      </c>
      <c r="F152" t="inlineStr">
        <is>
          <t>DALARNAS LÄN</t>
        </is>
      </c>
      <c r="G152" t="inlineStr">
        <is>
          <t>VANSBRO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46310</v>
      </c>
      <c r="F153" t="inlineStr">
        <is>
          <t>DALARNAS LÄN</t>
        </is>
      </c>
      <c r="G153" t="inlineStr">
        <is>
          <t>VANSBRO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45689</v>
      </c>
      <c r="E154" s="1" t="n">
        <v>46310</v>
      </c>
      <c r="F154" t="inlineStr">
        <is>
          <t>DALARNAS LÄN</t>
        </is>
      </c>
      <c r="G154" t="inlineStr">
        <is>
          <t>VANSBRO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45666</v>
      </c>
      <c r="E155" s="1" t="n">
        <v>46310</v>
      </c>
      <c r="F155" t="inlineStr">
        <is>
          <t>DALARNAS LÄN</t>
        </is>
      </c>
      <c r="G155" t="inlineStr">
        <is>
          <t>VANSBRO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46310</v>
      </c>
      <c r="F156" t="inlineStr">
        <is>
          <t>DALARNAS LÄN</t>
        </is>
      </c>
      <c r="G156" t="inlineStr">
        <is>
          <t>VANSBRO</t>
        </is>
      </c>
      <c r="I156" t="n">
        <v>19.1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56269-2023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46310</v>
      </c>
      <c r="F157" t="inlineStr">
        <is>
          <t>DALARNAS LÄN</t>
        </is>
      </c>
      <c r="G157" t="inlineStr">
        <is>
          <t>VANSBRO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59856-2024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45639</v>
      </c>
      <c r="E158" s="1" t="n">
        <v>46310</v>
      </c>
      <c r="F158" t="inlineStr">
        <is>
          <t>DALARNAS LÄN</t>
        </is>
      </c>
      <c r="G158" t="inlineStr">
        <is>
          <t>VANSBRO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45673</v>
      </c>
      <c r="E159" s="1" t="n">
        <v>46310</v>
      </c>
      <c r="F159" t="inlineStr">
        <is>
          <t>DALARNAS LÄN</t>
        </is>
      </c>
      <c r="G159" t="inlineStr">
        <is>
          <t>VANSBRO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48840-2025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45937</v>
      </c>
      <c r="E160" s="1" t="n">
        <v>46310</v>
      </c>
      <c r="F160" t="inlineStr">
        <is>
          <t>DALARNAS LÄN</t>
        </is>
      </c>
      <c r="G160" t="inlineStr">
        <is>
          <t>VANSBRO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44734</v>
      </c>
      <c r="E161" s="1" t="n">
        <v>46310</v>
      </c>
      <c r="F161" t="inlineStr">
        <is>
          <t>DALARNAS LÄN</t>
        </is>
      </c>
      <c r="G161" t="inlineStr">
        <is>
          <t>VANSBRO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35299-2024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45530</v>
      </c>
      <c r="E162" s="1" t="n">
        <v>46310</v>
      </c>
      <c r="F162" t="inlineStr">
        <is>
          <t>DALARNAS LÄN</t>
        </is>
      </c>
      <c r="G162" t="inlineStr">
        <is>
          <t>VANSBRO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46310</v>
      </c>
      <c r="F163" t="inlineStr">
        <is>
          <t>DALARNAS LÄN</t>
        </is>
      </c>
      <c r="G163" t="inlineStr">
        <is>
          <t>VANSBRO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46071</v>
      </c>
      <c r="E164" s="1" t="n">
        <v>46310</v>
      </c>
      <c r="F164" t="inlineStr">
        <is>
          <t>DALARNAS LÄN</t>
        </is>
      </c>
      <c r="G164" t="inlineStr">
        <is>
          <t>VANSBRO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8447-2022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44612</v>
      </c>
      <c r="E165" s="1" t="n">
        <v>46310</v>
      </c>
      <c r="F165" t="inlineStr">
        <is>
          <t>DALARNAS LÄN</t>
        </is>
      </c>
      <c r="G165" t="inlineStr">
        <is>
          <t>VANSBRO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46310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46310</v>
      </c>
      <c r="F167" t="inlineStr">
        <is>
          <t>DALARNAS LÄN</t>
        </is>
      </c>
      <c r="G167" t="inlineStr">
        <is>
          <t>VANSBRO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46310</v>
      </c>
      <c r="F168" t="inlineStr">
        <is>
          <t>DALARNAS LÄN</t>
        </is>
      </c>
      <c r="G168" t="inlineStr">
        <is>
          <t>VANSBRO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62622-2022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44925</v>
      </c>
      <c r="E169" s="1" t="n">
        <v>46310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46310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46310</v>
      </c>
      <c r="F171" t="inlineStr">
        <is>
          <t>DALARNAS LÄN</t>
        </is>
      </c>
      <c r="G171" t="inlineStr">
        <is>
          <t>VANSBRO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46310</v>
      </c>
      <c r="F172" t="inlineStr">
        <is>
          <t>DALARNAS LÄN</t>
        </is>
      </c>
      <c r="G172" t="inlineStr">
        <is>
          <t>VANSBRO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49565-2022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44862</v>
      </c>
      <c r="E173" s="1" t="n">
        <v>46310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11603-2026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46084</v>
      </c>
      <c r="E174" s="1" t="n">
        <v>46310</v>
      </c>
      <c r="F174" t="inlineStr">
        <is>
          <t>DALARNAS LÄN</t>
        </is>
      </c>
      <c r="G174" t="inlineStr">
        <is>
          <t>VANSBRO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46082</v>
      </c>
      <c r="E175" s="1" t="n">
        <v>46310</v>
      </c>
      <c r="F175" t="inlineStr">
        <is>
          <t>DALARNAS LÄN</t>
        </is>
      </c>
      <c r="G175" t="inlineStr">
        <is>
          <t>VANSBRO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51414-2025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46310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46082</v>
      </c>
      <c r="E177" s="1" t="n">
        <v>46310</v>
      </c>
      <c r="F177" t="inlineStr">
        <is>
          <t>DALARNAS LÄN</t>
        </is>
      </c>
      <c r="G177" t="inlineStr">
        <is>
          <t>VANSBRO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51855-2025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46310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10.2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45111</v>
      </c>
      <c r="E179" s="1" t="n">
        <v>46310</v>
      </c>
      <c r="F179" t="inlineStr">
        <is>
          <t>DALARNAS LÄN</t>
        </is>
      </c>
      <c r="G179" t="inlineStr">
        <is>
          <t>VANSBRO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45956</v>
      </c>
      <c r="E180" s="1" t="n">
        <v>46310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52673-2025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45956</v>
      </c>
      <c r="E181" s="1" t="n">
        <v>46310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46310</v>
      </c>
      <c r="F182" t="inlineStr">
        <is>
          <t>DALARNAS LÄN</t>
        </is>
      </c>
      <c r="G182" t="inlineStr">
        <is>
          <t>VANSBRO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45356-2024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45576</v>
      </c>
      <c r="E183" s="1" t="n">
        <v>46310</v>
      </c>
      <c r="F183" t="inlineStr">
        <is>
          <t>DALARNAS LÄN</t>
        </is>
      </c>
      <c r="G183" t="inlineStr">
        <is>
          <t>VANSBRO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46310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45961</v>
      </c>
      <c r="E185" s="1" t="n">
        <v>46310</v>
      </c>
      <c r="F185" t="inlineStr">
        <is>
          <t>DALARNAS LÄN</t>
        </is>
      </c>
      <c r="G185" t="inlineStr">
        <is>
          <t>VANSBRO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46310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46310</v>
      </c>
      <c r="F187" t="inlineStr">
        <is>
          <t>DALARNAS LÄN</t>
        </is>
      </c>
      <c r="G187" t="inlineStr">
        <is>
          <t>VANSBRO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46094</v>
      </c>
      <c r="E188" s="1" t="n">
        <v>46310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45322</v>
      </c>
      <c r="E189" s="1" t="n">
        <v>46310</v>
      </c>
      <c r="F189" t="inlineStr">
        <is>
          <t>DALARNAS LÄN</t>
        </is>
      </c>
      <c r="G189" t="inlineStr">
        <is>
          <t>VANSBRO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13506-2026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46310</v>
      </c>
      <c r="F190" t="inlineStr">
        <is>
          <t>DALARNAS LÄN</t>
        </is>
      </c>
      <c r="G190" t="inlineStr">
        <is>
          <t>VANSBRO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46310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öst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46310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46310</v>
      </c>
      <c r="F193" t="inlineStr">
        <is>
          <t>DALARNAS LÄN</t>
        </is>
      </c>
      <c r="G193" t="inlineStr">
        <is>
          <t>VANSBRO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46310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46310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46310</v>
      </c>
      <c r="F196" t="inlineStr">
        <is>
          <t>DALARNAS LÄN</t>
        </is>
      </c>
      <c r="G196" t="inlineStr">
        <is>
          <t>VANSBRO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46310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44728</v>
      </c>
      <c r="E198" s="1" t="n">
        <v>46310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öst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24839-2022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44728</v>
      </c>
      <c r="E199" s="1" t="n">
        <v>46310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öst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12917-2026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46092</v>
      </c>
      <c r="E200" s="1" t="n">
        <v>46310</v>
      </c>
      <c r="F200" t="inlineStr">
        <is>
          <t>DALARNAS LÄN</t>
        </is>
      </c>
      <c r="G200" t="inlineStr">
        <is>
          <t>VANSBRO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2086-2024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45309</v>
      </c>
      <c r="E201" s="1" t="n">
        <v>46310</v>
      </c>
      <c r="F201" t="inlineStr">
        <is>
          <t>DALARNAS LÄN</t>
        </is>
      </c>
      <c r="G201" t="inlineStr">
        <is>
          <t>VANSBRO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45972</v>
      </c>
      <c r="E202" s="1" t="n">
        <v>46310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46310</v>
      </c>
      <c r="F203" t="inlineStr">
        <is>
          <t>DALARNAS LÄN</t>
        </is>
      </c>
      <c r="G203" t="inlineStr">
        <is>
          <t>VANSBRO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46310</v>
      </c>
      <c r="F204" t="inlineStr">
        <is>
          <t>DALARNAS LÄN</t>
        </is>
      </c>
      <c r="G204" t="inlineStr">
        <is>
          <t>VANSBRO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60036-2023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45258</v>
      </c>
      <c r="E205" s="1" t="n">
        <v>46310</v>
      </c>
      <c r="F205" t="inlineStr">
        <is>
          <t>DALARNAS LÄN</t>
        </is>
      </c>
      <c r="G205" t="inlineStr">
        <is>
          <t>VANSBRO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46310</v>
      </c>
      <c r="F206" t="inlineStr">
        <is>
          <t>DALARNAS LÄN</t>
        </is>
      </c>
      <c r="G206" t="inlineStr">
        <is>
          <t>VANSBRO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46108</v>
      </c>
      <c r="E207" s="1" t="n">
        <v>46310</v>
      </c>
      <c r="F207" t="inlineStr">
        <is>
          <t>DALARNAS LÄN</t>
        </is>
      </c>
      <c r="G207" t="inlineStr">
        <is>
          <t>VANSBRO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45979</v>
      </c>
      <c r="E208" s="1" t="n">
        <v>46310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46310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öst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46112</v>
      </c>
      <c r="E210" s="1" t="n">
        <v>46310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46310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18859-2025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46310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16952-2026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46114</v>
      </c>
      <c r="E213" s="1" t="n">
        <v>46310</v>
      </c>
      <c r="F213" t="inlineStr">
        <is>
          <t>DALARNAS LÄN</t>
        </is>
      </c>
      <c r="G213" t="inlineStr">
        <is>
          <t>VANSBRO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46310</v>
      </c>
      <c r="F214" t="inlineStr">
        <is>
          <t>DALARNAS LÄN</t>
        </is>
      </c>
      <c r="G214" t="inlineStr">
        <is>
          <t>VANSBRO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46310</v>
      </c>
      <c r="F215" t="inlineStr">
        <is>
          <t>DALARNAS LÄN</t>
        </is>
      </c>
      <c r="G215" t="inlineStr">
        <is>
          <t>VANSBRO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17321-2026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46119</v>
      </c>
      <c r="E216" s="1" t="n">
        <v>46310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46310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46310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44820</v>
      </c>
      <c r="E219" s="1" t="n">
        <v>46310</v>
      </c>
      <c r="F219" t="inlineStr">
        <is>
          <t>DALARNAS LÄN</t>
        </is>
      </c>
      <c r="G219" t="inlineStr">
        <is>
          <t>VANSBRO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45987</v>
      </c>
      <c r="E220" s="1" t="n">
        <v>46310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46310</v>
      </c>
      <c r="F221" t="inlineStr">
        <is>
          <t>DALARNAS LÄN</t>
        </is>
      </c>
      <c r="G221" t="inlineStr">
        <is>
          <t>VANSBRO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27089-2024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45471</v>
      </c>
      <c r="E222" s="1" t="n">
        <v>46310</v>
      </c>
      <c r="F222" t="inlineStr">
        <is>
          <t>DALARNAS LÄN</t>
        </is>
      </c>
      <c r="G222" t="inlineStr">
        <is>
          <t>VANSBRO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46120</v>
      </c>
      <c r="E223" s="1" t="n">
        <v>46310</v>
      </c>
      <c r="F223" t="inlineStr">
        <is>
          <t>DALARNAS LÄN</t>
        </is>
      </c>
      <c r="G223" t="inlineStr">
        <is>
          <t>VANSBRO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46310</v>
      </c>
      <c r="F224" t="inlineStr">
        <is>
          <t>DALARNAS LÄN</t>
        </is>
      </c>
      <c r="G224" t="inlineStr">
        <is>
          <t>VANSBRO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46120</v>
      </c>
      <c r="E225" s="1" t="n">
        <v>46310</v>
      </c>
      <c r="F225" t="inlineStr">
        <is>
          <t>DALARNAS LÄN</t>
        </is>
      </c>
      <c r="G225" t="inlineStr">
        <is>
          <t>VANSBRO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46310</v>
      </c>
      <c r="F226" t="inlineStr">
        <is>
          <t>DALARNAS LÄN</t>
        </is>
      </c>
      <c r="G226" t="inlineStr">
        <is>
          <t>VANSBRO</t>
        </is>
      </c>
      <c r="H226" t="inlineStr">
        <is>
          <t>Övriga statliga verk och myndigheter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61653-2024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46310</v>
      </c>
      <c r="F227" t="inlineStr">
        <is>
          <t>DALARNAS LÄN</t>
        </is>
      </c>
      <c r="G227" t="inlineStr">
        <is>
          <t>VANSBRO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63816-2021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44509</v>
      </c>
      <c r="E228" s="1" t="n">
        <v>46310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17.6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46121</v>
      </c>
      <c r="E229" s="1" t="n">
        <v>46310</v>
      </c>
      <c r="F229" t="inlineStr">
        <is>
          <t>DALARNAS LÄN</t>
        </is>
      </c>
      <c r="G229" t="inlineStr">
        <is>
          <t>VANSBRO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46120</v>
      </c>
      <c r="E230" s="1" t="n">
        <v>46310</v>
      </c>
      <c r="F230" t="inlineStr">
        <is>
          <t>DALARNAS LÄN</t>
        </is>
      </c>
      <c r="G230" t="inlineStr">
        <is>
          <t>VANSBRO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46124</v>
      </c>
      <c r="E231" s="1" t="n">
        <v>46310</v>
      </c>
      <c r="F231" t="inlineStr">
        <is>
          <t>DALARNAS LÄN</t>
        </is>
      </c>
      <c r="G231" t="inlineStr">
        <is>
          <t>VANSBRO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46310</v>
      </c>
      <c r="F232" t="inlineStr">
        <is>
          <t>DALARNAS LÄN</t>
        </is>
      </c>
      <c r="G232" t="inlineStr">
        <is>
          <t>VANSBRO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45463</v>
      </c>
      <c r="E233" s="1" t="n">
        <v>46310</v>
      </c>
      <c r="F233" t="inlineStr">
        <is>
          <t>DALARNAS LÄN</t>
        </is>
      </c>
      <c r="G233" t="inlineStr">
        <is>
          <t>VANSBRO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18717-2026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46128</v>
      </c>
      <c r="E234" s="1" t="n">
        <v>46310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öst AB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18709-2026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46128</v>
      </c>
      <c r="E235" s="1" t="n">
        <v>46310</v>
      </c>
      <c r="F235" t="inlineStr">
        <is>
          <t>DALARNAS LÄN</t>
        </is>
      </c>
      <c r="G235" t="inlineStr">
        <is>
          <t>VANSBRO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46310</v>
      </c>
      <c r="F236" t="inlineStr">
        <is>
          <t>DALARNAS LÄN</t>
        </is>
      </c>
      <c r="G236" t="inlineStr">
        <is>
          <t>VANSBRO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46310</v>
      </c>
      <c r="F237" t="inlineStr">
        <is>
          <t>DALARNAS LÄN</t>
        </is>
      </c>
      <c r="G237" t="inlineStr">
        <is>
          <t>VANSBRO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46310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46310</v>
      </c>
      <c r="F239" t="inlineStr">
        <is>
          <t>DALARNAS LÄN</t>
        </is>
      </c>
      <c r="G239" t="inlineStr">
        <is>
          <t>VANSBRO</t>
        </is>
      </c>
      <c r="H239" t="inlineStr">
        <is>
          <t>Övriga statliga verk och myndigheter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46310</v>
      </c>
      <c r="F240" t="inlineStr">
        <is>
          <t>DALARNAS LÄN</t>
        </is>
      </c>
      <c r="G240" t="inlineStr">
        <is>
          <t>VANSBRO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46310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13.1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46310</v>
      </c>
      <c r="F242" t="inlineStr">
        <is>
          <t>DALARNAS LÄN</t>
        </is>
      </c>
      <c r="G242" t="inlineStr">
        <is>
          <t>VANSBRO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19809-2026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46310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öst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46310</v>
      </c>
      <c r="F244" t="inlineStr">
        <is>
          <t>DALARNAS LÄN</t>
        </is>
      </c>
      <c r="G244" t="inlineStr">
        <is>
          <t>VANSBRO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45817</v>
      </c>
      <c r="E245" s="1" t="n">
        <v>46310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55942-2023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46310</v>
      </c>
      <c r="F246" t="inlineStr">
        <is>
          <t>DALARNAS LÄN</t>
        </is>
      </c>
      <c r="G246" t="inlineStr">
        <is>
          <t>VANSBRO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37970-2022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44811</v>
      </c>
      <c r="E247" s="1" t="n">
        <v>46310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46139</v>
      </c>
      <c r="E248" s="1" t="n">
        <v>46310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öst AB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45254</v>
      </c>
      <c r="E249" s="1" t="n">
        <v>46310</v>
      </c>
      <c r="F249" t="inlineStr">
        <is>
          <t>DALARNAS LÄN</t>
        </is>
      </c>
      <c r="G249" t="inlineStr">
        <is>
          <t>VANSBRO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45940</v>
      </c>
      <c r="E250" s="1" t="n">
        <v>46310</v>
      </c>
      <c r="F250" t="inlineStr">
        <is>
          <t>DALARNAS LÄN</t>
        </is>
      </c>
      <c r="G250" t="inlineStr">
        <is>
          <t>VANSBRO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21418-2023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45063</v>
      </c>
      <c r="E251" s="1" t="n">
        <v>46310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öst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45440</v>
      </c>
      <c r="E252" s="1" t="n">
        <v>46310</v>
      </c>
      <c r="F252" t="inlineStr">
        <is>
          <t>DALARNAS LÄN</t>
        </is>
      </c>
      <c r="G252" t="inlineStr">
        <is>
          <t>VANSBRO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45691</v>
      </c>
      <c r="E253" s="1" t="n">
        <v>46310</v>
      </c>
      <c r="F253" t="inlineStr">
        <is>
          <t>DALARNAS LÄN</t>
        </is>
      </c>
      <c r="G253" t="inlineStr">
        <is>
          <t>VANSBRO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27000-2025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45811</v>
      </c>
      <c r="E254" s="1" t="n">
        <v>46310</v>
      </c>
      <c r="F254" t="inlineStr">
        <is>
          <t>DALARNAS LÄN</t>
        </is>
      </c>
      <c r="G254" t="inlineStr">
        <is>
          <t>VANSBRO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53839-2022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44880</v>
      </c>
      <c r="E255" s="1" t="n">
        <v>46310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öst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46310</v>
      </c>
      <c r="F256" t="inlineStr">
        <is>
          <t>DALARNAS LÄN</t>
        </is>
      </c>
      <c r="G256" t="inlineStr">
        <is>
          <t>VANSBRO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45182</v>
      </c>
      <c r="E257" s="1" t="n">
        <v>46310</v>
      </c>
      <c r="F257" t="inlineStr">
        <is>
          <t>DALARNAS LÄN</t>
        </is>
      </c>
      <c r="G257" t="inlineStr">
        <is>
          <t>VANSBRO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45776</v>
      </c>
      <c r="E258" s="1" t="n">
        <v>46310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45806</v>
      </c>
      <c r="E259" s="1" t="n">
        <v>46310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21966-2024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46310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46310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öst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45689</v>
      </c>
      <c r="E262" s="1" t="n">
        <v>46310</v>
      </c>
      <c r="F262" t="inlineStr">
        <is>
          <t>DALARNAS LÄN</t>
        </is>
      </c>
      <c r="G262" t="inlineStr">
        <is>
          <t>VANSBRO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46033</v>
      </c>
      <c r="E263" s="1" t="n">
        <v>46310</v>
      </c>
      <c r="F263" t="inlineStr">
        <is>
          <t>DALARNAS LÄN</t>
        </is>
      </c>
      <c r="G263" t="inlineStr">
        <is>
          <t>VANSBRO</t>
        </is>
      </c>
      <c r="I263" t="n">
        <v>9.9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45712</v>
      </c>
      <c r="E264" s="1" t="n">
        <v>46310</v>
      </c>
      <c r="F264" t="inlineStr">
        <is>
          <t>DALARNAS LÄN</t>
        </is>
      </c>
      <c r="G264" t="inlineStr">
        <is>
          <t>VANSBRO</t>
        </is>
      </c>
      <c r="I264" t="n">
        <v>13.8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46034</v>
      </c>
      <c r="E265" s="1" t="n">
        <v>46310</v>
      </c>
      <c r="F265" t="inlineStr">
        <is>
          <t>DALARNAS LÄN</t>
        </is>
      </c>
      <c r="G265" t="inlineStr">
        <is>
          <t>VANSBRO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46051</v>
      </c>
      <c r="E266" s="1" t="n">
        <v>46310</v>
      </c>
      <c r="F266" t="inlineStr">
        <is>
          <t>DALARNAS LÄN</t>
        </is>
      </c>
      <c r="G266" t="inlineStr">
        <is>
          <t>VANSBRO</t>
        </is>
      </c>
      <c r="I266" t="n">
        <v>13.9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45516</v>
      </c>
      <c r="E267" s="1" t="n">
        <v>46310</v>
      </c>
      <c r="F267" t="inlineStr">
        <is>
          <t>DALARNAS LÄN</t>
        </is>
      </c>
      <c r="G267" t="inlineStr">
        <is>
          <t>VANSBRO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35365-2022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44798</v>
      </c>
      <c r="E268" s="1" t="n">
        <v>46310</v>
      </c>
      <c r="F268" t="inlineStr">
        <is>
          <t>DALARNAS LÄN</t>
        </is>
      </c>
      <c r="G268" t="inlineStr">
        <is>
          <t>VANSBRO</t>
        </is>
      </c>
      <c r="H268" t="inlineStr">
        <is>
          <t>Kommuner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45714</v>
      </c>
      <c r="E269" s="1" t="n">
        <v>46310</v>
      </c>
      <c r="F269" t="inlineStr">
        <is>
          <t>DALARNAS LÄN</t>
        </is>
      </c>
      <c r="G269" t="inlineStr">
        <is>
          <t>VANSBRO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46310</v>
      </c>
      <c r="F270" t="inlineStr">
        <is>
          <t>DALARNAS LÄN</t>
        </is>
      </c>
      <c r="G270" t="inlineStr">
        <is>
          <t>VANSBRO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49921-2023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45214</v>
      </c>
      <c r="E271" s="1" t="n">
        <v>46310</v>
      </c>
      <c r="F271" t="inlineStr">
        <is>
          <t>DALARNAS LÄN</t>
        </is>
      </c>
      <c r="G271" t="inlineStr">
        <is>
          <t>VANSBRO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46037</v>
      </c>
      <c r="E272" s="1" t="n">
        <v>46310</v>
      </c>
      <c r="F272" t="inlineStr">
        <is>
          <t>DALARNAS LÄN</t>
        </is>
      </c>
      <c r="G272" t="inlineStr">
        <is>
          <t>VANSBRO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46310</v>
      </c>
      <c r="F273" t="inlineStr">
        <is>
          <t>DALARNAS LÄN</t>
        </is>
      </c>
      <c r="G273" t="inlineStr">
        <is>
          <t>VANSBRO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46310</v>
      </c>
      <c r="F274" t="inlineStr">
        <is>
          <t>DALARNAS LÄN</t>
        </is>
      </c>
      <c r="G274" t="inlineStr">
        <is>
          <t>VANSBRO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45604</v>
      </c>
      <c r="E275" s="1" t="n">
        <v>46310</v>
      </c>
      <c r="F275" t="inlineStr">
        <is>
          <t>DALARNAS LÄN</t>
        </is>
      </c>
      <c r="G275" t="inlineStr">
        <is>
          <t>VANSBRO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54159-2022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44881</v>
      </c>
      <c r="E276" s="1" t="n">
        <v>46310</v>
      </c>
      <c r="F276" t="inlineStr">
        <is>
          <t>DALARNAS LÄN</t>
        </is>
      </c>
      <c r="G276" t="inlineStr">
        <is>
          <t>VANSBRO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46049</v>
      </c>
      <c r="E277" s="1" t="n">
        <v>46310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46310</v>
      </c>
      <c r="F278" t="inlineStr">
        <is>
          <t>DALARNAS LÄN</t>
        </is>
      </c>
      <c r="G278" t="inlineStr">
        <is>
          <t>VANSBRO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46049</v>
      </c>
      <c r="E279" s="1" t="n">
        <v>46310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50258-2024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46310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öst AB</t>
        </is>
      </c>
      <c r="I280" t="n">
        <v>45.8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45520</v>
      </c>
      <c r="E281" s="1" t="n">
        <v>46310</v>
      </c>
      <c r="F281" t="inlineStr">
        <is>
          <t>DALARNAS LÄN</t>
        </is>
      </c>
      <c r="G281" t="inlineStr">
        <is>
          <t>VANSBRO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46310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46050</v>
      </c>
      <c r="E283" s="1" t="n">
        <v>46310</v>
      </c>
      <c r="F283" t="inlineStr">
        <is>
          <t>DALARNAS LÄN</t>
        </is>
      </c>
      <c r="G283" t="inlineStr">
        <is>
          <t>VANSBRO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35943-2024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45533</v>
      </c>
      <c r="E284" s="1" t="n">
        <v>46310</v>
      </c>
      <c r="F284" t="inlineStr">
        <is>
          <t>DALARNAS LÄN</t>
        </is>
      </c>
      <c r="G284" t="inlineStr">
        <is>
          <t>VANSBRO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45363</v>
      </c>
      <c r="E285" s="1" t="n">
        <v>46310</v>
      </c>
      <c r="F285" t="inlineStr">
        <is>
          <t>DALARNAS LÄN</t>
        </is>
      </c>
      <c r="G285" t="inlineStr">
        <is>
          <t>VANSBRO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46052</v>
      </c>
      <c r="E286" s="1" t="n">
        <v>46310</v>
      </c>
      <c r="F286" t="inlineStr">
        <is>
          <t>DALARNAS LÄN</t>
        </is>
      </c>
      <c r="G286" t="inlineStr">
        <is>
          <t>VANSBRO</t>
        </is>
      </c>
      <c r="I286" t="n">
        <v>8.5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46310</v>
      </c>
      <c r="F287" t="inlineStr">
        <is>
          <t>DALARNAS LÄN</t>
        </is>
      </c>
      <c r="G287" t="inlineStr">
        <is>
          <t>VANSBRO</t>
        </is>
      </c>
      <c r="I287" t="n">
        <v>15.8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46310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921-2025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45665</v>
      </c>
      <c r="E289" s="1" t="n">
        <v>46310</v>
      </c>
      <c r="F289" t="inlineStr">
        <is>
          <t>DALARNAS LÄN</t>
        </is>
      </c>
      <c r="G289" t="inlineStr">
        <is>
          <t>VANSBRO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46057</v>
      </c>
      <c r="E290" s="1" t="n">
        <v>46310</v>
      </c>
      <c r="F290" t="inlineStr">
        <is>
          <t>DALARNAS LÄN</t>
        </is>
      </c>
      <c r="G290" t="inlineStr">
        <is>
          <t>VANSBRO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46310</v>
      </c>
      <c r="F291" t="inlineStr">
        <is>
          <t>DALARNAS LÄN</t>
        </is>
      </c>
      <c r="G291" t="inlineStr">
        <is>
          <t>VANSBRO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46466-2024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45582</v>
      </c>
      <c r="E292" s="1" t="n">
        <v>46310</v>
      </c>
      <c r="F292" t="inlineStr">
        <is>
          <t>DALARNAS LÄN</t>
        </is>
      </c>
      <c r="G292" t="inlineStr">
        <is>
          <t>VANSBRO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64071-2025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46021</v>
      </c>
      <c r="E293" s="1" t="n">
        <v>46310</v>
      </c>
      <c r="F293" t="inlineStr">
        <is>
          <t>DALARNAS LÄN</t>
        </is>
      </c>
      <c r="G293" t="inlineStr">
        <is>
          <t>VANSBRO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7236-2026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46310</v>
      </c>
      <c r="F294" t="inlineStr">
        <is>
          <t>DALARNAS LÄN</t>
        </is>
      </c>
      <c r="G294" t="inlineStr">
        <is>
          <t>VANSBRO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6632-2023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44966</v>
      </c>
      <c r="E295" s="1" t="n">
        <v>46310</v>
      </c>
      <c r="F295" t="inlineStr">
        <is>
          <t>DALARNAS LÄN</t>
        </is>
      </c>
      <c r="G295" t="inlineStr">
        <is>
          <t>VANSBRO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46062</v>
      </c>
      <c r="E296" s="1" t="n">
        <v>46310</v>
      </c>
      <c r="F296" t="inlineStr">
        <is>
          <t>DALARNAS LÄN</t>
        </is>
      </c>
      <c r="G296" t="inlineStr">
        <is>
          <t>VANSBRO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46079</v>
      </c>
      <c r="E297" s="1" t="n">
        <v>46310</v>
      </c>
      <c r="F297" t="inlineStr">
        <is>
          <t>DALARNAS LÄN</t>
        </is>
      </c>
      <c r="G297" t="inlineStr">
        <is>
          <t>VANSBRO</t>
        </is>
      </c>
      <c r="H297" t="inlineStr">
        <is>
          <t>Övriga statliga verk och myndigheter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46041</v>
      </c>
      <c r="E298" s="1" t="n">
        <v>46310</v>
      </c>
      <c r="F298" t="inlineStr">
        <is>
          <t>DALARNAS LÄN</t>
        </is>
      </c>
      <c r="G298" t="inlineStr">
        <is>
          <t>VANSBRO</t>
        </is>
      </c>
      <c r="I298" t="n">
        <v>15.1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45481</v>
      </c>
      <c r="E299" s="1" t="n">
        <v>46310</v>
      </c>
      <c r="F299" t="inlineStr">
        <is>
          <t>DALARNAS LÄN</t>
        </is>
      </c>
      <c r="G299" t="inlineStr">
        <is>
          <t>VANSBRO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46149</v>
      </c>
      <c r="E300" s="1" t="n">
        <v>46310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24384-2024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45457</v>
      </c>
      <c r="E301" s="1" t="n">
        <v>46310</v>
      </c>
      <c r="F301" t="inlineStr">
        <is>
          <t>DALARNAS LÄN</t>
        </is>
      </c>
      <c r="G301" t="inlineStr">
        <is>
          <t>VANSBRO</t>
        </is>
      </c>
      <c r="I301" t="n">
        <v>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13062-2023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45002</v>
      </c>
      <c r="E302" s="1" t="n">
        <v>46310</v>
      </c>
      <c r="F302" t="inlineStr">
        <is>
          <t>DALARNAS LÄN</t>
        </is>
      </c>
      <c r="G302" t="inlineStr">
        <is>
          <t>VANSBRO</t>
        </is>
      </c>
      <c r="H302" t="inlineStr">
        <is>
          <t>Övriga statliga verk och myndigheter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45350</v>
      </c>
      <c r="E303" s="1" t="n">
        <v>46310</v>
      </c>
      <c r="F303" t="inlineStr">
        <is>
          <t>DALARNAS LÄN</t>
        </is>
      </c>
      <c r="G303" t="inlineStr">
        <is>
          <t>VANSBRO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46154</v>
      </c>
      <c r="E304" s="1" t="n">
        <v>46310</v>
      </c>
      <c r="F304" t="inlineStr">
        <is>
          <t>DALARNAS LÄN</t>
        </is>
      </c>
      <c r="G304" t="inlineStr">
        <is>
          <t>VANSBRO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46310</v>
      </c>
      <c r="F305" t="inlineStr">
        <is>
          <t>DALARNAS LÄN</t>
        </is>
      </c>
      <c r="G305" t="inlineStr">
        <is>
          <t>VANSBRO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22379-2026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46310</v>
      </c>
      <c r="F306" t="inlineStr">
        <is>
          <t>DALARNAS LÄN</t>
        </is>
      </c>
      <c r="G306" t="inlineStr">
        <is>
          <t>VANSBRO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46310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23059-2026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46161</v>
      </c>
      <c r="E308" s="1" t="n">
        <v>46310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öst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43139-2023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45183</v>
      </c>
      <c r="E309" s="1" t="n">
        <v>46310</v>
      </c>
      <c r="F309" t="inlineStr">
        <is>
          <t>DALARNAS LÄN</t>
        </is>
      </c>
      <c r="G309" t="inlineStr">
        <is>
          <t>VANSBRO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29492-2023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46310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62398-2021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44503</v>
      </c>
      <c r="E311" s="1" t="n">
        <v>46310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22.1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45331</v>
      </c>
      <c r="E312" s="1" t="n">
        <v>46310</v>
      </c>
      <c r="F312" t="inlineStr">
        <is>
          <t>DALARNAS LÄN</t>
        </is>
      </c>
      <c r="G312" t="inlineStr">
        <is>
          <t>VANSBRO</t>
        </is>
      </c>
      <c r="I312" t="n">
        <v>11.4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45315</v>
      </c>
      <c r="E313" s="1" t="n">
        <v>46310</v>
      </c>
      <c r="F313" t="inlineStr">
        <is>
          <t>DALARNAS LÄN</t>
        </is>
      </c>
      <c r="G313" t="inlineStr">
        <is>
          <t>VANSBRO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23752-2026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46164</v>
      </c>
      <c r="E314" s="1" t="n">
        <v>46310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48111-2024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45589</v>
      </c>
      <c r="E315" s="1" t="n">
        <v>46310</v>
      </c>
      <c r="F315" t="inlineStr">
        <is>
          <t>DALARNAS LÄN</t>
        </is>
      </c>
      <c r="G315" t="inlineStr">
        <is>
          <t>VANSBRO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23780-2026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46310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44960</v>
      </c>
      <c r="E317" s="1" t="n">
        <v>46310</v>
      </c>
      <c r="F317" t="inlineStr">
        <is>
          <t>DALARNAS LÄN</t>
        </is>
      </c>
      <c r="G317" t="inlineStr">
        <is>
          <t>VANSBRO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45204</v>
      </c>
      <c r="E318" s="1" t="n">
        <v>46310</v>
      </c>
      <c r="F318" t="inlineStr">
        <is>
          <t>DALARNAS LÄN</t>
        </is>
      </c>
      <c r="G318" t="inlineStr">
        <is>
          <t>VANSBRO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45085</v>
      </c>
      <c r="E319" s="1" t="n">
        <v>46310</v>
      </c>
      <c r="F319" t="inlineStr">
        <is>
          <t>DALARNAS LÄN</t>
        </is>
      </c>
      <c r="G319" t="inlineStr">
        <is>
          <t>VANSBRO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46310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46169</v>
      </c>
      <c r="E321" s="1" t="n">
        <v>46310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46310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46183</v>
      </c>
      <c r="E323" s="1" t="n">
        <v>46310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26689-2026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46310</v>
      </c>
      <c r="F324" t="inlineStr">
        <is>
          <t>DALARNAS LÄN</t>
        </is>
      </c>
      <c r="G324" t="inlineStr">
        <is>
          <t>VANSBRO</t>
        </is>
      </c>
      <c r="H324" t="inlineStr">
        <is>
          <t>Övriga statliga verk och myndigheter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72635-2021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44546</v>
      </c>
      <c r="E325" s="1" t="n">
        <v>46310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45147</v>
      </c>
      <c r="E326" s="1" t="n">
        <v>46310</v>
      </c>
      <c r="F326" t="inlineStr">
        <is>
          <t>DALARNAS LÄN</t>
        </is>
      </c>
      <c r="G326" t="inlineStr">
        <is>
          <t>VANSBRO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46310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27195-2026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46310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27344-2026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46310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43658-2023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45187</v>
      </c>
      <c r="E330" s="1" t="n">
        <v>46310</v>
      </c>
      <c r="F330" t="inlineStr">
        <is>
          <t>DALARNAS LÄN</t>
        </is>
      </c>
      <c r="G330" t="inlineStr">
        <is>
          <t>VANSBRO</t>
        </is>
      </c>
      <c r="I330" t="n">
        <v>7.8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46310</v>
      </c>
      <c r="F331" t="inlineStr">
        <is>
          <t>DALARNAS LÄN</t>
        </is>
      </c>
      <c r="G331" t="inlineStr">
        <is>
          <t>VANSBRO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46190</v>
      </c>
      <c r="E332" s="1" t="n">
        <v>46310</v>
      </c>
      <c r="F332" t="inlineStr">
        <is>
          <t>DALARNAS LÄN</t>
        </is>
      </c>
      <c r="G332" t="inlineStr">
        <is>
          <t>VANSBRO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26669-2026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46184</v>
      </c>
      <c r="E333" s="1" t="n">
        <v>46310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27242-2026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46310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10.5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46310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27937-2026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46310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öst AB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39336-2023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45166</v>
      </c>
      <c r="E337" s="1" t="n">
        <v>46310</v>
      </c>
      <c r="F337" t="inlineStr">
        <is>
          <t>DALARNAS LÄN</t>
        </is>
      </c>
      <c r="G337" t="inlineStr">
        <is>
          <t>VANSBRO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28069-2026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46195</v>
      </c>
      <c r="E338" s="1" t="n">
        <v>46310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60848-2024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45644</v>
      </c>
      <c r="E339" s="1" t="n">
        <v>46310</v>
      </c>
      <c r="F339" t="inlineStr">
        <is>
          <t>DALARNAS LÄN</t>
        </is>
      </c>
      <c r="G339" t="inlineStr">
        <is>
          <t>VANSBRO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46197</v>
      </c>
      <c r="E340" s="1" t="n">
        <v>46310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öst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46310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29035-2026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46199</v>
      </c>
      <c r="E342" s="1" t="n">
        <v>46310</v>
      </c>
      <c r="F342" t="inlineStr">
        <is>
          <t>DALARNAS LÄN</t>
        </is>
      </c>
      <c r="G342" t="inlineStr">
        <is>
          <t>VANSBRO</t>
        </is>
      </c>
      <c r="I342" t="n">
        <v>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26658-2022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44739</v>
      </c>
      <c r="E343" s="1" t="n">
        <v>46310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10012-2024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45363</v>
      </c>
      <c r="E344" s="1" t="n">
        <v>46310</v>
      </c>
      <c r="F344" t="inlineStr">
        <is>
          <t>DALARNAS LÄN</t>
        </is>
      </c>
      <c r="G344" t="inlineStr">
        <is>
          <t>VANSBRO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29174-2026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46202</v>
      </c>
      <c r="E345" s="1" t="n">
        <v>46310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öst AB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29621-2026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46204</v>
      </c>
      <c r="E346" s="1" t="n">
        <v>46310</v>
      </c>
      <c r="F346" t="inlineStr">
        <is>
          <t>DALARNAS LÄN</t>
        </is>
      </c>
      <c r="G346" t="inlineStr">
        <is>
          <t>VANSBRO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29671-2026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46204</v>
      </c>
      <c r="E347" s="1" t="n">
        <v>46310</v>
      </c>
      <c r="F347" t="inlineStr">
        <is>
          <t>DALARNAS LÄN</t>
        </is>
      </c>
      <c r="G347" t="inlineStr">
        <is>
          <t>VANSBRO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51396-2022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44869</v>
      </c>
      <c r="E348" s="1" t="n">
        <v>46310</v>
      </c>
      <c r="F348" t="inlineStr">
        <is>
          <t>DALARNAS LÄN</t>
        </is>
      </c>
      <c r="G348" t="inlineStr">
        <is>
          <t>VANSBRO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46310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öst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46203</v>
      </c>
      <c r="E350" s="1" t="n">
        <v>46310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46203</v>
      </c>
      <c r="E351" s="1" t="n">
        <v>46310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46310</v>
      </c>
      <c r="F352" t="inlineStr">
        <is>
          <t>DALARNAS LÄN</t>
        </is>
      </c>
      <c r="G352" t="inlineStr">
        <is>
          <t>VANSBRO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15972-2025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45749</v>
      </c>
      <c r="E353" s="1" t="n">
        <v>46310</v>
      </c>
      <c r="F353" t="inlineStr">
        <is>
          <t>DALARNAS LÄN</t>
        </is>
      </c>
      <c r="G353" t="inlineStr">
        <is>
          <t>VANSBRO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36855-2022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44805</v>
      </c>
      <c r="E354" s="1" t="n">
        <v>46310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45299</v>
      </c>
      <c r="E355" s="1" t="n">
        <v>46310</v>
      </c>
      <c r="F355" t="inlineStr">
        <is>
          <t>DALARNAS LÄN</t>
        </is>
      </c>
      <c r="G355" t="inlineStr">
        <is>
          <t>VANSBRO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45689</v>
      </c>
      <c r="E356" s="1" t="n">
        <v>46310</v>
      </c>
      <c r="F356" t="inlineStr">
        <is>
          <t>DALARNAS LÄN</t>
        </is>
      </c>
      <c r="G356" t="inlineStr">
        <is>
          <t>VANSBRO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45689</v>
      </c>
      <c r="E357" s="1" t="n">
        <v>46310</v>
      </c>
      <c r="F357" t="inlineStr">
        <is>
          <t>DALARNAS LÄN</t>
        </is>
      </c>
      <c r="G357" t="inlineStr">
        <is>
          <t>VANSBRO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57904-2024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45631</v>
      </c>
      <c r="E358" s="1" t="n">
        <v>46310</v>
      </c>
      <c r="F358" t="inlineStr">
        <is>
          <t>DALARNAS LÄN</t>
        </is>
      </c>
      <c r="G358" t="inlineStr">
        <is>
          <t>VANSBRO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45244</v>
      </c>
      <c r="E359" s="1" t="n">
        <v>46310</v>
      </c>
      <c r="F359" t="inlineStr">
        <is>
          <t>DALARNAS LÄN</t>
        </is>
      </c>
      <c r="G359" t="inlineStr">
        <is>
          <t>VANSBRO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59736-2022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46310</v>
      </c>
      <c r="F360" t="inlineStr">
        <is>
          <t>DALARNAS LÄN</t>
        </is>
      </c>
      <c r="G360" t="inlineStr">
        <is>
          <t>VANSBRO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30509-2026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46210</v>
      </c>
      <c r="E361" s="1" t="n">
        <v>46310</v>
      </c>
      <c r="F361" t="inlineStr">
        <is>
          <t>DALARNAS LÄN</t>
        </is>
      </c>
      <c r="G361" t="inlineStr">
        <is>
          <t>VANSBRO</t>
        </is>
      </c>
      <c r="H361" t="inlineStr">
        <is>
          <t>Övriga statliga verk och myndigheter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46210</v>
      </c>
      <c r="E362" s="1" t="n">
        <v>46310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30784-2026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46212</v>
      </c>
      <c r="E363" s="1" t="n">
        <v>46310</v>
      </c>
      <c r="F363" t="inlineStr">
        <is>
          <t>DALARNAS LÄN</t>
        </is>
      </c>
      <c r="G363" t="inlineStr">
        <is>
          <t>VANSBRO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30796-2026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46212</v>
      </c>
      <c r="E364" s="1" t="n">
        <v>46310</v>
      </c>
      <c r="F364" t="inlineStr">
        <is>
          <t>DALARNAS LÄN</t>
        </is>
      </c>
      <c r="G364" t="inlineStr">
        <is>
          <t>VANSBRO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52572-2023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45225</v>
      </c>
      <c r="E365" s="1" t="n">
        <v>46310</v>
      </c>
      <c r="F365" t="inlineStr">
        <is>
          <t>DALARNAS LÄN</t>
        </is>
      </c>
      <c r="G365" t="inlineStr">
        <is>
          <t>VANSBRO</t>
        </is>
      </c>
      <c r="H365" t="inlineStr">
        <is>
          <t>Övriga statliga verk och myndigheter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46310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40290-2023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45169</v>
      </c>
      <c r="E367" s="1" t="n">
        <v>46310</v>
      </c>
      <c r="F367" t="inlineStr">
        <is>
          <t>DALARNAS LÄN</t>
        </is>
      </c>
      <c r="G367" t="inlineStr">
        <is>
          <t>VANSBRO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46310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36375-2026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46268</v>
      </c>
      <c r="E369" s="1" t="n">
        <v>46310</v>
      </c>
      <c r="F369" t="inlineStr">
        <is>
          <t>DALARNAS LÄN</t>
        </is>
      </c>
      <c r="G369" t="inlineStr">
        <is>
          <t>VANSBRO</t>
        </is>
      </c>
      <c r="H369" t="inlineStr">
        <is>
          <t>Kyrkan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36377-2026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46268</v>
      </c>
      <c r="E370" s="1" t="n">
        <v>46310</v>
      </c>
      <c r="F370" t="inlineStr">
        <is>
          <t>DALARNAS LÄN</t>
        </is>
      </c>
      <c r="G370" t="inlineStr">
        <is>
          <t>VANSBRO</t>
        </is>
      </c>
      <c r="H370" t="inlineStr">
        <is>
          <t>Kyrkan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20931-2022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44701</v>
      </c>
      <c r="E371" s="1" t="n">
        <v>46310</v>
      </c>
      <c r="F371" t="inlineStr">
        <is>
          <t>DALARNAS LÄN</t>
        </is>
      </c>
      <c r="G371" t="inlineStr">
        <is>
          <t>VANSBRO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36379-2026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46268</v>
      </c>
      <c r="E372" s="1" t="n">
        <v>46310</v>
      </c>
      <c r="F372" t="inlineStr">
        <is>
          <t>DALARNAS LÄN</t>
        </is>
      </c>
      <c r="G372" t="inlineStr">
        <is>
          <t>VANSBRO</t>
        </is>
      </c>
      <c r="H372" t="inlineStr">
        <is>
          <t>Kyrkan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45296</v>
      </c>
      <c r="E373" s="1" t="n">
        <v>46310</v>
      </c>
      <c r="F373" t="inlineStr">
        <is>
          <t>DALARNAS LÄN</t>
        </is>
      </c>
      <c r="G373" t="inlineStr">
        <is>
          <t>VANSBRO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46272</v>
      </c>
      <c r="E374" s="1" t="n">
        <v>46310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46272</v>
      </c>
      <c r="E375" s="1" t="n">
        <v>46310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45775</v>
      </c>
      <c r="E376" s="1" t="n">
        <v>46310</v>
      </c>
      <c r="F376" t="inlineStr">
        <is>
          <t>DALARNAS LÄN</t>
        </is>
      </c>
      <c r="G376" t="inlineStr">
        <is>
          <t>VANSBRO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45008</v>
      </c>
      <c r="E377" s="1" t="n">
        <v>46310</v>
      </c>
      <c r="F377" t="inlineStr">
        <is>
          <t>DALARNAS LÄN</t>
        </is>
      </c>
      <c r="G377" t="inlineStr">
        <is>
          <t>VANSBRO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36706-2026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46272</v>
      </c>
      <c r="E378" s="1" t="n">
        <v>46310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22756-2024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45448</v>
      </c>
      <c r="E379" s="1" t="n">
        <v>46310</v>
      </c>
      <c r="F379" t="inlineStr">
        <is>
          <t>DALARNAS LÄN</t>
        </is>
      </c>
      <c r="G379" t="inlineStr">
        <is>
          <t>VANSBRO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37433-2026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46275</v>
      </c>
      <c r="E380" s="1" t="n">
        <v>46310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37443-2026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46275</v>
      </c>
      <c r="E381" s="1" t="n">
        <v>46310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37467-2026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46275</v>
      </c>
      <c r="E382" s="1" t="n">
        <v>46310</v>
      </c>
      <c r="F382" t="inlineStr">
        <is>
          <t>DALARNAS LÄN</t>
        </is>
      </c>
      <c r="G382" t="inlineStr">
        <is>
          <t>VANSBRO</t>
        </is>
      </c>
      <c r="H382" t="inlineStr">
        <is>
          <t>Kommuner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37499-2026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46275</v>
      </c>
      <c r="E383" s="1" t="n">
        <v>46310</v>
      </c>
      <c r="F383" t="inlineStr">
        <is>
          <t>DALARNAS LÄN</t>
        </is>
      </c>
      <c r="G383" t="inlineStr">
        <is>
          <t>VANSBRO</t>
        </is>
      </c>
      <c r="H383" t="inlineStr">
        <is>
          <t>Kyrkan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37247-2026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46310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31867-2026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46231</v>
      </c>
      <c r="E385" s="1" t="n">
        <v>46310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20.2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46276</v>
      </c>
      <c r="E386" s="1" t="n">
        <v>46310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44930</v>
      </c>
      <c r="E387" s="1" t="n">
        <v>46310</v>
      </c>
      <c r="F387" t="inlineStr">
        <is>
          <t>DALARNAS LÄN</t>
        </is>
      </c>
      <c r="G387" t="inlineStr">
        <is>
          <t>VANSBRO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61717-2023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45265</v>
      </c>
      <c r="E388" s="1" t="n">
        <v>46310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46276</v>
      </c>
      <c r="E389" s="1" t="n">
        <v>46310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38253-2026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46281</v>
      </c>
      <c r="E390" s="1" t="n">
        <v>46310</v>
      </c>
      <c r="F390" t="inlineStr">
        <is>
          <t>DALARNAS LÄN</t>
        </is>
      </c>
      <c r="G390" t="inlineStr">
        <is>
          <t>VANSBRO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46280</v>
      </c>
      <c r="E391" s="1" t="n">
        <v>46310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46280</v>
      </c>
      <c r="E392" s="1" t="n">
        <v>46310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46280</v>
      </c>
      <c r="E393" s="1" t="n">
        <v>46310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37987-2026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46280</v>
      </c>
      <c r="E394" s="1" t="n">
        <v>46310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öst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45471</v>
      </c>
      <c r="E395" s="1" t="n">
        <v>46310</v>
      </c>
      <c r="F395" t="inlineStr">
        <is>
          <t>DALARNAS LÄN</t>
        </is>
      </c>
      <c r="G395" t="inlineStr">
        <is>
          <t>VANSBRO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32393-2026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46238</v>
      </c>
      <c r="E396" s="1" t="n">
        <v>46310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29.6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38270-2026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46281</v>
      </c>
      <c r="E397" s="1" t="n">
        <v>46310</v>
      </c>
      <c r="F397" t="inlineStr">
        <is>
          <t>DALARNAS LÄN</t>
        </is>
      </c>
      <c r="G397" t="inlineStr">
        <is>
          <t>VANSBRO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38248-2026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46281</v>
      </c>
      <c r="E398" s="1" t="n">
        <v>46310</v>
      </c>
      <c r="F398" t="inlineStr">
        <is>
          <t>DALARNAS LÄN</t>
        </is>
      </c>
      <c r="G398" t="inlineStr">
        <is>
          <t>VANSBRO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38231-2026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46281</v>
      </c>
      <c r="E399" s="1" t="n">
        <v>46310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38644-2026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46283</v>
      </c>
      <c r="E400" s="1" t="n">
        <v>46310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öst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46283</v>
      </c>
      <c r="E401" s="1" t="n">
        <v>46310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öst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11485-2024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45372</v>
      </c>
      <c r="E402" s="1" t="n">
        <v>46310</v>
      </c>
      <c r="F402" t="inlineStr">
        <is>
          <t>DALARNAS LÄN</t>
        </is>
      </c>
      <c r="G402" t="inlineStr">
        <is>
          <t>VANSBRO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43570-2023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45184</v>
      </c>
      <c r="E403" s="1" t="n">
        <v>46310</v>
      </c>
      <c r="F403" t="inlineStr">
        <is>
          <t>DALARNAS LÄN</t>
        </is>
      </c>
      <c r="G403" t="inlineStr">
        <is>
          <t>VANSBRO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24481-2023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45082</v>
      </c>
      <c r="E404" s="1" t="n">
        <v>46310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50741-2022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44867</v>
      </c>
      <c r="E405" s="1" t="n">
        <v>46310</v>
      </c>
      <c r="F405" t="inlineStr">
        <is>
          <t>DALARNAS LÄN</t>
        </is>
      </c>
      <c r="G405" t="inlineStr">
        <is>
          <t>VANSBRO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43589-2022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44837</v>
      </c>
      <c r="E406" s="1" t="n">
        <v>46310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16823-2025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46310</v>
      </c>
      <c r="F407" t="inlineStr">
        <is>
          <t>DALARNAS LÄN</t>
        </is>
      </c>
      <c r="G407" t="inlineStr">
        <is>
          <t>VANSBRO</t>
        </is>
      </c>
      <c r="I407" t="n">
        <v>9.9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17807-2022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44673</v>
      </c>
      <c r="E408" s="1" t="n">
        <v>46310</v>
      </c>
      <c r="F408" t="inlineStr">
        <is>
          <t>DALARNAS LÄN</t>
        </is>
      </c>
      <c r="G408" t="inlineStr">
        <is>
          <t>VANSBRO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46286</v>
      </c>
      <c r="E409" s="1" t="n">
        <v>46310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45240</v>
      </c>
      <c r="E410" s="1" t="n">
        <v>46310</v>
      </c>
      <c r="F410" t="inlineStr">
        <is>
          <t>DALARNAS LÄN</t>
        </is>
      </c>
      <c r="G410" t="inlineStr">
        <is>
          <t>VANSBRO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45519</v>
      </c>
      <c r="E411" s="1" t="n">
        <v>46310</v>
      </c>
      <c r="F411" t="inlineStr">
        <is>
          <t>DALARNAS LÄN</t>
        </is>
      </c>
      <c r="G411" t="inlineStr">
        <is>
          <t>VANSBRO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51606-2023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45222</v>
      </c>
      <c r="E412" s="1" t="n">
        <v>46310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48005-2022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44855</v>
      </c>
      <c r="E413" s="1" t="n">
        <v>46310</v>
      </c>
      <c r="F413" t="inlineStr">
        <is>
          <t>DALARNAS LÄN</t>
        </is>
      </c>
      <c r="G413" t="inlineStr">
        <is>
          <t>VANSBRO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56773-2023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45244</v>
      </c>
      <c r="E414" s="1" t="n">
        <v>46310</v>
      </c>
      <c r="F414" t="inlineStr">
        <is>
          <t>DALARNAS LÄN</t>
        </is>
      </c>
      <c r="G414" t="inlineStr">
        <is>
          <t>VANSBRO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60031-2022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44909</v>
      </c>
      <c r="E415" s="1" t="n">
        <v>46310</v>
      </c>
      <c r="F415" t="inlineStr">
        <is>
          <t>DALARNAS LÄN</t>
        </is>
      </c>
      <c r="G415" t="inlineStr">
        <is>
          <t>VANSBRO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39352-2026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46288</v>
      </c>
      <c r="E416" s="1" t="n">
        <v>46310</v>
      </c>
      <c r="F416" t="inlineStr">
        <is>
          <t>DALARNAS LÄN</t>
        </is>
      </c>
      <c r="G416" t="inlineStr">
        <is>
          <t>VANSBRO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39500-2026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46289</v>
      </c>
      <c r="E417" s="1" t="n">
        <v>46310</v>
      </c>
      <c r="F417" t="inlineStr">
        <is>
          <t>DALARNAS LÄN</t>
        </is>
      </c>
      <c r="G417" t="inlineStr">
        <is>
          <t>VANSBRO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5420-2024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45331</v>
      </c>
      <c r="E418" s="1" t="n">
        <v>46310</v>
      </c>
      <c r="F418" t="inlineStr">
        <is>
          <t>DALARNAS LÄN</t>
        </is>
      </c>
      <c r="G418" t="inlineStr">
        <is>
          <t>VANSBRO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59600-2023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45254</v>
      </c>
      <c r="E419" s="1" t="n">
        <v>46310</v>
      </c>
      <c r="F419" t="inlineStr">
        <is>
          <t>DALARNAS LÄN</t>
        </is>
      </c>
      <c r="G419" t="inlineStr">
        <is>
          <t>VANSBRO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11274-2024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45371</v>
      </c>
      <c r="E420" s="1" t="n">
        <v>46310</v>
      </c>
      <c r="F420" t="inlineStr">
        <is>
          <t>DALARNAS LÄN</t>
        </is>
      </c>
      <c r="G420" t="inlineStr">
        <is>
          <t>VANSBRO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44930</v>
      </c>
      <c r="E421" s="1" t="n">
        <v>46310</v>
      </c>
      <c r="F421" t="inlineStr">
        <is>
          <t>DALARNAS LÄN</t>
        </is>
      </c>
      <c r="G421" t="inlineStr">
        <is>
          <t>VANSBRO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46310</v>
      </c>
      <c r="F422" t="inlineStr">
        <is>
          <t>DALARNAS LÄN</t>
        </is>
      </c>
      <c r="G422" t="inlineStr">
        <is>
          <t>VANSBRO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57903-2024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45631</v>
      </c>
      <c r="E423" s="1" t="n">
        <v>46310</v>
      </c>
      <c r="F423" t="inlineStr">
        <is>
          <t>DALARNAS LÄN</t>
        </is>
      </c>
      <c r="G423" t="inlineStr">
        <is>
          <t>VANSBRO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39871-2026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46290</v>
      </c>
      <c r="E424" s="1" t="n">
        <v>46310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40012-2026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46293</v>
      </c>
      <c r="E425" s="1" t="n">
        <v>46310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13327-2025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45735</v>
      </c>
      <c r="E426" s="1" t="n">
        <v>46310</v>
      </c>
      <c r="F426" t="inlineStr">
        <is>
          <t>DALARNAS LÄN</t>
        </is>
      </c>
      <c r="G426" t="inlineStr">
        <is>
          <t>VANSBRO</t>
        </is>
      </c>
      <c r="H426" t="inlineStr">
        <is>
          <t>Kommuner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5581-2023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44960</v>
      </c>
      <c r="E427" s="1" t="n">
        <v>46310</v>
      </c>
      <c r="F427" t="inlineStr">
        <is>
          <t>DALARNAS LÄN</t>
        </is>
      </c>
      <c r="G427" t="inlineStr">
        <is>
          <t>VANSBRO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33953-2026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46252</v>
      </c>
      <c r="E428" s="1" t="n">
        <v>46310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33944-2026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46252</v>
      </c>
      <c r="E429" s="1" t="n">
        <v>46310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40447-2026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46294</v>
      </c>
      <c r="E430" s="1" t="n">
        <v>46310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40367-2026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46294</v>
      </c>
      <c r="E431" s="1" t="n">
        <v>46310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57947-2023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45247</v>
      </c>
      <c r="E432" s="1" t="n">
        <v>46310</v>
      </c>
      <c r="F432" t="inlineStr">
        <is>
          <t>DALARNAS LÄN</t>
        </is>
      </c>
      <c r="G432" t="inlineStr">
        <is>
          <t>VANSBRO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40143-2026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46293</v>
      </c>
      <c r="E433" s="1" t="n">
        <v>46310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33949-2026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46252</v>
      </c>
      <c r="E434" s="1" t="n">
        <v>46310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40424-2026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46294</v>
      </c>
      <c r="E435" s="1" t="n">
        <v>46310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40343-2026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46294</v>
      </c>
      <c r="E436" s="1" t="n">
        <v>46310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40391-2026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46294</v>
      </c>
      <c r="E437" s="1" t="n">
        <v>46310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öst AB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44931</v>
      </c>
      <c r="E438" s="1" t="n">
        <v>46310</v>
      </c>
      <c r="F438" t="inlineStr">
        <is>
          <t>DALARNAS LÄN</t>
        </is>
      </c>
      <c r="G438" t="inlineStr">
        <is>
          <t>VANSBRO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34214-2026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46310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17.3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40996-2026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46297</v>
      </c>
      <c r="E440" s="1" t="n">
        <v>46310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46310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47790-2024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45588</v>
      </c>
      <c r="E442" s="1" t="n">
        <v>46310</v>
      </c>
      <c r="F442" t="inlineStr">
        <is>
          <t>DALARNAS LÄN</t>
        </is>
      </c>
      <c r="G442" t="inlineStr">
        <is>
          <t>VANSBRO</t>
        </is>
      </c>
      <c r="H442" t="inlineStr">
        <is>
          <t>Övriga statliga verk och myndigheter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18658-2025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45763</v>
      </c>
      <c r="E443" s="1" t="n">
        <v>46310</v>
      </c>
      <c r="F443" t="inlineStr">
        <is>
          <t>DALARNAS LÄN</t>
        </is>
      </c>
      <c r="G443" t="inlineStr">
        <is>
          <t>VANSBRO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40382-2023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45169</v>
      </c>
      <c r="E444" s="1" t="n">
        <v>46310</v>
      </c>
      <c r="F444" t="inlineStr">
        <is>
          <t>DALARNAS LÄN</t>
        </is>
      </c>
      <c r="G444" t="inlineStr">
        <is>
          <t>VANSBRO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34207-2026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46253</v>
      </c>
      <c r="E445" s="1" t="n">
        <v>46310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12.1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34210-2026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46310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46310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41015-2026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46297</v>
      </c>
      <c r="E448" s="1" t="n">
        <v>46310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30392-2024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45491</v>
      </c>
      <c r="E449" s="1" t="n">
        <v>46310</v>
      </c>
      <c r="F449" t="inlineStr">
        <is>
          <t>DALARNAS LÄN</t>
        </is>
      </c>
      <c r="G449" t="inlineStr">
        <is>
          <t>VANSBRO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46253</v>
      </c>
      <c r="E450" s="1" t="n">
        <v>46310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46310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46310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41183-2026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46300</v>
      </c>
      <c r="E453" s="1" t="n">
        <v>46310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2147-2025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45672</v>
      </c>
      <c r="E454" s="1" t="n">
        <v>46310</v>
      </c>
      <c r="F454" t="inlineStr">
        <is>
          <t>DALARNAS LÄN</t>
        </is>
      </c>
      <c r="G454" t="inlineStr">
        <is>
          <t>VANSBRO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41285-2026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46300</v>
      </c>
      <c r="E455" s="1" t="n">
        <v>46310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öst AB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46062</v>
      </c>
      <c r="E456" s="1" t="n">
        <v>46310</v>
      </c>
      <c r="F456" t="inlineStr">
        <is>
          <t>DALARNAS LÄN</t>
        </is>
      </c>
      <c r="G456" t="inlineStr">
        <is>
          <t>VANSBRO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45762</v>
      </c>
      <c r="E457" s="1" t="n">
        <v>46310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10886-2025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45722</v>
      </c>
      <c r="E458" s="1" t="n">
        <v>46310</v>
      </c>
      <c r="F458" t="inlineStr">
        <is>
          <t>DALARNAS LÄN</t>
        </is>
      </c>
      <c r="G458" t="inlineStr">
        <is>
          <t>VANSBRO</t>
        </is>
      </c>
      <c r="I458" t="n">
        <v>15.5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6643-2025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45700</v>
      </c>
      <c r="E459" s="1" t="n">
        <v>46310</v>
      </c>
      <c r="F459" t="inlineStr">
        <is>
          <t>DALARNAS LÄN</t>
        </is>
      </c>
      <c r="G459" t="inlineStr">
        <is>
          <t>VANSBRO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41176-2026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46300</v>
      </c>
      <c r="E460" s="1" t="n">
        <v>46310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19.7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46255</v>
      </c>
      <c r="E461" s="1" t="n">
        <v>46310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41279-2026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46300</v>
      </c>
      <c r="E462" s="1" t="n">
        <v>46310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61515-2022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44916</v>
      </c>
      <c r="E463" s="1" t="n">
        <v>46310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41858-2026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46303</v>
      </c>
      <c r="E464" s="1" t="n">
        <v>46310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46259</v>
      </c>
      <c r="E465" s="1" t="n">
        <v>46310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öst AB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41606-2026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46302</v>
      </c>
      <c r="E466" s="1" t="n">
        <v>46310</v>
      </c>
      <c r="F466" t="inlineStr">
        <is>
          <t>DALARNAS LÄN</t>
        </is>
      </c>
      <c r="G466" t="inlineStr">
        <is>
          <t>VANSBRO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41921-2026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46303</v>
      </c>
      <c r="E467" s="1" t="n">
        <v>46310</v>
      </c>
      <c r="F467" t="inlineStr">
        <is>
          <t>DALARNAS LÄN</t>
        </is>
      </c>
      <c r="G467" t="inlineStr">
        <is>
          <t>VANSBRO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46302</v>
      </c>
      <c r="E468" s="1" t="n">
        <v>46310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öst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50125-2023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45215</v>
      </c>
      <c r="E469" s="1" t="n">
        <v>46310</v>
      </c>
      <c r="F469" t="inlineStr">
        <is>
          <t>DALARNAS LÄN</t>
        </is>
      </c>
      <c r="G469" t="inlineStr">
        <is>
          <t>VANSBRO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50141-2023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45215</v>
      </c>
      <c r="E470" s="1" t="n">
        <v>46310</v>
      </c>
      <c r="F470" t="inlineStr">
        <is>
          <t>DALARNAS LÄN</t>
        </is>
      </c>
      <c r="G470" t="inlineStr">
        <is>
          <t>VANSBRO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46259</v>
      </c>
      <c r="E471" s="1" t="n">
        <v>46310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öst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42352-2026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46307</v>
      </c>
      <c r="E472" s="1" t="n">
        <v>46310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35579-2026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46262</v>
      </c>
      <c r="E473" s="1" t="n">
        <v>46310</v>
      </c>
      <c r="F473" t="inlineStr">
        <is>
          <t>DALARNAS LÄN</t>
        </is>
      </c>
      <c r="G473" t="inlineStr">
        <is>
          <t>VANSBRO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21616-2025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45783</v>
      </c>
      <c r="E474" s="1" t="n">
        <v>46310</v>
      </c>
      <c r="F474" t="inlineStr">
        <is>
          <t>DALARNAS LÄN</t>
        </is>
      </c>
      <c r="G474" t="inlineStr">
        <is>
          <t>VANSBRO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2558-2025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45674</v>
      </c>
      <c r="E475" s="1" t="n">
        <v>46310</v>
      </c>
      <c r="F475" t="inlineStr">
        <is>
          <t>DALARNAS LÄN</t>
        </is>
      </c>
      <c r="G475" t="inlineStr">
        <is>
          <t>VANSBRO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45783</v>
      </c>
      <c r="E476" s="1" t="n">
        <v>46310</v>
      </c>
      <c r="F476" t="inlineStr">
        <is>
          <t>DALARNAS LÄN</t>
        </is>
      </c>
      <c r="G476" t="inlineStr">
        <is>
          <t>VANSBRO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39490-2025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45890</v>
      </c>
      <c r="E477" s="1" t="n">
        <v>46310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45483</v>
      </c>
      <c r="E478" s="1" t="n">
        <v>46310</v>
      </c>
      <c r="F478" t="inlineStr">
        <is>
          <t>DALARNAS LÄN</t>
        </is>
      </c>
      <c r="G478" t="inlineStr">
        <is>
          <t>VANSBRO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42021-2026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46304</v>
      </c>
      <c r="E479" s="1" t="n">
        <v>46310</v>
      </c>
      <c r="F479" t="inlineStr">
        <is>
          <t>DALARNAS LÄN</t>
        </is>
      </c>
      <c r="G479" t="inlineStr">
        <is>
          <t>VANSBRO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42026-2026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46304</v>
      </c>
      <c r="E480" s="1" t="n">
        <v>46310</v>
      </c>
      <c r="F480" t="inlineStr">
        <is>
          <t>DALARNAS LÄN</t>
        </is>
      </c>
      <c r="G480" t="inlineStr">
        <is>
          <t>VANSBRO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27932-2026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46191</v>
      </c>
      <c r="E481" s="1" t="n">
        <v>46310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46261</v>
      </c>
      <c r="E482" s="1" t="n">
        <v>46310</v>
      </c>
      <c r="F482" t="inlineStr">
        <is>
          <t>DALARNAS LÄN</t>
        </is>
      </c>
      <c r="G482" t="inlineStr">
        <is>
          <t>VANSBRO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30544-2024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45492</v>
      </c>
      <c r="E483" s="1" t="n">
        <v>46310</v>
      </c>
      <c r="F483" t="inlineStr">
        <is>
          <t>DALARNAS LÄN</t>
        </is>
      </c>
      <c r="G483" t="inlineStr">
        <is>
          <t>VANSBRO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46308</v>
      </c>
      <c r="E484" s="1" t="n">
        <v>46310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35973-2026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46266</v>
      </c>
      <c r="E485" s="1" t="n">
        <v>46310</v>
      </c>
      <c r="F485" t="inlineStr">
        <is>
          <t>DALARNAS LÄN</t>
        </is>
      </c>
      <c r="G485" t="inlineStr">
        <is>
          <t>VANSBRO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42651-2026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46309</v>
      </c>
      <c r="E486" s="1" t="n">
        <v>46310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42668-2026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46309</v>
      </c>
      <c r="E487" s="1" t="n">
        <v>46310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23085-2022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44719</v>
      </c>
      <c r="E488" s="1" t="n">
        <v>46310</v>
      </c>
      <c r="F488" t="inlineStr">
        <is>
          <t>DALARNAS LÄN</t>
        </is>
      </c>
      <c r="G488" t="inlineStr">
        <is>
          <t>VANSBRO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42424-2026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46308</v>
      </c>
      <c r="E489" s="1" t="n">
        <v>46310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väst AB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42479-2026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46308</v>
      </c>
      <c r="E490" s="1" t="n">
        <v>46310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väst AB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46265</v>
      </c>
      <c r="E491" s="1" t="n">
        <v>46310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öst AB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23792-2025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45793</v>
      </c>
      <c r="E492" s="1" t="n">
        <v>46310</v>
      </c>
      <c r="F492" t="inlineStr">
        <is>
          <t>DALARNAS LÄN</t>
        </is>
      </c>
      <c r="G492" t="inlineStr">
        <is>
          <t>VANSBRO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1286-2024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45401</v>
      </c>
      <c r="E493" s="1" t="n">
        <v>46310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väst AB</t>
        </is>
      </c>
      <c r="I493" t="n">
        <v>220.8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4782-2022</t>
        </is>
      </c>
      <c r="B494" t="inlineStr">
        <is>
          <t>samrådsanmälan</t>
        </is>
      </c>
      <c r="C494" t="inlineStr">
        <is>
          <t>Skogsbilväg</t>
        </is>
      </c>
      <c r="D494" s="1" t="n">
        <v>44802</v>
      </c>
      <c r="E494" s="1" t="n">
        <v>46310</v>
      </c>
      <c r="F494" t="inlineStr">
        <is>
          <t>DALARNAS LÄN</t>
        </is>
      </c>
      <c r="G494" t="inlineStr">
        <is>
          <t>VANSBRO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3514-2023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45208</v>
      </c>
      <c r="E495" s="1" t="n">
        <v>46310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37.8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409-2025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45699</v>
      </c>
      <c r="E496" s="1" t="n">
        <v>46310</v>
      </c>
      <c r="F496" t="inlineStr">
        <is>
          <t>DALARNAS LÄN</t>
        </is>
      </c>
      <c r="G496" t="inlineStr">
        <is>
          <t>VANSBRO</t>
        </is>
      </c>
      <c r="H496" t="inlineStr">
        <is>
          <t>Bergvik skog öst AB</t>
        </is>
      </c>
      <c r="I496" t="n">
        <v>277.1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91-2026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46035</v>
      </c>
      <c r="E497" s="1" t="n">
        <v>46310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153.5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>
      <c r="A498" t="inlineStr">
        <is>
          <t>S 747-2026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46089</v>
      </c>
      <c r="E498" s="1" t="n">
        <v>46310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82.40000000000001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2026-10-15T02:01:44Z</dcterms:created>
  <dcterms:modified xmlns:dcterms="http://purl.org/dc/terms/" xmlns:xsi="http://www.w3.org/2001/XMLSchema-instance" xsi:type="dcterms:W3CDTF">2026-10-15T02:01:45Z</dcterms:modified>
</cp:coreProperties>
</file>