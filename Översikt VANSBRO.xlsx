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46270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46270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46270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46270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46270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46270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46270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46270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46270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46270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46270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46270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46270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33962-2025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46270</v>
      </c>
      <c r="F15" t="inlineStr">
        <is>
          <t>DALARNAS LÄN</t>
        </is>
      </c>
      <c r="G15" t="inlineStr">
        <is>
          <t>VANSBRO</t>
        </is>
      </c>
      <c r="I15" t="n">
        <v>7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22</v>
      </c>
      <c r="U15" t="n">
        <v>22</v>
      </c>
      <c r="V15" s="2" t="inlineStr">
        <is>
          <t>Garnlav
Knärot
Lunglav
Tretåig hackspett
Vedticka
Spillkråka</t>
        </is>
      </c>
      <c r="W15">
        <f>HYPERLINK("https://klasma.github.io/Logging_2021/artfynd/A 33962-2025 artfynd.xlsx", "A 33962-2025")</f>
        <v/>
      </c>
      <c r="X15">
        <f>HYPERLINK("https://klasma.github.io/Logging_2021/kartor/A 33962-2025 karta.png", "A 33962-2025")</f>
        <v/>
      </c>
      <c r="Y15">
        <f>HYPERLINK("https://klasma.github.io/Logging_2021/kartor_geotiff/A 33962-2025 georefererad karta.tif", "A 33962-2025")</f>
        <v/>
      </c>
      <c r="Z15">
        <f>HYPERLINK("https://klasma.github.io/Logging_2021/knärot/A 33962-2025 karta knärot.png", "A 33962-2025")</f>
        <v/>
      </c>
      <c r="AA15">
        <f>HYPERLINK("https://klasma.github.io/Logging_2021/klagomål/A 33962-2025 FSC-klagomål.docx", "A 33962-2025")</f>
        <v/>
      </c>
      <c r="AB15">
        <f>HYPERLINK("https://klasma.github.io/Logging_2021/klagomålsmail/A 33962-2025 FSC-klagomål mail.docx", "A 33962-2025")</f>
        <v/>
      </c>
      <c r="AC15">
        <f>HYPERLINK("https://klasma.github.io/Logging_2021/tillsyn/A 33962-2025 tillsynsbegäran.docx", "A 33962-2025")</f>
        <v/>
      </c>
      <c r="AD15">
        <f>HYPERLINK("https://klasma.github.io/Logging_2021/tillsynsmail/A 33962-2025 tillsynsbegäran mail.docx", "A 33962-2025")</f>
        <v/>
      </c>
      <c r="AE15">
        <f>HYPERLINK("https://klasma.github.io/Logging_2021/fåglar/A 33962-2025 prioriterade fågelarter.docx", "A 33962-2025")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46270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46270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46270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46270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46270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3854-2024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46270</v>
      </c>
      <c r="F21" t="inlineStr">
        <is>
          <t>DALARNAS LÄN</t>
        </is>
      </c>
      <c r="G21" t="inlineStr">
        <is>
          <t>VANSBRO</t>
        </is>
      </c>
      <c r="H21" t="inlineStr">
        <is>
          <t>Kyrkan</t>
        </is>
      </c>
      <c r="I21" t="n">
        <v>4.6</v>
      </c>
      <c r="J21" t="n">
        <v>2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3</v>
      </c>
      <c r="V21" s="2" t="inlineStr">
        <is>
          <t>Garnlav
Tretåig hackspett
Björksplintborre
Utter</t>
        </is>
      </c>
      <c r="W21">
        <f>HYPERLINK("https://klasma.github.io/Logging_2021/artfynd/A 3854-2024 artfynd.xlsx", "A 3854-2024")</f>
        <v/>
      </c>
      <c r="X21">
        <f>HYPERLINK("https://klasma.github.io/Logging_2021/kartor/A 3854-2024 karta.png", "A 3854-2024")</f>
        <v/>
      </c>
      <c r="Y21">
        <f>HYPERLINK("https://klasma.github.io/Logging_2021/kartor_geotiff/A 3854-2024 georefererad karta.tif", "A 3854-2024")</f>
        <v/>
      </c>
      <c r="AA21">
        <f>HYPERLINK("https://klasma.github.io/Logging_2021/klagomål/A 3854-2024 FSC-klagomål.docx", "A 3854-2024")</f>
        <v/>
      </c>
      <c r="AB21">
        <f>HYPERLINK("https://klasma.github.io/Logging_2021/klagomålsmail/A 3854-2024 FSC-klagomål mail.docx", "A 3854-2024")</f>
        <v/>
      </c>
      <c r="AC21">
        <f>HYPERLINK("https://klasma.github.io/Logging_2021/tillsyn/A 3854-2024 tillsynsbegäran.docx", "A 3854-2024")</f>
        <v/>
      </c>
      <c r="AD21">
        <f>HYPERLINK("https://klasma.github.io/Logging_2021/tillsynsmail/A 3854-2024 tillsynsbegäran mail.docx", "A 3854-2024")</f>
        <v/>
      </c>
      <c r="AE21">
        <f>HYPERLINK("https://klasma.github.io/Logging_2021/fåglar/A 3854-2024 prioriterade fågelarter.docx", "A 3854-2024")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46270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46270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46270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46270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46270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46270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46270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46270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46270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33898-2022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44790</v>
      </c>
      <c r="E31" s="1" t="n">
        <v>46270</v>
      </c>
      <c r="F31" t="inlineStr">
        <is>
          <t>DALARNAS LÄN</t>
        </is>
      </c>
      <c r="G31" t="inlineStr">
        <is>
          <t>VANSBRO</t>
        </is>
      </c>
      <c r="I31" t="n">
        <v>2.8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Kungsfågel</t>
        </is>
      </c>
      <c r="W31">
        <f>HYPERLINK("https://klasma.github.io/Logging_2021/artfynd/A 33898-2022 artfynd.xlsx", "A 33898-2022")</f>
        <v/>
      </c>
      <c r="X31">
        <f>HYPERLINK("https://klasma.github.io/Logging_2021/kartor/A 33898-2022 karta.png", "A 33898-2022")</f>
        <v/>
      </c>
      <c r="Y31">
        <f>HYPERLINK("https://klasma.github.io/Logging_2021/kartor_geotiff/A 33898-2022 georefererad karta.tif", "A 33898-2022")</f>
        <v/>
      </c>
      <c r="Z31">
        <f>HYPERLINK("https://klasma.github.io/Logging_2021/knärot/A 33898-2022 karta knärot.png", "A 33898-2022")</f>
        <v/>
      </c>
      <c r="AA31">
        <f>HYPERLINK("https://klasma.github.io/Logging_2021/klagomål/A 33898-2022 FSC-klagomål.docx", "A 33898-2022")</f>
        <v/>
      </c>
      <c r="AB31">
        <f>HYPERLINK("https://klasma.github.io/Logging_2021/klagomålsmail/A 33898-2022 FSC-klagomål mail.docx", "A 33898-2022")</f>
        <v/>
      </c>
      <c r="AC31">
        <f>HYPERLINK("https://klasma.github.io/Logging_2021/tillsyn/A 33898-2022 tillsynsbegäran.docx", "A 33898-2022")</f>
        <v/>
      </c>
      <c r="AD31">
        <f>HYPERLINK("https://klasma.github.io/Logging_2021/tillsynsmail/A 33898-2022 tillsynsbegäran mail.docx", "A 33898-2022")</f>
        <v/>
      </c>
    </row>
    <row r="32" ht="15" customHeight="1">
      <c r="A32" t="inlineStr">
        <is>
          <t>A 1691-2026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46270</v>
      </c>
      <c r="F32" t="inlineStr">
        <is>
          <t>DALARNAS LÄN</t>
        </is>
      </c>
      <c r="G32" t="inlineStr">
        <is>
          <t>VANSBRO</t>
        </is>
      </c>
      <c r="I32" t="n">
        <v>6.3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Dropptaggsvamp
Motaggsvamp</t>
        </is>
      </c>
      <c r="W32">
        <f>HYPERLINK("https://klasma.github.io/Logging_2021/artfynd/A 1691-2026 artfynd.xlsx", "A 1691-2026")</f>
        <v/>
      </c>
      <c r="X32">
        <f>HYPERLINK("https://klasma.github.io/Logging_2021/kartor/A 1691-2026 karta.png", "A 1691-2026")</f>
        <v/>
      </c>
      <c r="Y32">
        <f>HYPERLINK("https://klasma.github.io/Logging_2021/kartor_geotiff/A 1691-2026 georefererad karta.tif", "A 1691-2026")</f>
        <v/>
      </c>
      <c r="AA32">
        <f>HYPERLINK("https://klasma.github.io/Logging_2021/klagomål/A 1691-2026 FSC-klagomål.docx", "A 1691-2026")</f>
        <v/>
      </c>
      <c r="AB32">
        <f>HYPERLINK("https://klasma.github.io/Logging_2021/klagomålsmail/A 1691-2026 FSC-klagomål mail.docx", "A 1691-2026")</f>
        <v/>
      </c>
      <c r="AC32">
        <f>HYPERLINK("https://klasma.github.io/Logging_2021/tillsyn/A 1691-2026 tillsynsbegäran.docx", "A 1691-2026")</f>
        <v/>
      </c>
      <c r="AD32">
        <f>HYPERLINK("https://klasma.github.io/Logging_2021/tillsynsmail/A 1691-2026 tillsynsbegäran mail.docx", "A 1691-2026")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46270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46270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46270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46270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46270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50688-2021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46270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Rynkskinn</t>
        </is>
      </c>
      <c r="W38">
        <f>HYPERLINK("https://klasma.github.io/Logging_2021/artfynd/A 50688-2021 artfynd.xlsx", "A 50688-2021")</f>
        <v/>
      </c>
      <c r="X38">
        <f>HYPERLINK("https://klasma.github.io/Logging_2021/kartor/A 50688-2021 karta.png", "A 50688-2021")</f>
        <v/>
      </c>
      <c r="Y38">
        <f>HYPERLINK("https://klasma.github.io/Logging_2021/kartor_geotiff/A 50688-2021 georefererad karta.tif", "A 50688-2021")</f>
        <v/>
      </c>
      <c r="AA38">
        <f>HYPERLINK("https://klasma.github.io/Logging_2021/klagomål/A 50688-2021 FSC-klagomål.docx", "A 50688-2021")</f>
        <v/>
      </c>
      <c r="AB38">
        <f>HYPERLINK("https://klasma.github.io/Logging_2021/klagomålsmail/A 50688-2021 FSC-klagomål mail.docx", "A 50688-2021")</f>
        <v/>
      </c>
      <c r="AC38">
        <f>HYPERLINK("https://klasma.github.io/Logging_2021/tillsyn/A 50688-2021 tillsynsbegäran.docx", "A 50688-2021")</f>
        <v/>
      </c>
      <c r="AD38">
        <f>HYPERLINK("https://klasma.github.io/Logging_2021/tillsynsmail/A 50688-2021 tillsynsbegäran mail.docx", "A 50688-2021")</f>
        <v/>
      </c>
    </row>
    <row r="39" ht="15" customHeight="1">
      <c r="A39" t="inlineStr">
        <is>
          <t>A 27052-2025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46270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1.9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HYPERLINK("https://klasma.github.io/Logging_2021/artfynd/A 27052-2025 artfynd.xlsx", "A 27052-2025")</f>
        <v/>
      </c>
      <c r="X39">
        <f>HYPERLINK("https://klasma.github.io/Logging_2021/kartor/A 27052-2025 karta.png", "A 27052-2025")</f>
        <v/>
      </c>
      <c r="Y39">
        <f>HYPERLINK("https://klasma.github.io/Logging_2021/kartor_geotiff/A 27052-2025 georefererad karta.tif", "A 27052-2025")</f>
        <v/>
      </c>
      <c r="AA39">
        <f>HYPERLINK("https://klasma.github.io/Logging_2021/klagomål/A 27052-2025 FSC-klagomål.docx", "A 27052-2025")</f>
        <v/>
      </c>
      <c r="AB39">
        <f>HYPERLINK("https://klasma.github.io/Logging_2021/klagomålsmail/A 27052-2025 FSC-klagomål mail.docx", "A 27052-2025")</f>
        <v/>
      </c>
      <c r="AC39">
        <f>HYPERLINK("https://klasma.github.io/Logging_2021/tillsyn/A 27052-2025 tillsynsbegäran.docx", "A 27052-2025")</f>
        <v/>
      </c>
      <c r="AD39">
        <f>HYPERLINK("https://klasma.github.io/Logging_2021/tillsynsmail/A 27052-2025 tillsynsbegäran mail.docx", "A 27052-2025")</f>
        <v/>
      </c>
      <c r="AE39">
        <f>HYPERLINK("https://klasma.github.io/Logging_2021/fåglar/A 27052-2025 prioriterade fågelarter.docx", "A 27052-2025")</f>
        <v/>
      </c>
    </row>
    <row r="40" ht="15" customHeight="1">
      <c r="A40" t="inlineStr">
        <is>
          <t>A 32917-2025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45839</v>
      </c>
      <c r="E40" s="1" t="n">
        <v>46270</v>
      </c>
      <c r="F40" t="inlineStr">
        <is>
          <t>DALARNAS LÄN</t>
        </is>
      </c>
      <c r="G40" t="inlineStr">
        <is>
          <t>VANSBRO</t>
        </is>
      </c>
      <c r="I40" t="n">
        <v>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2</v>
      </c>
      <c r="V40" s="2" t="inlineStr">
        <is>
          <t>Garnlav</t>
        </is>
      </c>
      <c r="W40">
        <f>HYPERLINK("https://klasma.github.io/Logging_2021/artfynd/A 32917-2025 artfynd.xlsx", "A 32917-2025")</f>
        <v/>
      </c>
      <c r="X40">
        <f>HYPERLINK("https://klasma.github.io/Logging_2021/kartor/A 32917-2025 karta.png", "A 32917-2025")</f>
        <v/>
      </c>
      <c r="Y40">
        <f>HYPERLINK("https://klasma.github.io/Logging_2021/kartor_geotiff/A 32917-2025 georefererad karta.tif", "A 32917-2025")</f>
        <v/>
      </c>
      <c r="AA40">
        <f>HYPERLINK("https://klasma.github.io/Logging_2021/klagomål/A 32917-2025 FSC-klagomål.docx", "A 32917-2025")</f>
        <v/>
      </c>
      <c r="AB40">
        <f>HYPERLINK("https://klasma.github.io/Logging_2021/klagomålsmail/A 32917-2025 FSC-klagomål mail.docx", "A 32917-2025")</f>
        <v/>
      </c>
      <c r="AC40">
        <f>HYPERLINK("https://klasma.github.io/Logging_2021/tillsyn/A 32917-2025 tillsynsbegäran.docx", "A 32917-2025")</f>
        <v/>
      </c>
      <c r="AD40">
        <f>HYPERLINK("https://klasma.github.io/Logging_2021/tillsynsmail/A 32917-2025 tillsynsbegäran mail.docx", "A 32917-2025")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46270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3918-2026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46270</v>
      </c>
      <c r="F42" t="inlineStr">
        <is>
          <t>DALARNAS LÄN</t>
        </is>
      </c>
      <c r="G42" t="inlineStr">
        <is>
          <t>VANSBRO</t>
        </is>
      </c>
      <c r="I42" t="n">
        <v>6.2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Duvhök</t>
        </is>
      </c>
      <c r="W42">
        <f>HYPERLINK("https://klasma.github.io/Logging_2021/artfynd/A 3918-2026 artfynd.xlsx", "A 3918-2026")</f>
        <v/>
      </c>
      <c r="X42">
        <f>HYPERLINK("https://klasma.github.io/Logging_2021/kartor/A 3918-2026 karta.png", "A 3918-2026")</f>
        <v/>
      </c>
      <c r="Y42">
        <f>HYPERLINK("https://klasma.github.io/Logging_2021/kartor_geotiff/A 3918-2026 georefererad karta.tif", "A 3918-2026")</f>
        <v/>
      </c>
      <c r="AA42">
        <f>HYPERLINK("https://klasma.github.io/Logging_2021/klagomål/A 3918-2026 FSC-klagomål.docx", "A 3918-2026")</f>
        <v/>
      </c>
      <c r="AB42">
        <f>HYPERLINK("https://klasma.github.io/Logging_2021/klagomålsmail/A 3918-2026 FSC-klagomål mail.docx", "A 3918-2026")</f>
        <v/>
      </c>
      <c r="AC42">
        <f>HYPERLINK("https://klasma.github.io/Logging_2021/tillsyn/A 3918-2026 tillsynsbegäran.docx", "A 3918-2026")</f>
        <v/>
      </c>
      <c r="AD42">
        <f>HYPERLINK("https://klasma.github.io/Logging_2021/tillsynsmail/A 3918-2026 tillsynsbegäran mail.docx", "A 3918-2026")</f>
        <v/>
      </c>
      <c r="AE42">
        <f>HYPERLINK("https://klasma.github.io/Logging_2021/fåglar/A 3918-2026 prioriterade fågelarter.docx", "A 3918-2026")</f>
        <v/>
      </c>
    </row>
    <row r="43" ht="15" customHeight="1">
      <c r="A43" t="inlineStr">
        <is>
          <t>A 5659-2026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46051</v>
      </c>
      <c r="E43" s="1" t="n">
        <v>46270</v>
      </c>
      <c r="F43" t="inlineStr">
        <is>
          <t>DALARNAS LÄN</t>
        </is>
      </c>
      <c r="G43" t="inlineStr">
        <is>
          <t>VANSBRO</t>
        </is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rörsvepemossa</t>
        </is>
      </c>
      <c r="W43">
        <f>HYPERLINK("https://klasma.github.io/Logging_2021/artfynd/A 5659-2026 artfynd.xlsx", "A 5659-2026")</f>
        <v/>
      </c>
      <c r="X43">
        <f>HYPERLINK("https://klasma.github.io/Logging_2021/kartor/A 5659-2026 karta.png", "A 5659-2026")</f>
        <v/>
      </c>
      <c r="Y43">
        <f>HYPERLINK("https://klasma.github.io/Logging_2021/kartor_geotiff/A 5659-2026 georefererad karta.tif", "A 5659-2026")</f>
        <v/>
      </c>
      <c r="Z43">
        <f>HYPERLINK("https://klasma.github.io/Logging_2021/knärot/A 5659-2026 karta knärot.png", "A 5659-2026")</f>
        <v/>
      </c>
      <c r="AA43">
        <f>HYPERLINK("https://klasma.github.io/Logging_2021/klagomål/A 5659-2026 FSC-klagomål.docx", "A 5659-2026")</f>
        <v/>
      </c>
      <c r="AB43">
        <f>HYPERLINK("https://klasma.github.io/Logging_2021/klagomålsmail/A 5659-2026 FSC-klagomål mail.docx", "A 5659-2026")</f>
        <v/>
      </c>
      <c r="AC43">
        <f>HYPERLINK("https://klasma.github.io/Logging_2021/tillsyn/A 5659-2026 tillsynsbegäran.docx", "A 5659-2026")</f>
        <v/>
      </c>
      <c r="AD43">
        <f>HYPERLINK("https://klasma.github.io/Logging_2021/tillsynsmail/A 5659-2026 tillsynsbegäran mail.docx", "A 5659-2026")</f>
        <v/>
      </c>
    </row>
    <row r="44" ht="15" customHeight="1">
      <c r="A44" t="inlineStr">
        <is>
          <t>A 52675-2025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45956</v>
      </c>
      <c r="E44" s="1" t="n">
        <v>46270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Motaggsvamp</t>
        </is>
      </c>
      <c r="W44">
        <f>HYPERLINK("https://klasma.github.io/Logging_2021/artfynd/A 52675-2025 artfynd.xlsx", "A 52675-2025")</f>
        <v/>
      </c>
      <c r="X44">
        <f>HYPERLINK("https://klasma.github.io/Logging_2021/kartor/A 52675-2025 karta.png", "A 52675-2025")</f>
        <v/>
      </c>
      <c r="Y44">
        <f>HYPERLINK("https://klasma.github.io/Logging_2021/kartor_geotiff/A 52675-2025 georefererad karta.tif", "A 52675-2025")</f>
        <v/>
      </c>
      <c r="AA44">
        <f>HYPERLINK("https://klasma.github.io/Logging_2021/klagomål/A 52675-2025 FSC-klagomål.docx", "A 52675-2025")</f>
        <v/>
      </c>
      <c r="AB44">
        <f>HYPERLINK("https://klasma.github.io/Logging_2021/klagomålsmail/A 52675-2025 FSC-klagomål mail.docx", "A 52675-2025")</f>
        <v/>
      </c>
      <c r="AC44">
        <f>HYPERLINK("https://klasma.github.io/Logging_2021/tillsyn/A 52675-2025 tillsynsbegäran.docx", "A 52675-2025")</f>
        <v/>
      </c>
      <c r="AD44">
        <f>HYPERLINK("https://klasma.github.io/Logging_2021/tillsynsmail/A 52675-2025 tillsynsbegäran mail.docx", "A 52675-2025")</f>
        <v/>
      </c>
    </row>
    <row r="45" ht="15" customHeight="1">
      <c r="A45" t="inlineStr">
        <is>
          <t>A 20076-2026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46136</v>
      </c>
      <c r="E45" s="1" t="n">
        <v>46270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öst AB</t>
        </is>
      </c>
      <c r="I45" t="n">
        <v>13.2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Kransrams</t>
        </is>
      </c>
      <c r="W45">
        <f>HYPERLINK("https://klasma.github.io/Logging_2021/artfynd/A 20076-2026 artfynd.xlsx", "A 20076-2026")</f>
        <v/>
      </c>
      <c r="X45">
        <f>HYPERLINK("https://klasma.github.io/Logging_2021/kartor/A 20076-2026 karta.png", "A 20076-2026")</f>
        <v/>
      </c>
      <c r="Y45">
        <f>HYPERLINK("https://klasma.github.io/Logging_2021/kartor_geotiff/A 20076-2026 georefererad karta.tif", "A 20076-2026")</f>
        <v/>
      </c>
      <c r="AA45">
        <f>HYPERLINK("https://klasma.github.io/Logging_2021/klagomål/A 20076-2026 FSC-klagomål.docx", "A 20076-2026")</f>
        <v/>
      </c>
      <c r="AB45">
        <f>HYPERLINK("https://klasma.github.io/Logging_2021/klagomålsmail/A 20076-2026 FSC-klagomål mail.docx", "A 20076-2026")</f>
        <v/>
      </c>
      <c r="AC45">
        <f>HYPERLINK("https://klasma.github.io/Logging_2021/tillsyn/A 20076-2026 tillsynsbegäran.docx", "A 20076-2026")</f>
        <v/>
      </c>
      <c r="AD45">
        <f>HYPERLINK("https://klasma.github.io/Logging_2021/tillsynsmail/A 20076-2026 tillsynsbegäran mail.docx", "A 20076-2026")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46270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46270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46270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46270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51579-2021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46270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Kolflarnlav</t>
        </is>
      </c>
      <c r="W50">
        <f>HYPERLINK("https://klasma.github.io/Logging_2021/artfynd/A 51579-2021 artfynd.xlsx", "A 51579-2021")</f>
        <v/>
      </c>
      <c r="X50">
        <f>HYPERLINK("https://klasma.github.io/Logging_2021/kartor/A 51579-2021 karta.png", "A 51579-2021")</f>
        <v/>
      </c>
      <c r="Y50">
        <f>HYPERLINK("https://klasma.github.io/Logging_2021/kartor_geotiff/A 51579-2021 georefererad karta.tif", "A 51579-2021")</f>
        <v/>
      </c>
      <c r="AA50">
        <f>HYPERLINK("https://klasma.github.io/Logging_2021/klagomål/A 51579-2021 FSC-klagomål.docx", "A 51579-2021")</f>
        <v/>
      </c>
      <c r="AB50">
        <f>HYPERLINK("https://klasma.github.io/Logging_2021/klagomålsmail/A 51579-2021 FSC-klagomål mail.docx", "A 51579-2021")</f>
        <v/>
      </c>
      <c r="AC50">
        <f>HYPERLINK("https://klasma.github.io/Logging_2021/tillsyn/A 51579-2021 tillsynsbegäran.docx", "A 51579-2021")</f>
        <v/>
      </c>
      <c r="AD50">
        <f>HYPERLINK("https://klasma.github.io/Logging_2021/tillsynsmail/A 51579-2021 tillsynsbegäran mail.docx", "A 51579-2021")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46270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46270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46270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46270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46270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46270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46270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46270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46270</v>
      </c>
      <c r="F59" t="inlineStr">
        <is>
          <t>DALARNAS LÄN</t>
        </is>
      </c>
      <c r="G59" t="inlineStr">
        <is>
          <t>VANSBRO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46270</v>
      </c>
      <c r="F60" t="inlineStr">
        <is>
          <t>DALARNAS LÄN</t>
        </is>
      </c>
      <c r="G60" t="inlineStr">
        <is>
          <t>VANSBRO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46270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46270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46270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46270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46270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46270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46270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46270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46270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46270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46270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44465</v>
      </c>
      <c r="E72" s="1" t="n">
        <v>46270</v>
      </c>
      <c r="F72" t="inlineStr">
        <is>
          <t>DALARNAS LÄN</t>
        </is>
      </c>
      <c r="G72" t="inlineStr">
        <is>
          <t>VANSBRO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46270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46270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46270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46270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46270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46270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46270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46270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46270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56098-2021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44477</v>
      </c>
      <c r="E82" s="1" t="n">
        <v>46270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46270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46270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46270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46270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46270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45498</v>
      </c>
      <c r="E88" s="1" t="n">
        <v>46270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öst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46270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55078-2022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46270</v>
      </c>
      <c r="F90" t="inlineStr">
        <is>
          <t>DALARNAS LÄN</t>
        </is>
      </c>
      <c r="G90" t="inlineStr">
        <is>
          <t>VANSBRO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46270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46270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35288-2024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46270</v>
      </c>
      <c r="F93" t="inlineStr">
        <is>
          <t>DALARNAS LÄN</t>
        </is>
      </c>
      <c r="G93" t="inlineStr">
        <is>
          <t>VANSBRO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46270</v>
      </c>
      <c r="F94" t="inlineStr">
        <is>
          <t>DALARNAS LÄN</t>
        </is>
      </c>
      <c r="G94" t="inlineStr">
        <is>
          <t>VANSBRO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11408-2025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45726</v>
      </c>
      <c r="E95" s="1" t="n">
        <v>46270</v>
      </c>
      <c r="F95" t="inlineStr">
        <is>
          <t>DALARNAS LÄN</t>
        </is>
      </c>
      <c r="G95" t="inlineStr">
        <is>
          <t>VANSBRO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45194</v>
      </c>
      <c r="E96" s="1" t="n">
        <v>46270</v>
      </c>
      <c r="F96" t="inlineStr">
        <is>
          <t>DALARNAS LÄN</t>
        </is>
      </c>
      <c r="G96" t="inlineStr">
        <is>
          <t>VANSBRO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4680-2023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44957</v>
      </c>
      <c r="E97" s="1" t="n">
        <v>46270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46270</v>
      </c>
      <c r="F98" t="inlineStr">
        <is>
          <t>DALARNAS LÄN</t>
        </is>
      </c>
      <c r="G98" t="inlineStr">
        <is>
          <t>VANSBRO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43254-2023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45183</v>
      </c>
      <c r="E99" s="1" t="n">
        <v>46270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öst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44826</v>
      </c>
      <c r="E100" s="1" t="n">
        <v>46270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öst AB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46270</v>
      </c>
      <c r="F101" t="inlineStr">
        <is>
          <t>DALARNAS LÄN</t>
        </is>
      </c>
      <c r="G101" t="inlineStr">
        <is>
          <t>VANSBRO</t>
        </is>
      </c>
      <c r="H101" t="inlineStr">
        <is>
          <t>Övriga statliga verk och myndigheter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44796</v>
      </c>
      <c r="E102" s="1" t="n">
        <v>46270</v>
      </c>
      <c r="F102" t="inlineStr">
        <is>
          <t>DALARNAS LÄN</t>
        </is>
      </c>
      <c r="G102" t="inlineStr">
        <is>
          <t>VANSBRO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45315</v>
      </c>
      <c r="E103" s="1" t="n">
        <v>46270</v>
      </c>
      <c r="F103" t="inlineStr">
        <is>
          <t>DALARNAS LÄN</t>
        </is>
      </c>
      <c r="G103" t="inlineStr">
        <is>
          <t>VANSBRO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45689</v>
      </c>
      <c r="E104" s="1" t="n">
        <v>46270</v>
      </c>
      <c r="F104" t="inlineStr">
        <is>
          <t>DALARNAS LÄN</t>
        </is>
      </c>
      <c r="G104" t="inlineStr">
        <is>
          <t>VANSBRO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45637</v>
      </c>
      <c r="E105" s="1" t="n">
        <v>46270</v>
      </c>
      <c r="F105" t="inlineStr">
        <is>
          <t>DALARNAS LÄN</t>
        </is>
      </c>
      <c r="G105" t="inlineStr">
        <is>
          <t>VANSBRO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46270</v>
      </c>
      <c r="F106" t="inlineStr">
        <is>
          <t>DALARNAS LÄN</t>
        </is>
      </c>
      <c r="G106" t="inlineStr">
        <is>
          <t>VANSBRO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46270</v>
      </c>
      <c r="F107" t="inlineStr">
        <is>
          <t>DALARNAS LÄN</t>
        </is>
      </c>
      <c r="G107" t="inlineStr">
        <is>
          <t>VANSBRO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46270</v>
      </c>
      <c r="F108" t="inlineStr">
        <is>
          <t>DALARNAS LÄN</t>
        </is>
      </c>
      <c r="G108" t="inlineStr">
        <is>
          <t>VANSBRO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45512</v>
      </c>
      <c r="E109" s="1" t="n">
        <v>46270</v>
      </c>
      <c r="F109" t="inlineStr">
        <is>
          <t>DALARNAS LÄN</t>
        </is>
      </c>
      <c r="G109" t="inlineStr">
        <is>
          <t>VANSBRO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45754</v>
      </c>
      <c r="E110" s="1" t="n">
        <v>46270</v>
      </c>
      <c r="F110" t="inlineStr">
        <is>
          <t>DALARNAS LÄN</t>
        </is>
      </c>
      <c r="G110" t="inlineStr">
        <is>
          <t>VANSBRO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46270</v>
      </c>
      <c r="F111" t="inlineStr">
        <is>
          <t>DALARNAS LÄN</t>
        </is>
      </c>
      <c r="G111" t="inlineStr">
        <is>
          <t>VANSBRO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45807</v>
      </c>
      <c r="E112" s="1" t="n">
        <v>46270</v>
      </c>
      <c r="F112" t="inlineStr">
        <is>
          <t>DALARNAS LÄN</t>
        </is>
      </c>
      <c r="G112" t="inlineStr">
        <is>
          <t>VANSBRO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46270</v>
      </c>
      <c r="F113" t="inlineStr">
        <is>
          <t>DALARNAS LÄN</t>
        </is>
      </c>
      <c r="G113" t="inlineStr">
        <is>
          <t>VANSBRO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45689</v>
      </c>
      <c r="E114" s="1" t="n">
        <v>46270</v>
      </c>
      <c r="F114" t="inlineStr">
        <is>
          <t>DALARNAS LÄN</t>
        </is>
      </c>
      <c r="G114" t="inlineStr">
        <is>
          <t>VANSBRO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38670-2025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45884</v>
      </c>
      <c r="E115" s="1" t="n">
        <v>46270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46270</v>
      </c>
      <c r="F116" t="inlineStr">
        <is>
          <t>DALARNAS LÄN</t>
        </is>
      </c>
      <c r="G116" t="inlineStr">
        <is>
          <t>VANSBRO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46270</v>
      </c>
      <c r="F117" t="inlineStr">
        <is>
          <t>DALARNAS LÄN</t>
        </is>
      </c>
      <c r="G117" t="inlineStr">
        <is>
          <t>VANSBRO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35299-2024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45530</v>
      </c>
      <c r="E118" s="1" t="n">
        <v>46270</v>
      </c>
      <c r="F118" t="inlineStr">
        <is>
          <t>DALARNAS LÄN</t>
        </is>
      </c>
      <c r="G118" t="inlineStr">
        <is>
          <t>VANSBRO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44925</v>
      </c>
      <c r="E119" s="1" t="n">
        <v>46270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45695</v>
      </c>
      <c r="E120" s="1" t="n">
        <v>46270</v>
      </c>
      <c r="F120" t="inlineStr">
        <is>
          <t>DALARNAS LÄN</t>
        </is>
      </c>
      <c r="G120" t="inlineStr">
        <is>
          <t>VANSBRO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46270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46270</v>
      </c>
      <c r="F122" t="inlineStr">
        <is>
          <t>DALARNAS LÄN</t>
        </is>
      </c>
      <c r="G122" t="inlineStr">
        <is>
          <t>VANSBRO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45819</v>
      </c>
      <c r="E123" s="1" t="n">
        <v>46270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46270</v>
      </c>
      <c r="F124" t="inlineStr">
        <is>
          <t>DALARNAS LÄN</t>
        </is>
      </c>
      <c r="G124" t="inlineStr">
        <is>
          <t>VANSBRO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49565-2022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44862</v>
      </c>
      <c r="E125" s="1" t="n">
        <v>46270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46270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46270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45111</v>
      </c>
      <c r="E128" s="1" t="n">
        <v>46270</v>
      </c>
      <c r="F128" t="inlineStr">
        <is>
          <t>DALARNAS LÄN</t>
        </is>
      </c>
      <c r="G128" t="inlineStr">
        <is>
          <t>VANSBRO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46270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29281-2025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46270</v>
      </c>
      <c r="F130" t="inlineStr">
        <is>
          <t>DALARNAS LÄN</t>
        </is>
      </c>
      <c r="G130" t="inlineStr">
        <is>
          <t>VANSBRO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45356-2024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45576</v>
      </c>
      <c r="E131" s="1" t="n">
        <v>46270</v>
      </c>
      <c r="F131" t="inlineStr">
        <is>
          <t>DALARNAS LÄN</t>
        </is>
      </c>
      <c r="G131" t="inlineStr">
        <is>
          <t>VANSBRO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46270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öst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53828-2021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44469</v>
      </c>
      <c r="E133" s="1" t="n">
        <v>46270</v>
      </c>
      <c r="F133" t="inlineStr">
        <is>
          <t>DALARNAS LÄN</t>
        </is>
      </c>
      <c r="G133" t="inlineStr">
        <is>
          <t>VANSBRO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46270</v>
      </c>
      <c r="F134" t="inlineStr">
        <is>
          <t>DALARNAS LÄN</t>
        </is>
      </c>
      <c r="G134" t="inlineStr">
        <is>
          <t>VANSBRO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46270</v>
      </c>
      <c r="F135" t="inlineStr">
        <is>
          <t>DALARNAS LÄN</t>
        </is>
      </c>
      <c r="G135" t="inlineStr">
        <is>
          <t>VANSBRO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46270</v>
      </c>
      <c r="F136" t="inlineStr">
        <is>
          <t>DALARNAS LÄN</t>
        </is>
      </c>
      <c r="G136" t="inlineStr">
        <is>
          <t>VANSBRO</t>
        </is>
      </c>
      <c r="I136" t="n">
        <v>27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46270</v>
      </c>
      <c r="F137" t="inlineStr">
        <is>
          <t>DALARNAS LÄN</t>
        </is>
      </c>
      <c r="G137" t="inlineStr">
        <is>
          <t>VANSBRO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46270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46270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öst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44728</v>
      </c>
      <c r="E140" s="1" t="n">
        <v>46270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öst AB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46270</v>
      </c>
      <c r="F141" t="inlineStr">
        <is>
          <t>DALARNAS LÄN</t>
        </is>
      </c>
      <c r="G141" t="inlineStr">
        <is>
          <t>VANSBRO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45835</v>
      </c>
      <c r="E142" s="1" t="n">
        <v>46270</v>
      </c>
      <c r="F142" t="inlineStr">
        <is>
          <t>DALARNAS LÄN</t>
        </is>
      </c>
      <c r="G142" t="inlineStr">
        <is>
          <t>VANSBRO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45744</v>
      </c>
      <c r="E143" s="1" t="n">
        <v>46270</v>
      </c>
      <c r="F143" t="inlineStr">
        <is>
          <t>DALARNAS LÄN</t>
        </is>
      </c>
      <c r="G143" t="inlineStr">
        <is>
          <t>VANSBRO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45258</v>
      </c>
      <c r="E144" s="1" t="n">
        <v>46270</v>
      </c>
      <c r="F144" t="inlineStr">
        <is>
          <t>DALARNAS LÄN</t>
        </is>
      </c>
      <c r="G144" t="inlineStr">
        <is>
          <t>VANSBRO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46270</v>
      </c>
      <c r="F145" t="inlineStr">
        <is>
          <t>DALARNAS LÄN</t>
        </is>
      </c>
      <c r="G145" t="inlineStr">
        <is>
          <t>VANSBRO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46270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46270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öst AB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46033</v>
      </c>
      <c r="E148" s="1" t="n">
        <v>46270</v>
      </c>
      <c r="F148" t="inlineStr">
        <is>
          <t>DALARNAS LÄN</t>
        </is>
      </c>
      <c r="G148" t="inlineStr">
        <is>
          <t>VANSBRO</t>
        </is>
      </c>
      <c r="I148" t="n">
        <v>9.9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43258-2023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45183</v>
      </c>
      <c r="E149" s="1" t="n">
        <v>46270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45764</v>
      </c>
      <c r="E150" s="1" t="n">
        <v>46270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45764</v>
      </c>
      <c r="E151" s="1" t="n">
        <v>46270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46270</v>
      </c>
      <c r="F152" t="inlineStr">
        <is>
          <t>DALARNAS LÄN</t>
        </is>
      </c>
      <c r="G152" t="inlineStr">
        <is>
          <t>VANSBRO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45665</v>
      </c>
      <c r="E153" s="1" t="n">
        <v>46270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39974-2022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44820</v>
      </c>
      <c r="E154" s="1" t="n">
        <v>46270</v>
      </c>
      <c r="F154" t="inlineStr">
        <is>
          <t>DALARNAS LÄN</t>
        </is>
      </c>
      <c r="G154" t="inlineStr">
        <is>
          <t>VANSBRO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35537-2024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45531</v>
      </c>
      <c r="E155" s="1" t="n">
        <v>46270</v>
      </c>
      <c r="F155" t="inlineStr">
        <is>
          <t>DALARNAS LÄN</t>
        </is>
      </c>
      <c r="G155" t="inlineStr">
        <is>
          <t>VANSBRO</t>
        </is>
      </c>
      <c r="H155" t="inlineStr">
        <is>
          <t>Övriga statliga verk och myndigheter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46270</v>
      </c>
      <c r="F156" t="inlineStr">
        <is>
          <t>DALARNAS LÄN</t>
        </is>
      </c>
      <c r="G156" t="inlineStr">
        <is>
          <t>VANSBRO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45933</v>
      </c>
      <c r="E157" s="1" t="n">
        <v>46270</v>
      </c>
      <c r="F157" t="inlineStr">
        <is>
          <t>DALARNAS LÄN</t>
        </is>
      </c>
      <c r="G157" t="inlineStr">
        <is>
          <t>VANSBRO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45854</v>
      </c>
      <c r="E158" s="1" t="n">
        <v>46270</v>
      </c>
      <c r="F158" t="inlineStr">
        <is>
          <t>DALARNAS LÄN</t>
        </is>
      </c>
      <c r="G158" t="inlineStr">
        <is>
          <t>VANSBRO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45756</v>
      </c>
      <c r="E159" s="1" t="n">
        <v>46270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46270</v>
      </c>
      <c r="F160" t="inlineStr">
        <is>
          <t>DALARNAS LÄN</t>
        </is>
      </c>
      <c r="G160" t="inlineStr">
        <is>
          <t>VANSBRO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46270</v>
      </c>
      <c r="F161" t="inlineStr">
        <is>
          <t>DALARNAS LÄN</t>
        </is>
      </c>
      <c r="G161" t="inlineStr">
        <is>
          <t>VANSBRO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46270</v>
      </c>
      <c r="F162" t="inlineStr">
        <is>
          <t>DALARNAS LÄN</t>
        </is>
      </c>
      <c r="G162" t="inlineStr">
        <is>
          <t>VANSBRO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45463</v>
      </c>
      <c r="E163" s="1" t="n">
        <v>46270</v>
      </c>
      <c r="F163" t="inlineStr">
        <is>
          <t>DALARNAS LÄN</t>
        </is>
      </c>
      <c r="G163" t="inlineStr">
        <is>
          <t>VANSBRO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45860</v>
      </c>
      <c r="E164" s="1" t="n">
        <v>46270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öst AB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46270</v>
      </c>
      <c r="F165" t="inlineStr">
        <is>
          <t>DALARNAS LÄN</t>
        </is>
      </c>
      <c r="G165" t="inlineStr">
        <is>
          <t>VANSBRO</t>
        </is>
      </c>
      <c r="H165" t="inlineStr">
        <is>
          <t>Övriga statliga verk och myndigheter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46270</v>
      </c>
      <c r="F166" t="inlineStr">
        <is>
          <t>DALARNAS LÄN</t>
        </is>
      </c>
      <c r="G166" t="inlineStr">
        <is>
          <t>VANSBRO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48840-2025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45937</v>
      </c>
      <c r="E167" s="1" t="n">
        <v>46270</v>
      </c>
      <c r="F167" t="inlineStr">
        <is>
          <t>DALARNAS LÄN</t>
        </is>
      </c>
      <c r="G167" t="inlineStr">
        <is>
          <t>VANSBRO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46270</v>
      </c>
      <c r="F168" t="inlineStr">
        <is>
          <t>DALARNAS LÄN</t>
        </is>
      </c>
      <c r="G168" t="inlineStr">
        <is>
          <t>VANSBRO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46270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46270</v>
      </c>
      <c r="F170" t="inlineStr">
        <is>
          <t>DALARNAS LÄN</t>
        </is>
      </c>
      <c r="G170" t="inlineStr">
        <is>
          <t>VANSBRO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46270</v>
      </c>
      <c r="F171" t="inlineStr">
        <is>
          <t>DALARNAS LÄN</t>
        </is>
      </c>
      <c r="G171" t="inlineStr">
        <is>
          <t>VANSBRO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46270</v>
      </c>
      <c r="F172" t="inlineStr">
        <is>
          <t>DALARNAS LÄN</t>
        </is>
      </c>
      <c r="G172" t="inlineStr">
        <is>
          <t>VANSBRO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46036</v>
      </c>
      <c r="E173" s="1" t="n">
        <v>46270</v>
      </c>
      <c r="F173" t="inlineStr">
        <is>
          <t>DALARNAS LÄN</t>
        </is>
      </c>
      <c r="G173" t="inlineStr">
        <is>
          <t>VANSBRO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46270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45868</v>
      </c>
      <c r="E175" s="1" t="n">
        <v>46270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46270</v>
      </c>
      <c r="F176" t="inlineStr">
        <is>
          <t>DALARNAS LÄN</t>
        </is>
      </c>
      <c r="G176" t="inlineStr">
        <is>
          <t>VANSBRO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46270</v>
      </c>
      <c r="F177" t="inlineStr">
        <is>
          <t>DALARNAS LÄN</t>
        </is>
      </c>
      <c r="G177" t="inlineStr">
        <is>
          <t>VANSBRO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45950</v>
      </c>
      <c r="E178" s="1" t="n">
        <v>46270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45240</v>
      </c>
      <c r="E179" s="1" t="n">
        <v>46270</v>
      </c>
      <c r="F179" t="inlineStr">
        <is>
          <t>DALARNAS LÄN</t>
        </is>
      </c>
      <c r="G179" t="inlineStr">
        <is>
          <t>VANSBRO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46270</v>
      </c>
      <c r="F180" t="inlineStr">
        <is>
          <t>DALARNAS LÄN</t>
        </is>
      </c>
      <c r="G180" t="inlineStr">
        <is>
          <t>VANSBRO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51855-2025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46270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44811</v>
      </c>
      <c r="E182" s="1" t="n">
        <v>46270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46270</v>
      </c>
      <c r="F183" t="inlineStr">
        <is>
          <t>DALARNAS LÄN</t>
        </is>
      </c>
      <c r="G183" t="inlineStr">
        <is>
          <t>VANSBRO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37287-2025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45876</v>
      </c>
      <c r="E184" s="1" t="n">
        <v>46270</v>
      </c>
      <c r="F184" t="inlineStr">
        <is>
          <t>DALARNAS LÄN</t>
        </is>
      </c>
      <c r="G184" t="inlineStr">
        <is>
          <t>VANSBRO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46270</v>
      </c>
      <c r="F185" t="inlineStr">
        <is>
          <t>DALARNAS LÄN</t>
        </is>
      </c>
      <c r="G185" t="inlineStr">
        <is>
          <t>VANSBRO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45956</v>
      </c>
      <c r="E186" s="1" t="n">
        <v>46270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46044</v>
      </c>
      <c r="E187" s="1" t="n">
        <v>46270</v>
      </c>
      <c r="F187" t="inlineStr">
        <is>
          <t>DALARNAS LÄN</t>
        </is>
      </c>
      <c r="G187" t="inlineStr">
        <is>
          <t>VANSBRO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45956</v>
      </c>
      <c r="E188" s="1" t="n">
        <v>46270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46270</v>
      </c>
      <c r="F189" t="inlineStr">
        <is>
          <t>DALARNAS LÄN</t>
        </is>
      </c>
      <c r="G189" t="inlineStr">
        <is>
          <t>VANSBRO</t>
        </is>
      </c>
      <c r="I189" t="n">
        <v>12.6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45063</v>
      </c>
      <c r="E190" s="1" t="n">
        <v>46270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öst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45691</v>
      </c>
      <c r="E191" s="1" t="n">
        <v>46270</v>
      </c>
      <c r="F191" t="inlineStr">
        <is>
          <t>DALARNAS LÄN</t>
        </is>
      </c>
      <c r="G191" t="inlineStr">
        <is>
          <t>VANSBRO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46270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46270</v>
      </c>
      <c r="F193" t="inlineStr">
        <is>
          <t>DALARNAS LÄN</t>
        </is>
      </c>
      <c r="G193" t="inlineStr">
        <is>
          <t>VANSBRO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46270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53839-2022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44880</v>
      </c>
      <c r="E195" s="1" t="n">
        <v>46270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öst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46270</v>
      </c>
      <c r="F196" t="inlineStr">
        <is>
          <t>DALARNAS LÄN</t>
        </is>
      </c>
      <c r="G196" t="inlineStr">
        <is>
          <t>VANSBRO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46270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46270</v>
      </c>
      <c r="F198" t="inlineStr">
        <is>
          <t>DALARNAS LÄN</t>
        </is>
      </c>
      <c r="G198" t="inlineStr">
        <is>
          <t>VANSBRO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6076-2026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46270</v>
      </c>
      <c r="F199" t="inlineStr">
        <is>
          <t>DALARNAS LÄN</t>
        </is>
      </c>
      <c r="G199" t="inlineStr">
        <is>
          <t>VANSBRO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46270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45961</v>
      </c>
      <c r="E201" s="1" t="n">
        <v>46270</v>
      </c>
      <c r="F201" t="inlineStr">
        <is>
          <t>DALARNAS LÄN</t>
        </is>
      </c>
      <c r="G201" t="inlineStr">
        <is>
          <t>VANSBRO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45182</v>
      </c>
      <c r="E202" s="1" t="n">
        <v>46270</v>
      </c>
      <c r="F202" t="inlineStr">
        <is>
          <t>DALARNAS LÄN</t>
        </is>
      </c>
      <c r="G202" t="inlineStr">
        <is>
          <t>VANSBRO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7014-2026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46270</v>
      </c>
      <c r="F203" t="inlineStr">
        <is>
          <t>DALARNAS LÄN</t>
        </is>
      </c>
      <c r="G203" t="inlineStr">
        <is>
          <t>VANSBRO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46270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46058</v>
      </c>
      <c r="E205" s="1" t="n">
        <v>46270</v>
      </c>
      <c r="F205" t="inlineStr">
        <is>
          <t>DALARNAS LÄN</t>
        </is>
      </c>
      <c r="G205" t="inlineStr">
        <is>
          <t>VANSBRO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46270</v>
      </c>
      <c r="F206" t="inlineStr">
        <is>
          <t>DALARNAS LÄN</t>
        </is>
      </c>
      <c r="G206" t="inlineStr">
        <is>
          <t>VANSBRO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45689</v>
      </c>
      <c r="E207" s="1" t="n">
        <v>46270</v>
      </c>
      <c r="F207" t="inlineStr">
        <is>
          <t>DALARNAS LÄN</t>
        </is>
      </c>
      <c r="G207" t="inlineStr">
        <is>
          <t>VANSBRO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46270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46270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46058</v>
      </c>
      <c r="E210" s="1" t="n">
        <v>46270</v>
      </c>
      <c r="F210" t="inlineStr">
        <is>
          <t>DALARNAS LÄN</t>
        </is>
      </c>
      <c r="G210" t="inlineStr">
        <is>
          <t>VANSBRO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46270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46270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46270</v>
      </c>
      <c r="F213" t="inlineStr">
        <is>
          <t>DALARNAS LÄN</t>
        </is>
      </c>
      <c r="G213" t="inlineStr">
        <is>
          <t>VANSBRO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45516</v>
      </c>
      <c r="E214" s="1" t="n">
        <v>46270</v>
      </c>
      <c r="F214" t="inlineStr">
        <is>
          <t>DALARNAS LÄN</t>
        </is>
      </c>
      <c r="G214" t="inlineStr">
        <is>
          <t>VANSBRO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35365-2022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44798</v>
      </c>
      <c r="E215" s="1" t="n">
        <v>46270</v>
      </c>
      <c r="F215" t="inlineStr">
        <is>
          <t>DALARNAS LÄN</t>
        </is>
      </c>
      <c r="G215" t="inlineStr">
        <is>
          <t>VANSBRO</t>
        </is>
      </c>
      <c r="H215" t="inlineStr">
        <is>
          <t>Kommuner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7779-2026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46270</v>
      </c>
      <c r="F216" t="inlineStr">
        <is>
          <t>DALARNAS LÄN</t>
        </is>
      </c>
      <c r="G216" t="inlineStr">
        <is>
          <t>VANSBRO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45214</v>
      </c>
      <c r="E217" s="1" t="n">
        <v>46270</v>
      </c>
      <c r="F217" t="inlineStr">
        <is>
          <t>DALARNAS LÄN</t>
        </is>
      </c>
      <c r="G217" t="inlineStr">
        <is>
          <t>VANSBRO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46270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46270</v>
      </c>
      <c r="F219" t="inlineStr">
        <is>
          <t>DALARNAS LÄN</t>
        </is>
      </c>
      <c r="G219" t="inlineStr">
        <is>
          <t>VANSBRO</t>
        </is>
      </c>
      <c r="I219" t="n">
        <v>15.1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45972</v>
      </c>
      <c r="E220" s="1" t="n">
        <v>46270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45666</v>
      </c>
      <c r="E221" s="1" t="n">
        <v>46270</v>
      </c>
      <c r="F221" t="inlineStr">
        <is>
          <t>DALARNAS LÄN</t>
        </is>
      </c>
      <c r="G221" t="inlineStr">
        <is>
          <t>VANSBRO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56280-2025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46270</v>
      </c>
      <c r="F222" t="inlineStr">
        <is>
          <t>DALARNAS LÄN</t>
        </is>
      </c>
      <c r="G222" t="inlineStr">
        <is>
          <t>VANSBRO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64072-2025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46021</v>
      </c>
      <c r="E223" s="1" t="n">
        <v>46270</v>
      </c>
      <c r="F223" t="inlineStr">
        <is>
          <t>DALARNAS LÄN</t>
        </is>
      </c>
      <c r="G223" t="inlineStr">
        <is>
          <t>VANSBRO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46270</v>
      </c>
      <c r="F224" t="inlineStr">
        <is>
          <t>DALARNAS LÄN</t>
        </is>
      </c>
      <c r="G224" t="inlineStr">
        <is>
          <t>VANSBRO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54159-2022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44881</v>
      </c>
      <c r="E225" s="1" t="n">
        <v>46270</v>
      </c>
      <c r="F225" t="inlineStr">
        <is>
          <t>DALARNAS LÄN</t>
        </is>
      </c>
      <c r="G225" t="inlineStr">
        <is>
          <t>VANSBRO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45639</v>
      </c>
      <c r="E226" s="1" t="n">
        <v>46270</v>
      </c>
      <c r="F226" t="inlineStr">
        <is>
          <t>DALARNAS LÄN</t>
        </is>
      </c>
      <c r="G226" t="inlineStr">
        <is>
          <t>VANSBRO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45673</v>
      </c>
      <c r="E227" s="1" t="n">
        <v>46270</v>
      </c>
      <c r="F227" t="inlineStr">
        <is>
          <t>DALARNAS LÄN</t>
        </is>
      </c>
      <c r="G227" t="inlineStr">
        <is>
          <t>VANSBRO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44734</v>
      </c>
      <c r="E228" s="1" t="n">
        <v>46270</v>
      </c>
      <c r="F228" t="inlineStr">
        <is>
          <t>DALARNAS LÄN</t>
        </is>
      </c>
      <c r="G228" t="inlineStr">
        <is>
          <t>VANSBRO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46270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50258-2024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45600</v>
      </c>
      <c r="E230" s="1" t="n">
        <v>46270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45.8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9417-2026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46270</v>
      </c>
      <c r="F231" t="inlineStr">
        <is>
          <t>DALARNAS LÄN</t>
        </is>
      </c>
      <c r="G231" t="inlineStr">
        <is>
          <t>VANSBRO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45520</v>
      </c>
      <c r="E232" s="1" t="n">
        <v>46270</v>
      </c>
      <c r="F232" t="inlineStr">
        <is>
          <t>DALARNAS LÄN</t>
        </is>
      </c>
      <c r="G232" t="inlineStr">
        <is>
          <t>VANSBRO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45981</v>
      </c>
      <c r="E233" s="1" t="n">
        <v>46270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35943-2024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45533</v>
      </c>
      <c r="E234" s="1" t="n">
        <v>46270</v>
      </c>
      <c r="F234" t="inlineStr">
        <is>
          <t>DALARNAS LÄN</t>
        </is>
      </c>
      <c r="G234" t="inlineStr">
        <is>
          <t>VANSBRO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46270</v>
      </c>
      <c r="F235" t="inlineStr">
        <is>
          <t>DALARNAS LÄN</t>
        </is>
      </c>
      <c r="G235" t="inlineStr">
        <is>
          <t>VANSBRO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46270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45665</v>
      </c>
      <c r="E237" s="1" t="n">
        <v>46270</v>
      </c>
      <c r="F237" t="inlineStr">
        <is>
          <t>DALARNAS LÄN</t>
        </is>
      </c>
      <c r="G237" t="inlineStr">
        <is>
          <t>VANSBRO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45987</v>
      </c>
      <c r="E238" s="1" t="n">
        <v>46270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9296-2023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44980</v>
      </c>
      <c r="E239" s="1" t="n">
        <v>46270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45453</v>
      </c>
      <c r="E240" s="1" t="n">
        <v>46270</v>
      </c>
      <c r="F240" t="inlineStr">
        <is>
          <t>DALARNAS LÄN</t>
        </is>
      </c>
      <c r="G240" t="inlineStr">
        <is>
          <t>VANSBRO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46270</v>
      </c>
      <c r="F241" t="inlineStr">
        <is>
          <t>DALARNAS LÄN</t>
        </is>
      </c>
      <c r="G241" t="inlineStr">
        <is>
          <t>VANSBRO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46084</v>
      </c>
      <c r="E242" s="1" t="n">
        <v>46270</v>
      </c>
      <c r="F242" t="inlineStr">
        <is>
          <t>DALARNAS LÄN</t>
        </is>
      </c>
      <c r="G242" t="inlineStr">
        <is>
          <t>VANSBRO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11349-2026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46082</v>
      </c>
      <c r="E243" s="1" t="n">
        <v>46270</v>
      </c>
      <c r="F243" t="inlineStr">
        <is>
          <t>DALARNAS LÄN</t>
        </is>
      </c>
      <c r="G243" t="inlineStr">
        <is>
          <t>VANSBRO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55570-2023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45238</v>
      </c>
      <c r="E244" s="1" t="n">
        <v>46270</v>
      </c>
      <c r="F244" t="inlineStr">
        <is>
          <t>DALARNAS LÄN</t>
        </is>
      </c>
      <c r="G244" t="inlineStr">
        <is>
          <t>VANSBRO</t>
        </is>
      </c>
      <c r="H244" t="inlineStr">
        <is>
          <t>Övriga statliga verk och myndigheter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46270</v>
      </c>
      <c r="F245" t="inlineStr">
        <is>
          <t>DALARNAS LÄN</t>
        </is>
      </c>
      <c r="G245" t="inlineStr">
        <is>
          <t>VANSBRO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11350-2026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46082</v>
      </c>
      <c r="E246" s="1" t="n">
        <v>46270</v>
      </c>
      <c r="F246" t="inlineStr">
        <is>
          <t>DALARNAS LÄN</t>
        </is>
      </c>
      <c r="G246" t="inlineStr">
        <is>
          <t>VANSBRO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20189-2025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45772</v>
      </c>
      <c r="E247" s="1" t="n">
        <v>46270</v>
      </c>
      <c r="F247" t="inlineStr">
        <is>
          <t>DALARNAS LÄN</t>
        </is>
      </c>
      <c r="G247" t="inlineStr">
        <is>
          <t>VANSBRO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46270</v>
      </c>
      <c r="F248" t="inlineStr">
        <is>
          <t>DALARNAS LÄN</t>
        </is>
      </c>
      <c r="G248" t="inlineStr">
        <is>
          <t>VANSBRO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46270</v>
      </c>
      <c r="F249" t="inlineStr">
        <is>
          <t>DALARNAS LÄN</t>
        </is>
      </c>
      <c r="G249" t="inlineStr">
        <is>
          <t>VANSBRO</t>
        </is>
      </c>
      <c r="I249" t="n">
        <v>8.800000000000001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8694-2023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44972</v>
      </c>
      <c r="E250" s="1" t="n">
        <v>46270</v>
      </c>
      <c r="F250" t="inlineStr">
        <is>
          <t>DALARNAS LÄN</t>
        </is>
      </c>
      <c r="G250" t="inlineStr">
        <is>
          <t>VANSBRO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20185-2025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45772</v>
      </c>
      <c r="E251" s="1" t="n">
        <v>46270</v>
      </c>
      <c r="F251" t="inlineStr">
        <is>
          <t>DALARNAS LÄN</t>
        </is>
      </c>
      <c r="G251" t="inlineStr">
        <is>
          <t>VANSBRO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46270</v>
      </c>
      <c r="F252" t="inlineStr">
        <is>
          <t>DALARNAS LÄN</t>
        </is>
      </c>
      <c r="G252" t="inlineStr">
        <is>
          <t>VANSBRO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46270</v>
      </c>
      <c r="F253" t="inlineStr">
        <is>
          <t>DALARNAS LÄN</t>
        </is>
      </c>
      <c r="G253" t="inlineStr">
        <is>
          <t>VANSBRO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50533-2024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45601</v>
      </c>
      <c r="E254" s="1" t="n">
        <v>46270</v>
      </c>
      <c r="F254" t="inlineStr">
        <is>
          <t>DALARNAS LÄN</t>
        </is>
      </c>
      <c r="G254" t="inlineStr">
        <is>
          <t>VANSBRO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44980</v>
      </c>
      <c r="E255" s="1" t="n">
        <v>46270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46270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13495-2026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46270</v>
      </c>
      <c r="F257" t="inlineStr">
        <is>
          <t>DALARNAS LÄN</t>
        </is>
      </c>
      <c r="G257" t="inlineStr">
        <is>
          <t>VANSBRO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46270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46270</v>
      </c>
      <c r="F259" t="inlineStr">
        <is>
          <t>DALARNAS LÄN</t>
        </is>
      </c>
      <c r="G259" t="inlineStr">
        <is>
          <t>VANSBRO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8447-2022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44612</v>
      </c>
      <c r="E260" s="1" t="n">
        <v>46270</v>
      </c>
      <c r="F260" t="inlineStr">
        <is>
          <t>DALARNAS LÄN</t>
        </is>
      </c>
      <c r="G260" t="inlineStr">
        <is>
          <t>VANSBRO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45691</v>
      </c>
      <c r="E261" s="1" t="n">
        <v>46270</v>
      </c>
      <c r="F261" t="inlineStr">
        <is>
          <t>DALARNAS LÄN</t>
        </is>
      </c>
      <c r="G261" t="inlineStr">
        <is>
          <t>VANSBRO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46099</v>
      </c>
      <c r="E262" s="1" t="n">
        <v>46270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12917-2026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46092</v>
      </c>
      <c r="E263" s="1" t="n">
        <v>46270</v>
      </c>
      <c r="F263" t="inlineStr">
        <is>
          <t>DALARNAS LÄN</t>
        </is>
      </c>
      <c r="G263" t="inlineStr">
        <is>
          <t>VANSBRO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45322</v>
      </c>
      <c r="E264" s="1" t="n">
        <v>46270</v>
      </c>
      <c r="F264" t="inlineStr">
        <is>
          <t>DALARNAS LÄN</t>
        </is>
      </c>
      <c r="G264" t="inlineStr">
        <is>
          <t>VANSBRO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45596</v>
      </c>
      <c r="E265" s="1" t="n">
        <v>46270</v>
      </c>
      <c r="F265" t="inlineStr">
        <is>
          <t>DALARNAS LÄN</t>
        </is>
      </c>
      <c r="G265" t="inlineStr">
        <is>
          <t>VANSBRO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2086-2024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45309</v>
      </c>
      <c r="E266" s="1" t="n">
        <v>46270</v>
      </c>
      <c r="F266" t="inlineStr">
        <is>
          <t>DALARNAS LÄN</t>
        </is>
      </c>
      <c r="G266" t="inlineStr">
        <is>
          <t>VANSBRO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46270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46270</v>
      </c>
      <c r="F268" t="inlineStr">
        <is>
          <t>DALARNAS LÄN</t>
        </is>
      </c>
      <c r="G268" t="inlineStr">
        <is>
          <t>VANSBRO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46108</v>
      </c>
      <c r="E269" s="1" t="n">
        <v>46270</v>
      </c>
      <c r="F269" t="inlineStr">
        <is>
          <t>DALARNAS LÄN</t>
        </is>
      </c>
      <c r="G269" t="inlineStr">
        <is>
          <t>VANSBRO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45169</v>
      </c>
      <c r="E270" s="1" t="n">
        <v>46270</v>
      </c>
      <c r="F270" t="inlineStr">
        <is>
          <t>DALARNAS LÄN</t>
        </is>
      </c>
      <c r="G270" t="inlineStr">
        <is>
          <t>VANSBRO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27089-2024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45471</v>
      </c>
      <c r="E271" s="1" t="n">
        <v>46270</v>
      </c>
      <c r="F271" t="inlineStr">
        <is>
          <t>DALARNAS LÄN</t>
        </is>
      </c>
      <c r="G271" t="inlineStr">
        <is>
          <t>VANSBRO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16669-2026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46270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63816-2021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44509</v>
      </c>
      <c r="E273" s="1" t="n">
        <v>46270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46270</v>
      </c>
      <c r="F274" t="inlineStr">
        <is>
          <t>DALARNAS LÄN</t>
        </is>
      </c>
      <c r="G274" t="inlineStr">
        <is>
          <t>VANSBRO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45712</v>
      </c>
      <c r="E275" s="1" t="n">
        <v>46270</v>
      </c>
      <c r="F275" t="inlineStr">
        <is>
          <t>DALARNAS LÄN</t>
        </is>
      </c>
      <c r="G275" t="inlineStr">
        <is>
          <t>VANSBRO</t>
        </is>
      </c>
      <c r="I275" t="n">
        <v>13.8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16948-2026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46113</v>
      </c>
      <c r="E276" s="1" t="n">
        <v>46270</v>
      </c>
      <c r="F276" t="inlineStr">
        <is>
          <t>DALARNAS LÄN</t>
        </is>
      </c>
      <c r="G276" t="inlineStr">
        <is>
          <t>VANSBRO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51400-2024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45604</v>
      </c>
      <c r="E277" s="1" t="n">
        <v>46270</v>
      </c>
      <c r="F277" t="inlineStr">
        <is>
          <t>DALARNAS LÄN</t>
        </is>
      </c>
      <c r="G277" t="inlineStr">
        <is>
          <t>VANSBRO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46119</v>
      </c>
      <c r="E278" s="1" t="n">
        <v>46270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46270</v>
      </c>
      <c r="F279" t="inlineStr">
        <is>
          <t>DALARNAS LÄN</t>
        </is>
      </c>
      <c r="G279" t="inlineStr">
        <is>
          <t>VANSBRO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46270</v>
      </c>
      <c r="F280" t="inlineStr">
        <is>
          <t>DALARNAS LÄN</t>
        </is>
      </c>
      <c r="G280" t="inlineStr">
        <is>
          <t>VANSBRO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46270</v>
      </c>
      <c r="F281" t="inlineStr">
        <is>
          <t>DALARNAS LÄN</t>
        </is>
      </c>
      <c r="G281" t="inlineStr">
        <is>
          <t>VANSBRO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46121</v>
      </c>
      <c r="E282" s="1" t="n">
        <v>46270</v>
      </c>
      <c r="F282" t="inlineStr">
        <is>
          <t>DALARNAS LÄN</t>
        </is>
      </c>
      <c r="G282" t="inlineStr">
        <is>
          <t>VANSBRO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46270</v>
      </c>
      <c r="F283" t="inlineStr">
        <is>
          <t>DALARNAS LÄN</t>
        </is>
      </c>
      <c r="G283" t="inlineStr">
        <is>
          <t>VANSBRO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28924-2024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45481</v>
      </c>
      <c r="E284" s="1" t="n">
        <v>46270</v>
      </c>
      <c r="F284" t="inlineStr">
        <is>
          <t>DALARNAS LÄN</t>
        </is>
      </c>
      <c r="G284" t="inlineStr">
        <is>
          <t>VANSBRO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46270</v>
      </c>
      <c r="F285" t="inlineStr">
        <is>
          <t>DALARNAS LÄN</t>
        </is>
      </c>
      <c r="G285" t="inlineStr">
        <is>
          <t>VANSBRO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17553-2026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46120</v>
      </c>
      <c r="E286" s="1" t="n">
        <v>46270</v>
      </c>
      <c r="F286" t="inlineStr">
        <is>
          <t>DALARNAS LÄN</t>
        </is>
      </c>
      <c r="G286" t="inlineStr">
        <is>
          <t>VANSBRO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17998-2026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46124</v>
      </c>
      <c r="E287" s="1" t="n">
        <v>46270</v>
      </c>
      <c r="F287" t="inlineStr">
        <is>
          <t>DALARNAS LÄN</t>
        </is>
      </c>
      <c r="G287" t="inlineStr">
        <is>
          <t>VANSBRO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18068-2026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46125</v>
      </c>
      <c r="E288" s="1" t="n">
        <v>46270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18140-2026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46125</v>
      </c>
      <c r="E289" s="1" t="n">
        <v>46270</v>
      </c>
      <c r="F289" t="inlineStr">
        <is>
          <t>DALARNAS LÄN</t>
        </is>
      </c>
      <c r="G289" t="inlineStr">
        <is>
          <t>VANSBRO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46128</v>
      </c>
      <c r="E290" s="1" t="n">
        <v>46270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18709-2026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46128</v>
      </c>
      <c r="E291" s="1" t="n">
        <v>46270</v>
      </c>
      <c r="F291" t="inlineStr">
        <is>
          <t>DALARNAS LÄN</t>
        </is>
      </c>
      <c r="G291" t="inlineStr">
        <is>
          <t>VANSBRO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18580-2026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46270</v>
      </c>
      <c r="F292" t="inlineStr">
        <is>
          <t>DALARNAS LÄN</t>
        </is>
      </c>
      <c r="G292" t="inlineStr">
        <is>
          <t>VANSBRO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46127</v>
      </c>
      <c r="E293" s="1" t="n">
        <v>46270</v>
      </c>
      <c r="F293" t="inlineStr">
        <is>
          <t>DALARNAS LÄN</t>
        </is>
      </c>
      <c r="G293" t="inlineStr">
        <is>
          <t>VANSBRO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24384-2024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45457</v>
      </c>
      <c r="E294" s="1" t="n">
        <v>46270</v>
      </c>
      <c r="F294" t="inlineStr">
        <is>
          <t>DALARNAS LÄN</t>
        </is>
      </c>
      <c r="G294" t="inlineStr">
        <is>
          <t>VANSBRO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46127</v>
      </c>
      <c r="E295" s="1" t="n">
        <v>46270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väst AB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18823-2026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46128</v>
      </c>
      <c r="E296" s="1" t="n">
        <v>46270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13.1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13062-2023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45002</v>
      </c>
      <c r="E297" s="1" t="n">
        <v>46270</v>
      </c>
      <c r="F297" t="inlineStr">
        <is>
          <t>DALARNAS LÄN</t>
        </is>
      </c>
      <c r="G297" t="inlineStr">
        <is>
          <t>VANSBRO</t>
        </is>
      </c>
      <c r="H297" t="inlineStr">
        <is>
          <t>Övriga statliga verk och myndigheter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46127</v>
      </c>
      <c r="E298" s="1" t="n">
        <v>46270</v>
      </c>
      <c r="F298" t="inlineStr">
        <is>
          <t>DALARNAS LÄN</t>
        </is>
      </c>
      <c r="G298" t="inlineStr">
        <is>
          <t>VANSBRO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53498-2024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45614</v>
      </c>
      <c r="E299" s="1" t="n">
        <v>46270</v>
      </c>
      <c r="F299" t="inlineStr">
        <is>
          <t>DALARNAS LÄN</t>
        </is>
      </c>
      <c r="G299" t="inlineStr">
        <is>
          <t>VANSBRO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19809-2026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46270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43139-2023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45183</v>
      </c>
      <c r="E301" s="1" t="n">
        <v>46270</v>
      </c>
      <c r="F301" t="inlineStr">
        <is>
          <t>DALARNAS LÄN</t>
        </is>
      </c>
      <c r="G301" t="inlineStr">
        <is>
          <t>VANSBRO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28007-2025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46270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29492-2023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45106</v>
      </c>
      <c r="E303" s="1" t="n">
        <v>46270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46139</v>
      </c>
      <c r="E304" s="1" t="n">
        <v>46270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öst AB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46270</v>
      </c>
      <c r="F305" t="inlineStr">
        <is>
          <t>DALARNAS LÄN</t>
        </is>
      </c>
      <c r="G305" t="inlineStr">
        <is>
          <t>VANSBRO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62398-2021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44503</v>
      </c>
      <c r="E306" s="1" t="n">
        <v>46270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22.1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46270</v>
      </c>
      <c r="F307" t="inlineStr">
        <is>
          <t>DALARNAS LÄN</t>
        </is>
      </c>
      <c r="G307" t="inlineStr">
        <is>
          <t>VANSBRO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21117-2024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45440</v>
      </c>
      <c r="E308" s="1" t="n">
        <v>46270</v>
      </c>
      <c r="F308" t="inlineStr">
        <is>
          <t>DALARNAS LÄN</t>
        </is>
      </c>
      <c r="G308" t="inlineStr">
        <is>
          <t>VANSBRO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48111-2024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45589</v>
      </c>
      <c r="E309" s="1" t="n">
        <v>46270</v>
      </c>
      <c r="F309" t="inlineStr">
        <is>
          <t>DALARNAS LÄN</t>
        </is>
      </c>
      <c r="G309" t="inlineStr">
        <is>
          <t>VANSBRO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46270</v>
      </c>
      <c r="F310" t="inlineStr">
        <is>
          <t>DALARNAS LÄN</t>
        </is>
      </c>
      <c r="G310" t="inlineStr">
        <is>
          <t>VANSBRO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45727</v>
      </c>
      <c r="E311" s="1" t="n">
        <v>46270</v>
      </c>
      <c r="F311" t="inlineStr">
        <is>
          <t>DALARNAS LÄN</t>
        </is>
      </c>
      <c r="G311" t="inlineStr">
        <is>
          <t>VANSBRO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44960</v>
      </c>
      <c r="E312" s="1" t="n">
        <v>46270</v>
      </c>
      <c r="F312" t="inlineStr">
        <is>
          <t>DALARNAS LÄN</t>
        </is>
      </c>
      <c r="G312" t="inlineStr">
        <is>
          <t>VANSBRO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20669-2025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45776</v>
      </c>
      <c r="E313" s="1" t="n">
        <v>46270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45806</v>
      </c>
      <c r="E314" s="1" t="n">
        <v>46270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47824-2023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46270</v>
      </c>
      <c r="F315" t="inlineStr">
        <is>
          <t>DALARNAS LÄN</t>
        </is>
      </c>
      <c r="G315" t="inlineStr">
        <is>
          <t>VANSBRO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45085</v>
      </c>
      <c r="E316" s="1" t="n">
        <v>46270</v>
      </c>
      <c r="F316" t="inlineStr">
        <is>
          <t>DALARNAS LÄN</t>
        </is>
      </c>
      <c r="G316" t="inlineStr">
        <is>
          <t>VANSBRO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46051</v>
      </c>
      <c r="E317" s="1" t="n">
        <v>46270</v>
      </c>
      <c r="F317" t="inlineStr">
        <is>
          <t>DALARNAS LÄN</t>
        </is>
      </c>
      <c r="G317" t="inlineStr">
        <is>
          <t>VANSBRO</t>
        </is>
      </c>
      <c r="I317" t="n">
        <v>13.9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45714</v>
      </c>
      <c r="E318" s="1" t="n">
        <v>46270</v>
      </c>
      <c r="F318" t="inlineStr">
        <is>
          <t>DALARNAS LÄN</t>
        </is>
      </c>
      <c r="G318" t="inlineStr">
        <is>
          <t>VANSBRO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10013-2024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45363</v>
      </c>
      <c r="E319" s="1" t="n">
        <v>46270</v>
      </c>
      <c r="F319" t="inlineStr">
        <is>
          <t>DALARNAS LÄN</t>
        </is>
      </c>
      <c r="G319" t="inlineStr">
        <is>
          <t>VANSBRO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46270</v>
      </c>
      <c r="F320" t="inlineStr">
        <is>
          <t>DALARNAS LÄN</t>
        </is>
      </c>
      <c r="G320" t="inlineStr">
        <is>
          <t>VANSBRO</t>
        </is>
      </c>
      <c r="I320" t="n">
        <v>15.8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46270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72635-2021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44546</v>
      </c>
      <c r="E322" s="1" t="n">
        <v>46270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35699-2023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45147</v>
      </c>
      <c r="E323" s="1" t="n">
        <v>46270</v>
      </c>
      <c r="F323" t="inlineStr">
        <is>
          <t>DALARNAS LÄN</t>
        </is>
      </c>
      <c r="G323" t="inlineStr">
        <is>
          <t>VANSBRO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64071-2025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46021</v>
      </c>
      <c r="E324" s="1" t="n">
        <v>46270</v>
      </c>
      <c r="F324" t="inlineStr">
        <is>
          <t>DALARNAS LÄN</t>
        </is>
      </c>
      <c r="G324" t="inlineStr">
        <is>
          <t>VANSBRO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43658-2023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45187</v>
      </c>
      <c r="E325" s="1" t="n">
        <v>46270</v>
      </c>
      <c r="F325" t="inlineStr">
        <is>
          <t>DALARNAS LÄN</t>
        </is>
      </c>
      <c r="G325" t="inlineStr">
        <is>
          <t>VANSBRO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46079</v>
      </c>
      <c r="E326" s="1" t="n">
        <v>46270</v>
      </c>
      <c r="F326" t="inlineStr">
        <is>
          <t>DALARNAS LÄN</t>
        </is>
      </c>
      <c r="G326" t="inlineStr">
        <is>
          <t>VANSBRO</t>
        </is>
      </c>
      <c r="H326" t="inlineStr">
        <is>
          <t>Övriga statliga verk och myndigheter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39336-2023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45166</v>
      </c>
      <c r="E327" s="1" t="n">
        <v>46270</v>
      </c>
      <c r="F327" t="inlineStr">
        <is>
          <t>DALARNAS LÄN</t>
        </is>
      </c>
      <c r="G327" t="inlineStr">
        <is>
          <t>VANSBRO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60848-2024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45644</v>
      </c>
      <c r="E328" s="1" t="n">
        <v>46270</v>
      </c>
      <c r="F328" t="inlineStr">
        <is>
          <t>DALARNAS LÄN</t>
        </is>
      </c>
      <c r="G328" t="inlineStr">
        <is>
          <t>VANSBRO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46149</v>
      </c>
      <c r="E329" s="1" t="n">
        <v>46270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41290-2023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46270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26658-2022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44739</v>
      </c>
      <c r="E331" s="1" t="n">
        <v>46270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10012-2024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45363</v>
      </c>
      <c r="E332" s="1" t="n">
        <v>46270</v>
      </c>
      <c r="F332" t="inlineStr">
        <is>
          <t>DALARNAS LÄN</t>
        </is>
      </c>
      <c r="G332" t="inlineStr">
        <is>
          <t>VANSBRO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51396-2022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44869</v>
      </c>
      <c r="E333" s="1" t="n">
        <v>46270</v>
      </c>
      <c r="F333" t="inlineStr">
        <is>
          <t>DALARNAS LÄN</t>
        </is>
      </c>
      <c r="G333" t="inlineStr">
        <is>
          <t>VANSBRO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45350</v>
      </c>
      <c r="E334" s="1" t="n">
        <v>46270</v>
      </c>
      <c r="F334" t="inlineStr">
        <is>
          <t>DALARNAS LÄN</t>
        </is>
      </c>
      <c r="G334" t="inlineStr">
        <is>
          <t>VANSBRO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46270</v>
      </c>
      <c r="F335" t="inlineStr">
        <is>
          <t>DALARNAS LÄN</t>
        </is>
      </c>
      <c r="G335" t="inlineStr">
        <is>
          <t>VANSBRO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15972-2025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45749</v>
      </c>
      <c r="E336" s="1" t="n">
        <v>46270</v>
      </c>
      <c r="F336" t="inlineStr">
        <is>
          <t>DALARNAS LÄN</t>
        </is>
      </c>
      <c r="G336" t="inlineStr">
        <is>
          <t>VANSBRO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36855-2022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44805</v>
      </c>
      <c r="E337" s="1" t="n">
        <v>46270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45299</v>
      </c>
      <c r="E338" s="1" t="n">
        <v>46270</v>
      </c>
      <c r="F338" t="inlineStr">
        <is>
          <t>DALARNAS LÄN</t>
        </is>
      </c>
      <c r="G338" t="inlineStr">
        <is>
          <t>VANSBRO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45689</v>
      </c>
      <c r="E339" s="1" t="n">
        <v>46270</v>
      </c>
      <c r="F339" t="inlineStr">
        <is>
          <t>DALARNAS LÄN</t>
        </is>
      </c>
      <c r="G339" t="inlineStr">
        <is>
          <t>VANSBRO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45689</v>
      </c>
      <c r="E340" s="1" t="n">
        <v>46270</v>
      </c>
      <c r="F340" t="inlineStr">
        <is>
          <t>DALARNAS LÄN</t>
        </is>
      </c>
      <c r="G340" t="inlineStr">
        <is>
          <t>VANSBRO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45631</v>
      </c>
      <c r="E341" s="1" t="n">
        <v>46270</v>
      </c>
      <c r="F341" t="inlineStr">
        <is>
          <t>DALARNAS LÄN</t>
        </is>
      </c>
      <c r="G341" t="inlineStr">
        <is>
          <t>VANSBRO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45244</v>
      </c>
      <c r="E342" s="1" t="n">
        <v>46270</v>
      </c>
      <c r="F342" t="inlineStr">
        <is>
          <t>DALARNAS LÄN</t>
        </is>
      </c>
      <c r="G342" t="inlineStr">
        <is>
          <t>VANSBRO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46270</v>
      </c>
      <c r="F343" t="inlineStr">
        <is>
          <t>DALARNAS LÄN</t>
        </is>
      </c>
      <c r="G343" t="inlineStr">
        <is>
          <t>VANSBRO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46270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59736-2022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44908</v>
      </c>
      <c r="E345" s="1" t="n">
        <v>46270</v>
      </c>
      <c r="F345" t="inlineStr">
        <is>
          <t>DALARNAS LÄN</t>
        </is>
      </c>
      <c r="G345" t="inlineStr">
        <is>
          <t>VANSBRO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23059-2026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46161</v>
      </c>
      <c r="E346" s="1" t="n">
        <v>46270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45225</v>
      </c>
      <c r="E347" s="1" t="n">
        <v>46270</v>
      </c>
      <c r="F347" t="inlineStr">
        <is>
          <t>DALARNAS LÄN</t>
        </is>
      </c>
      <c r="G347" t="inlineStr">
        <is>
          <t>VANSBRO</t>
        </is>
      </c>
      <c r="H347" t="inlineStr">
        <is>
          <t>Övriga statliga verk och myndigheter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51414-2021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44461</v>
      </c>
      <c r="E348" s="1" t="n">
        <v>46270</v>
      </c>
      <c r="F348" t="inlineStr">
        <is>
          <t>DALARNAS LÄN</t>
        </is>
      </c>
      <c r="G348" t="inlineStr">
        <is>
          <t>VANSBRO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46161</v>
      </c>
      <c r="E349" s="1" t="n">
        <v>46270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40290-2023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45169</v>
      </c>
      <c r="E350" s="1" t="n">
        <v>46270</v>
      </c>
      <c r="F350" t="inlineStr">
        <is>
          <t>DALARNAS LÄN</t>
        </is>
      </c>
      <c r="G350" t="inlineStr">
        <is>
          <t>VANSBRO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5386-2024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45331</v>
      </c>
      <c r="E351" s="1" t="n">
        <v>46270</v>
      </c>
      <c r="F351" t="inlineStr">
        <is>
          <t>DALARNAS LÄN</t>
        </is>
      </c>
      <c r="G351" t="inlineStr">
        <is>
          <t>VANSBRO</t>
        </is>
      </c>
      <c r="I351" t="n">
        <v>11.4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20931-2022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44701</v>
      </c>
      <c r="E352" s="1" t="n">
        <v>46270</v>
      </c>
      <c r="F352" t="inlineStr">
        <is>
          <t>DALARNAS LÄN</t>
        </is>
      </c>
      <c r="G352" t="inlineStr">
        <is>
          <t>VANSBRO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23752-2026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46164</v>
      </c>
      <c r="E353" s="1" t="n">
        <v>46270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45296</v>
      </c>
      <c r="E354" s="1" t="n">
        <v>46270</v>
      </c>
      <c r="F354" t="inlineStr">
        <is>
          <t>DALARNAS LÄN</t>
        </is>
      </c>
      <c r="G354" t="inlineStr">
        <is>
          <t>VANSBRO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46270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45775</v>
      </c>
      <c r="E356" s="1" t="n">
        <v>46270</v>
      </c>
      <c r="F356" t="inlineStr">
        <is>
          <t>DALARNAS LÄN</t>
        </is>
      </c>
      <c r="G356" t="inlineStr">
        <is>
          <t>VANSBRO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14057-2023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45008</v>
      </c>
      <c r="E357" s="1" t="n">
        <v>46270</v>
      </c>
      <c r="F357" t="inlineStr">
        <is>
          <t>DALARNAS LÄN</t>
        </is>
      </c>
      <c r="G357" t="inlineStr">
        <is>
          <t>VANSBRO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22756-2024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45448</v>
      </c>
      <c r="E358" s="1" t="n">
        <v>46270</v>
      </c>
      <c r="F358" t="inlineStr">
        <is>
          <t>DALARNAS LÄN</t>
        </is>
      </c>
      <c r="G358" t="inlineStr">
        <is>
          <t>VANSBRO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46270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44930</v>
      </c>
      <c r="E360" s="1" t="n">
        <v>46270</v>
      </c>
      <c r="F360" t="inlineStr">
        <is>
          <t>DALARNAS LÄN</t>
        </is>
      </c>
      <c r="G360" t="inlineStr">
        <is>
          <t>VANSBRO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61717-2023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45265</v>
      </c>
      <c r="E361" s="1" t="n">
        <v>46270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27080-2024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45471</v>
      </c>
      <c r="E362" s="1" t="n">
        <v>46270</v>
      </c>
      <c r="F362" t="inlineStr">
        <is>
          <t>DALARNAS LÄN</t>
        </is>
      </c>
      <c r="G362" t="inlineStr">
        <is>
          <t>VANSBRO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24277-2026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46169</v>
      </c>
      <c r="E363" s="1" t="n">
        <v>46270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46270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11485-2024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45372</v>
      </c>
      <c r="E365" s="1" t="n">
        <v>46270</v>
      </c>
      <c r="F365" t="inlineStr">
        <is>
          <t>DALARNAS LÄN</t>
        </is>
      </c>
      <c r="G365" t="inlineStr">
        <is>
          <t>VANSBRO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46270</v>
      </c>
      <c r="F366" t="inlineStr">
        <is>
          <t>DALARNAS LÄN</t>
        </is>
      </c>
      <c r="G366" t="inlineStr">
        <is>
          <t>VANSBRO</t>
        </is>
      </c>
      <c r="I366" t="n">
        <v>6.8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24481-2023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45082</v>
      </c>
      <c r="E367" s="1" t="n">
        <v>46270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25958-2026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46181</v>
      </c>
      <c r="E368" s="1" t="n">
        <v>46270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50741-2022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44867</v>
      </c>
      <c r="E369" s="1" t="n">
        <v>46270</v>
      </c>
      <c r="F369" t="inlineStr">
        <is>
          <t>DALARNAS LÄN</t>
        </is>
      </c>
      <c r="G369" t="inlineStr">
        <is>
          <t>VANSBRO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46270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43589-2022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44837</v>
      </c>
      <c r="E371" s="1" t="n">
        <v>46270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16823-2025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45754</v>
      </c>
      <c r="E372" s="1" t="n">
        <v>46270</v>
      </c>
      <c r="F372" t="inlineStr">
        <is>
          <t>DALARNAS LÄN</t>
        </is>
      </c>
      <c r="G372" t="inlineStr">
        <is>
          <t>VANSBRO</t>
        </is>
      </c>
      <c r="I372" t="n">
        <v>9.9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46184</v>
      </c>
      <c r="E373" s="1" t="n">
        <v>46270</v>
      </c>
      <c r="F373" t="inlineStr">
        <is>
          <t>DALARNAS LÄN</t>
        </is>
      </c>
      <c r="G373" t="inlineStr">
        <is>
          <t>VANSBRO</t>
        </is>
      </c>
      <c r="H373" t="inlineStr">
        <is>
          <t>Övriga statliga verk och myndigheter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17807-2022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44673</v>
      </c>
      <c r="E374" s="1" t="n">
        <v>46270</v>
      </c>
      <c r="F374" t="inlineStr">
        <is>
          <t>DALARNAS LÄN</t>
        </is>
      </c>
      <c r="G374" t="inlineStr">
        <is>
          <t>VANSBRO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31867-2026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46231</v>
      </c>
      <c r="E375" s="1" t="n">
        <v>46270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20.2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56129-2023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45240</v>
      </c>
      <c r="E376" s="1" t="n">
        <v>46270</v>
      </c>
      <c r="F376" t="inlineStr">
        <is>
          <t>DALARNAS LÄN</t>
        </is>
      </c>
      <c r="G376" t="inlineStr">
        <is>
          <t>VANSBRO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33520-2024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45519</v>
      </c>
      <c r="E377" s="1" t="n">
        <v>46270</v>
      </c>
      <c r="F377" t="inlineStr">
        <is>
          <t>DALARNAS LÄN</t>
        </is>
      </c>
      <c r="G377" t="inlineStr">
        <is>
          <t>VANSBRO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46270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27195-2026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46270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46270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51606-2023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45222</v>
      </c>
      <c r="E381" s="1" t="n">
        <v>46270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44855</v>
      </c>
      <c r="E382" s="1" t="n">
        <v>46270</v>
      </c>
      <c r="F382" t="inlineStr">
        <is>
          <t>DALARNAS LÄN</t>
        </is>
      </c>
      <c r="G382" t="inlineStr">
        <is>
          <t>VANSBRO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46270</v>
      </c>
      <c r="F383" t="inlineStr">
        <is>
          <t>DALARNAS LÄN</t>
        </is>
      </c>
      <c r="G383" t="inlineStr">
        <is>
          <t>VANSBRO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27631-2026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46270</v>
      </c>
      <c r="F384" t="inlineStr">
        <is>
          <t>DALARNAS LÄN</t>
        </is>
      </c>
      <c r="G384" t="inlineStr">
        <is>
          <t>VANSBRO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56773-2023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45244</v>
      </c>
      <c r="E385" s="1" t="n">
        <v>46270</v>
      </c>
      <c r="F385" t="inlineStr">
        <is>
          <t>DALARNAS LÄN</t>
        </is>
      </c>
      <c r="G385" t="inlineStr">
        <is>
          <t>VANSBRO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60031-2022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44909</v>
      </c>
      <c r="E386" s="1" t="n">
        <v>46270</v>
      </c>
      <c r="F386" t="inlineStr">
        <is>
          <t>DALARNAS LÄN</t>
        </is>
      </c>
      <c r="G386" t="inlineStr">
        <is>
          <t>VANSBRO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26669-2026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46184</v>
      </c>
      <c r="E387" s="1" t="n">
        <v>46270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27242-2026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46270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46270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27932-2026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46270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27937-2026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46191</v>
      </c>
      <c r="E391" s="1" t="n">
        <v>46270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5420-2024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45331</v>
      </c>
      <c r="E392" s="1" t="n">
        <v>46270</v>
      </c>
      <c r="F392" t="inlineStr">
        <is>
          <t>DALARNAS LÄN</t>
        </is>
      </c>
      <c r="G392" t="inlineStr">
        <is>
          <t>VANSBRO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46270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45254</v>
      </c>
      <c r="E394" s="1" t="n">
        <v>46270</v>
      </c>
      <c r="F394" t="inlineStr">
        <is>
          <t>DALARNAS LÄN</t>
        </is>
      </c>
      <c r="G394" t="inlineStr">
        <is>
          <t>VANSBRO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11274-2024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45371</v>
      </c>
      <c r="E395" s="1" t="n">
        <v>46270</v>
      </c>
      <c r="F395" t="inlineStr">
        <is>
          <t>DALARNAS LÄN</t>
        </is>
      </c>
      <c r="G395" t="inlineStr">
        <is>
          <t>VANSBRO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44930</v>
      </c>
      <c r="E396" s="1" t="n">
        <v>46270</v>
      </c>
      <c r="F396" t="inlineStr">
        <is>
          <t>DALARNAS LÄN</t>
        </is>
      </c>
      <c r="G396" t="inlineStr">
        <is>
          <t>VANSBRO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32393-2026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46238</v>
      </c>
      <c r="E397" s="1" t="n">
        <v>46270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29.6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56986-2023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45244</v>
      </c>
      <c r="E398" s="1" t="n">
        <v>46270</v>
      </c>
      <c r="F398" t="inlineStr">
        <is>
          <t>DALARNAS LÄN</t>
        </is>
      </c>
      <c r="G398" t="inlineStr">
        <is>
          <t>VANSBRO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28069-2026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46195</v>
      </c>
      <c r="E399" s="1" t="n">
        <v>46270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57903-2024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45631</v>
      </c>
      <c r="E400" s="1" t="n">
        <v>46270</v>
      </c>
      <c r="F400" t="inlineStr">
        <is>
          <t>DALARNAS LÄN</t>
        </is>
      </c>
      <c r="G400" t="inlineStr">
        <is>
          <t>VANSBRO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45735</v>
      </c>
      <c r="E401" s="1" t="n">
        <v>46270</v>
      </c>
      <c r="F401" t="inlineStr">
        <is>
          <t>DALARNAS LÄN</t>
        </is>
      </c>
      <c r="G401" t="inlineStr">
        <is>
          <t>VANSBRO</t>
        </is>
      </c>
      <c r="H401" t="inlineStr">
        <is>
          <t>Kommuner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46197</v>
      </c>
      <c r="E402" s="1" t="n">
        <v>46270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44960</v>
      </c>
      <c r="E403" s="1" t="n">
        <v>46270</v>
      </c>
      <c r="F403" t="inlineStr">
        <is>
          <t>DALARNAS LÄN</t>
        </is>
      </c>
      <c r="G403" t="inlineStr">
        <is>
          <t>VANSBRO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29035-2026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46270</v>
      </c>
      <c r="F404" t="inlineStr">
        <is>
          <t>DALARNAS LÄN</t>
        </is>
      </c>
      <c r="G404" t="inlineStr">
        <is>
          <t>VANSBRO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45247</v>
      </c>
      <c r="E405" s="1" t="n">
        <v>46270</v>
      </c>
      <c r="F405" t="inlineStr">
        <is>
          <t>DALARNAS LÄN</t>
        </is>
      </c>
      <c r="G405" t="inlineStr">
        <is>
          <t>VANSBRO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44931</v>
      </c>
      <c r="E406" s="1" t="n">
        <v>46270</v>
      </c>
      <c r="F406" t="inlineStr">
        <is>
          <t>DALARNAS LÄN</t>
        </is>
      </c>
      <c r="G406" t="inlineStr">
        <is>
          <t>VANSBRO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29174-2026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46202</v>
      </c>
      <c r="E407" s="1" t="n">
        <v>46270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29621-2026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46270</v>
      </c>
      <c r="F408" t="inlineStr">
        <is>
          <t>DALARNAS LÄN</t>
        </is>
      </c>
      <c r="G408" t="inlineStr">
        <is>
          <t>VANSBRO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46270</v>
      </c>
      <c r="F409" t="inlineStr">
        <is>
          <t>DALARNAS LÄN</t>
        </is>
      </c>
      <c r="G409" t="inlineStr">
        <is>
          <t>VANSBRO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47790-2024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45588</v>
      </c>
      <c r="E410" s="1" t="n">
        <v>46270</v>
      </c>
      <c r="F410" t="inlineStr">
        <is>
          <t>DALARNAS LÄN</t>
        </is>
      </c>
      <c r="G410" t="inlineStr">
        <is>
          <t>VANSBRO</t>
        </is>
      </c>
      <c r="H410" t="inlineStr">
        <is>
          <t>Övriga statliga verk och myndigheter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18658-2025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45763</v>
      </c>
      <c r="E411" s="1" t="n">
        <v>46270</v>
      </c>
      <c r="F411" t="inlineStr">
        <is>
          <t>DALARNAS LÄN</t>
        </is>
      </c>
      <c r="G411" t="inlineStr">
        <is>
          <t>VANSBRO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40382-2023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46270</v>
      </c>
      <c r="F412" t="inlineStr">
        <is>
          <t>DALARNAS LÄN</t>
        </is>
      </c>
      <c r="G412" t="inlineStr">
        <is>
          <t>VANSBRO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29687-2026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46270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46203</v>
      </c>
      <c r="E414" s="1" t="n">
        <v>46270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29439-2026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46203</v>
      </c>
      <c r="E415" s="1" t="n">
        <v>46270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öst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46270</v>
      </c>
      <c r="F416" t="inlineStr">
        <is>
          <t>DALARNAS LÄN</t>
        </is>
      </c>
      <c r="G416" t="inlineStr">
        <is>
          <t>VANSBRO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45491</v>
      </c>
      <c r="E417" s="1" t="n">
        <v>46270</v>
      </c>
      <c r="F417" t="inlineStr">
        <is>
          <t>DALARNAS LÄN</t>
        </is>
      </c>
      <c r="G417" t="inlineStr">
        <is>
          <t>VANSBRO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2147-2025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45672</v>
      </c>
      <c r="E418" s="1" t="n">
        <v>46270</v>
      </c>
      <c r="F418" t="inlineStr">
        <is>
          <t>DALARNAS LÄN</t>
        </is>
      </c>
      <c r="G418" t="inlineStr">
        <is>
          <t>VANSBRO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18306-2025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45762</v>
      </c>
      <c r="E419" s="1" t="n">
        <v>46270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46270</v>
      </c>
      <c r="F420" t="inlineStr">
        <is>
          <t>DALARNAS LÄN</t>
        </is>
      </c>
      <c r="G420" t="inlineStr">
        <is>
          <t>VANSBRO</t>
        </is>
      </c>
      <c r="I420" t="n">
        <v>15.5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45700</v>
      </c>
      <c r="E421" s="1" t="n">
        <v>46270</v>
      </c>
      <c r="F421" t="inlineStr">
        <is>
          <t>DALARNAS LÄN</t>
        </is>
      </c>
      <c r="G421" t="inlineStr">
        <is>
          <t>VANSBRO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33944-2026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46252</v>
      </c>
      <c r="E422" s="1" t="n">
        <v>46270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18304-2025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45762</v>
      </c>
      <c r="E423" s="1" t="n">
        <v>46270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33953-2026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46252</v>
      </c>
      <c r="E424" s="1" t="n">
        <v>46270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33949-2026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46252</v>
      </c>
      <c r="E425" s="1" t="n">
        <v>46270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61515-2022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44916</v>
      </c>
      <c r="E426" s="1" t="n">
        <v>46270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46253</v>
      </c>
      <c r="E427" s="1" t="n">
        <v>46270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12.1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46253</v>
      </c>
      <c r="E428" s="1" t="n">
        <v>46270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34211-2026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46253</v>
      </c>
      <c r="E429" s="1" t="n">
        <v>46270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13.3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46253</v>
      </c>
      <c r="E430" s="1" t="n">
        <v>46270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46270</v>
      </c>
      <c r="F431" t="inlineStr">
        <is>
          <t>DALARNAS LÄN</t>
        </is>
      </c>
      <c r="G431" t="inlineStr">
        <is>
          <t>VANSBRO</t>
        </is>
      </c>
      <c r="H431" t="inlineStr">
        <is>
          <t>Övriga statliga verk och myndigheter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46253</v>
      </c>
      <c r="E432" s="1" t="n">
        <v>46270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17.3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34216-2026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46253</v>
      </c>
      <c r="E433" s="1" t="n">
        <v>46270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18.9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46270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50125-2023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45215</v>
      </c>
      <c r="E435" s="1" t="n">
        <v>46270</v>
      </c>
      <c r="F435" t="inlineStr">
        <is>
          <t>DALARNAS LÄN</t>
        </is>
      </c>
      <c r="G435" t="inlineStr">
        <is>
          <t>VANSBRO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45215</v>
      </c>
      <c r="E436" s="1" t="n">
        <v>46270</v>
      </c>
      <c r="F436" t="inlineStr">
        <is>
          <t>DALARNAS LÄN</t>
        </is>
      </c>
      <c r="G436" t="inlineStr">
        <is>
          <t>VANSBRO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30784-2026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46212</v>
      </c>
      <c r="E437" s="1" t="n">
        <v>46270</v>
      </c>
      <c r="F437" t="inlineStr">
        <is>
          <t>DALARNAS LÄN</t>
        </is>
      </c>
      <c r="G437" t="inlineStr">
        <is>
          <t>VANSBRO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45783</v>
      </c>
      <c r="E438" s="1" t="n">
        <v>46270</v>
      </c>
      <c r="F438" t="inlineStr">
        <is>
          <t>DALARNAS LÄN</t>
        </is>
      </c>
      <c r="G438" t="inlineStr">
        <is>
          <t>VANSBRO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45674</v>
      </c>
      <c r="E439" s="1" t="n">
        <v>46270</v>
      </c>
      <c r="F439" t="inlineStr">
        <is>
          <t>DALARNAS LÄN</t>
        </is>
      </c>
      <c r="G439" t="inlineStr">
        <is>
          <t>VANSBRO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46254</v>
      </c>
      <c r="E440" s="1" t="n">
        <v>46270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46212</v>
      </c>
      <c r="E441" s="1" t="n">
        <v>46270</v>
      </c>
      <c r="F441" t="inlineStr">
        <is>
          <t>DALARNAS LÄN</t>
        </is>
      </c>
      <c r="G441" t="inlineStr">
        <is>
          <t>VANSBRO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21656-2025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45783</v>
      </c>
      <c r="E442" s="1" t="n">
        <v>46270</v>
      </c>
      <c r="F442" t="inlineStr">
        <is>
          <t>DALARNAS LÄN</t>
        </is>
      </c>
      <c r="G442" t="inlineStr">
        <is>
          <t>VANSBRO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34583-2026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46255</v>
      </c>
      <c r="E443" s="1" t="n">
        <v>46270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45483</v>
      </c>
      <c r="E444" s="1" t="n">
        <v>46270</v>
      </c>
      <c r="F444" t="inlineStr">
        <is>
          <t>DALARNAS LÄN</t>
        </is>
      </c>
      <c r="G444" t="inlineStr">
        <is>
          <t>VANSBRO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28872-2026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46270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45492</v>
      </c>
      <c r="E446" s="1" t="n">
        <v>46270</v>
      </c>
      <c r="F446" t="inlineStr">
        <is>
          <t>DALARNAS LÄN</t>
        </is>
      </c>
      <c r="G446" t="inlineStr">
        <is>
          <t>VANSBRO</t>
        </is>
      </c>
      <c r="I446" t="n">
        <v>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23085-2022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44719</v>
      </c>
      <c r="E447" s="1" t="n">
        <v>46270</v>
      </c>
      <c r="F447" t="inlineStr">
        <is>
          <t>DALARNAS LÄN</t>
        </is>
      </c>
      <c r="G447" t="inlineStr">
        <is>
          <t>VANSBRO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46270</v>
      </c>
      <c r="F448" t="inlineStr">
        <is>
          <t>DALARNAS LÄN</t>
        </is>
      </c>
      <c r="G448" t="inlineStr">
        <is>
          <t>VANSBRO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46270</v>
      </c>
      <c r="F449" t="inlineStr">
        <is>
          <t>DALARNAS LÄN</t>
        </is>
      </c>
      <c r="G449" t="inlineStr">
        <is>
          <t>VANSBRO</t>
        </is>
      </c>
      <c r="I449" t="n">
        <v>7.6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35042-2026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46259</v>
      </c>
      <c r="E450" s="1" t="n">
        <v>46270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öst AB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46259</v>
      </c>
      <c r="E451" s="1" t="n">
        <v>46270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öst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23792-2025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45793</v>
      </c>
      <c r="E452" s="1" t="n">
        <v>46270</v>
      </c>
      <c r="F452" t="inlineStr">
        <is>
          <t>DALARNAS LÄN</t>
        </is>
      </c>
      <c r="G452" t="inlineStr">
        <is>
          <t>VANSBRO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46270</v>
      </c>
      <c r="F453" t="inlineStr">
        <is>
          <t>DALARNAS LÄN</t>
        </is>
      </c>
      <c r="G453" t="inlineStr">
        <is>
          <t>VANSBRO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46270</v>
      </c>
      <c r="F454" t="inlineStr">
        <is>
          <t>DALARNAS LÄN</t>
        </is>
      </c>
      <c r="G454" t="inlineStr">
        <is>
          <t>VANSBRO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29411-2024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45483</v>
      </c>
      <c r="E455" s="1" t="n">
        <v>46270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35579-2026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46262</v>
      </c>
      <c r="E456" s="1" t="n">
        <v>46270</v>
      </c>
      <c r="F456" t="inlineStr">
        <is>
          <t>DALARNAS LÄN</t>
        </is>
      </c>
      <c r="G456" t="inlineStr">
        <is>
          <t>VANSBRO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35516-2024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45531</v>
      </c>
      <c r="E457" s="1" t="n">
        <v>46270</v>
      </c>
      <c r="F457" t="inlineStr">
        <is>
          <t>DALARNAS LÄN</t>
        </is>
      </c>
      <c r="G457" t="inlineStr">
        <is>
          <t>VANSBRO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46265</v>
      </c>
      <c r="E458" s="1" t="n">
        <v>46270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35973-2026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46266</v>
      </c>
      <c r="E459" s="1" t="n">
        <v>46270</v>
      </c>
      <c r="F459" t="inlineStr">
        <is>
          <t>DALARNAS LÄN</t>
        </is>
      </c>
      <c r="G459" t="inlineStr">
        <is>
          <t>VANSBRO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46270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36375-2026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46268</v>
      </c>
      <c r="E461" s="1" t="n">
        <v>46270</v>
      </c>
      <c r="F461" t="inlineStr">
        <is>
          <t>DALARNAS LÄN</t>
        </is>
      </c>
      <c r="G461" t="inlineStr">
        <is>
          <t>VANSBRO</t>
        </is>
      </c>
      <c r="H461" t="inlineStr">
        <is>
          <t>Kyrkan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46268</v>
      </c>
      <c r="E462" s="1" t="n">
        <v>46270</v>
      </c>
      <c r="F462" t="inlineStr">
        <is>
          <t>DALARNAS LÄN</t>
        </is>
      </c>
      <c r="G462" t="inlineStr">
        <is>
          <t>VANSBRO</t>
        </is>
      </c>
      <c r="H462" t="inlineStr">
        <is>
          <t>Kyrkan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46268</v>
      </c>
      <c r="E463" s="1" t="n">
        <v>46270</v>
      </c>
      <c r="F463" t="inlineStr">
        <is>
          <t>DALARNAS LÄN</t>
        </is>
      </c>
      <c r="G463" t="inlineStr">
        <is>
          <t>VANSBRO</t>
        </is>
      </c>
      <c r="H463" t="inlineStr">
        <is>
          <t>Kyrkan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1286-2024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45401</v>
      </c>
      <c r="E464" s="1" t="n">
        <v>46270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220.8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4782-2022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44802</v>
      </c>
      <c r="E465" s="1" t="n">
        <v>46270</v>
      </c>
      <c r="F465" t="inlineStr">
        <is>
          <t>DALARNAS LÄN</t>
        </is>
      </c>
      <c r="G465" t="inlineStr">
        <is>
          <t>VANSBRO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3514-2023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45208</v>
      </c>
      <c r="E466" s="1" t="n">
        <v>46270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37.8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409-2025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45699</v>
      </c>
      <c r="E467" s="1" t="n">
        <v>46270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277.1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91-2026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46035</v>
      </c>
      <c r="E468" s="1" t="n">
        <v>46270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153.5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747-2026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46089</v>
      </c>
      <c r="E469" s="1" t="n">
        <v>46270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öst AB</t>
        </is>
      </c>
      <c r="I469" t="n">
        <v>82.40000000000001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2026-09-05T02:09:55Z</dcterms:created>
  <dcterms:modified xmlns:dcterms="http://purl.org/dc/terms/" xmlns:xsi="http://www.w3.org/2001/XMLSchema-instance" xsi:type="dcterms:W3CDTF">2026-09-05T02:09:55Z</dcterms:modified>
</cp:coreProperties>
</file>