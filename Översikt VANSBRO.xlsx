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46316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46316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46316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46316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46316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46316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46316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46316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46316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46316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46316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46316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46316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46316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46316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46316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46316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46316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46316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46316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46316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46316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46316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46316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46316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46316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46316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46316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46316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46316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46316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46316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46316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46316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13323-2025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46316</v>
      </c>
      <c r="F36" t="inlineStr">
        <is>
          <t>DALARNAS LÄN</t>
        </is>
      </c>
      <c r="G36" t="inlineStr">
        <is>
          <t>VANSBRO</t>
        </is>
      </c>
      <c r="I36" t="n">
        <v>2.1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Ullticka</t>
        </is>
      </c>
      <c r="W36">
        <f>HYPERLINK("https://klasma.github.io/Logging_2021/artfynd/A 13323-2025 artfynd.xlsx", "A 13323-2025")</f>
        <v/>
      </c>
      <c r="X36">
        <f>HYPERLINK("https://klasma.github.io/Logging_2021/kartor/A 13323-2025 karta.png", "A 13323-2025")</f>
        <v/>
      </c>
      <c r="Y36">
        <f>HYPERLINK("https://klasma.github.io/Logging_2021/kartor_geotiff/A 13323-2025 georefererad karta.tif", "A 13323-2025")</f>
        <v/>
      </c>
      <c r="Z36">
        <f>HYPERLINK("https://klasma.github.io/Logging_2021/knärot/A 13323-2025 karta knärot.png", "A 13323-2025")</f>
        <v/>
      </c>
      <c r="AA36">
        <f>HYPERLINK("https://klasma.github.io/Logging_2021/klagomål/A 13323-2025 FSC-klagomål.docx", "A 13323-2025")</f>
        <v/>
      </c>
      <c r="AB36">
        <f>HYPERLINK("https://klasma.github.io/Logging_2021/klagomålsmail/A 13323-2025 FSC-klagomål mail.docx", "A 13323-2025")</f>
        <v/>
      </c>
      <c r="AC36">
        <f>HYPERLINK("https://klasma.github.io/Logging_2021/tillsyn/A 13323-2025 tillsynsbegäran.docx", "A 13323-2025")</f>
        <v/>
      </c>
      <c r="AD36">
        <f>HYPERLINK("https://klasma.github.io/Logging_2021/tillsynsmail/A 13323-2025 tillsynsbegäran mail.docx", "A 13323-2025")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46316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46316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46316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14475-2024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46316</v>
      </c>
      <c r="F40" t="inlineStr">
        <is>
          <t>DALARNAS LÄN</t>
        </is>
      </c>
      <c r="G40" t="inlineStr">
        <is>
          <t>VANSBRO</t>
        </is>
      </c>
      <c r="I40" t="n">
        <v>20.4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3</v>
      </c>
      <c r="V40" s="2" t="inlineStr">
        <is>
          <t>Garnlav
Dropptaggsvamp</t>
        </is>
      </c>
      <c r="W40">
        <f>HYPERLINK("https://klasma.github.io/Logging_2021/artfynd/A 14475-2024 artfynd.xlsx", "A 14475-2024")</f>
        <v/>
      </c>
      <c r="X40">
        <f>HYPERLINK("https://klasma.github.io/Logging_2021/kartor/A 14475-2024 karta.png", "A 14475-2024")</f>
        <v/>
      </c>
      <c r="Y40">
        <f>HYPERLINK("https://klasma.github.io/Logging_2021/kartor_geotiff/A 14475-2024 georefererad karta.tif", "A 14475-2024")</f>
        <v/>
      </c>
      <c r="AA40">
        <f>HYPERLINK("https://klasma.github.io/Logging_2021/klagomål/A 14475-2024 FSC-klagomål.docx", "A 14475-2024")</f>
        <v/>
      </c>
      <c r="AB40">
        <f>HYPERLINK("https://klasma.github.io/Logging_2021/klagomålsmail/A 14475-2024 FSC-klagomål mail.docx", "A 14475-2024")</f>
        <v/>
      </c>
      <c r="AC40">
        <f>HYPERLINK("https://klasma.github.io/Logging_2021/tillsyn/A 14475-2024 tillsynsbegäran.docx", "A 14475-2024")</f>
        <v/>
      </c>
      <c r="AD40">
        <f>HYPERLINK("https://klasma.github.io/Logging_2021/tillsynsmail/A 14475-2024 tillsynsbegäran mail.docx", "A 14475-2024")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46316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46316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5659-2026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46316</v>
      </c>
      <c r="F43" t="inlineStr">
        <is>
          <t>DALARNAS LÄN</t>
        </is>
      </c>
      <c r="G43" t="inlineStr">
        <is>
          <t>VANSBRO</t>
        </is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rörsvepemossa</t>
        </is>
      </c>
      <c r="W43">
        <f>HYPERLINK("https://klasma.github.io/Logging_2021/artfynd/A 5659-2026 artfynd.xlsx", "A 5659-2026")</f>
        <v/>
      </c>
      <c r="X43">
        <f>HYPERLINK("https://klasma.github.io/Logging_2021/kartor/A 5659-2026 karta.png", "A 5659-2026")</f>
        <v/>
      </c>
      <c r="Y43">
        <f>HYPERLINK("https://klasma.github.io/Logging_2021/kartor_geotiff/A 5659-2026 georefererad karta.tif", "A 5659-2026")</f>
        <v/>
      </c>
      <c r="Z43">
        <f>HYPERLINK("https://klasma.github.io/Logging_2021/knärot/A 5659-2026 karta knärot.png", "A 5659-2026")</f>
        <v/>
      </c>
      <c r="AA43">
        <f>HYPERLINK("https://klasma.github.io/Logging_2021/klagomål/A 5659-2026 FSC-klagomål.docx", "A 5659-2026")</f>
        <v/>
      </c>
      <c r="AB43">
        <f>HYPERLINK("https://klasma.github.io/Logging_2021/klagomålsmail/A 5659-2026 FSC-klagomål mail.docx", "A 5659-2026")</f>
        <v/>
      </c>
      <c r="AC43">
        <f>HYPERLINK("https://klasma.github.io/Logging_2021/tillsyn/A 5659-2026 tillsynsbegäran.docx", "A 5659-2026")</f>
        <v/>
      </c>
      <c r="AD43">
        <f>HYPERLINK("https://klasma.github.io/Logging_2021/tillsynsmail/A 5659-2026 tillsynsbegäran mail.docx", "A 5659-2026")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46316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46316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46316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46316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46316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37219-2024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46316</v>
      </c>
      <c r="F49" t="inlineStr">
        <is>
          <t>DALARNAS LÄN</t>
        </is>
      </c>
      <c r="G49" t="inlineStr">
        <is>
          <t>VANSBRO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Tjäder</t>
        </is>
      </c>
      <c r="W49">
        <f>HYPERLINK("https://klasma.github.io/Logging_2021/artfynd/A 37219-2024 artfynd.xlsx", "A 37219-2024")</f>
        <v/>
      </c>
      <c r="X49">
        <f>HYPERLINK("https://klasma.github.io/Logging_2021/kartor/A 37219-2024 karta.png", "A 37219-2024")</f>
        <v/>
      </c>
      <c r="Y49">
        <f>HYPERLINK("https://klasma.github.io/Logging_2021/kartor_geotiff/A 37219-2024 georefererad karta.tif", "A 37219-2024")</f>
        <v/>
      </c>
      <c r="AA49">
        <f>HYPERLINK("https://klasma.github.io/Logging_2021/klagomål/A 37219-2024 FSC-klagomål.docx", "A 37219-2024")</f>
        <v/>
      </c>
      <c r="AB49">
        <f>HYPERLINK("https://klasma.github.io/Logging_2021/klagomålsmail/A 37219-2024 FSC-klagomål mail.docx", "A 37219-2024")</f>
        <v/>
      </c>
      <c r="AC49">
        <f>HYPERLINK("https://klasma.github.io/Logging_2021/tillsyn/A 37219-2024 tillsynsbegäran.docx", "A 37219-2024")</f>
        <v/>
      </c>
      <c r="AD49">
        <f>HYPERLINK("https://klasma.github.io/Logging_2021/tillsynsmail/A 37219-2024 tillsynsbegäran mail.docx", "A 37219-2024")</f>
        <v/>
      </c>
      <c r="AE49">
        <f>HYPERLINK("https://klasma.github.io/Logging_2021/fåglar/A 37219-2024 prioriterade fågelarter.docx", "A 37219-2024")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46316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57810-2023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46316</v>
      </c>
      <c r="F51" t="inlineStr">
        <is>
          <t>DALARNAS LÄN</t>
        </is>
      </c>
      <c r="G51" t="inlineStr">
        <is>
          <t>VANSBRO</t>
        </is>
      </c>
      <c r="I51" t="n">
        <v>0.6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Järnsparv</t>
        </is>
      </c>
      <c r="W51">
        <f>HYPERLINK("https://klasma.github.io/Logging_2021/artfynd/A 57810-2023 artfynd.xlsx", "A 57810-2023")</f>
        <v/>
      </c>
      <c r="X51">
        <f>HYPERLINK("https://klasma.github.io/Logging_2021/kartor/A 57810-2023 karta.png", "A 57810-2023")</f>
        <v/>
      </c>
      <c r="Y51">
        <f>HYPERLINK("https://klasma.github.io/Logging_2021/kartor_geotiff/A 57810-2023 georefererad karta.tif", "A 57810-2023")</f>
        <v/>
      </c>
      <c r="AA51">
        <f>HYPERLINK("https://klasma.github.io/Logging_2021/klagomål/A 57810-2023 FSC-klagomål.docx", "A 57810-2023")</f>
        <v/>
      </c>
      <c r="AB51">
        <f>HYPERLINK("https://klasma.github.io/Logging_2021/klagomålsmail/A 57810-2023 FSC-klagomål mail.docx", "A 57810-2023")</f>
        <v/>
      </c>
      <c r="AC51">
        <f>HYPERLINK("https://klasma.github.io/Logging_2021/tillsyn/A 57810-2023 tillsynsbegäran.docx", "A 57810-2023")</f>
        <v/>
      </c>
      <c r="AD51">
        <f>HYPERLINK("https://klasma.github.io/Logging_2021/tillsynsmail/A 57810-2023 tillsynsbegäran mail.docx", "A 57810-2023")</f>
        <v/>
      </c>
      <c r="AE51">
        <f>HYPERLINK("https://klasma.github.io/Logging_2021/fåglar/A 57810-2023 prioriterade fågelarter.docx", "A 57810-2023")</f>
        <v/>
      </c>
    </row>
    <row r="52" ht="15" customHeight="1">
      <c r="A52" t="inlineStr">
        <is>
          <t>A 35533-2026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46316</v>
      </c>
      <c r="F52" t="inlineStr">
        <is>
          <t>DALARNAS LÄN</t>
        </is>
      </c>
      <c r="G52" t="inlineStr">
        <is>
          <t>VANSBRO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HYPERLINK("https://klasma.github.io/Logging_2021/artfynd/A 35533-2026 artfynd.xlsx", "A 35533-2026")</f>
        <v/>
      </c>
      <c r="X52">
        <f>HYPERLINK("https://klasma.github.io/Logging_2021/kartor/A 35533-2026 karta.png", "A 35533-2026")</f>
        <v/>
      </c>
      <c r="Y52">
        <f>HYPERLINK("https://klasma.github.io/Logging_2021/kartor_geotiff/A 35533-2026 georefererad karta.tif", "A 35533-2026")</f>
        <v/>
      </c>
      <c r="Z52">
        <f>HYPERLINK("https://klasma.github.io/Logging_2021/knärot/A 35533-2026 karta knärot.png", "A 35533-2026")</f>
        <v/>
      </c>
      <c r="AA52">
        <f>HYPERLINK("https://klasma.github.io/Logging_2021/klagomål/A 35533-2026 FSC-klagomål.docx", "A 35533-2026")</f>
        <v/>
      </c>
      <c r="AB52">
        <f>HYPERLINK("https://klasma.github.io/Logging_2021/klagomålsmail/A 35533-2026 FSC-klagomål mail.docx", "A 35533-2026")</f>
        <v/>
      </c>
      <c r="AC52">
        <f>HYPERLINK("https://klasma.github.io/Logging_2021/tillsyn/A 35533-2026 tillsynsbegäran.docx", "A 35533-2026")</f>
        <v/>
      </c>
      <c r="AD52">
        <f>HYPERLINK("https://klasma.github.io/Logging_2021/tillsynsmail/A 35533-2026 tillsynsbegäran mail.docx", "A 35533-2026")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46316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46316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46316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46316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46316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46316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46316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46316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46316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46316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46316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46316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46316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46316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46316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46316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46316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46316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46316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46316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46316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46316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46316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46316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46316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46316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46316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46316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46316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46316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30889-2024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45498</v>
      </c>
      <c r="E83" s="1" t="n">
        <v>46316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35288-2024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46316</v>
      </c>
      <c r="F84" t="inlineStr">
        <is>
          <t>DALARNAS LÄN</t>
        </is>
      </c>
      <c r="G84" t="inlineStr">
        <is>
          <t>VANSBRO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4680-2023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44957</v>
      </c>
      <c r="E85" s="1" t="n">
        <v>46316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46316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55078-2022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46316</v>
      </c>
      <c r="F87" t="inlineStr">
        <is>
          <t>DALARNAS LÄN</t>
        </is>
      </c>
      <c r="G87" t="inlineStr">
        <is>
          <t>VANSBRO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46316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46316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11408-2025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45726</v>
      </c>
      <c r="E90" s="1" t="n">
        <v>46316</v>
      </c>
      <c r="F90" t="inlineStr">
        <is>
          <t>DALARNAS LÄN</t>
        </is>
      </c>
      <c r="G90" t="inlineStr">
        <is>
          <t>VANSBRO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46316</v>
      </c>
      <c r="F91" t="inlineStr">
        <is>
          <t>DALARNAS LÄN</t>
        </is>
      </c>
      <c r="G91" t="inlineStr">
        <is>
          <t>VANSBRO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46316</v>
      </c>
      <c r="F92" t="inlineStr">
        <is>
          <t>DALARNAS LÄN</t>
        </is>
      </c>
      <c r="G92" t="inlineStr">
        <is>
          <t>VANSBRO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46316</v>
      </c>
      <c r="F93" t="inlineStr">
        <is>
          <t>DALARNAS LÄN</t>
        </is>
      </c>
      <c r="G93" t="inlineStr">
        <is>
          <t>VANSBRO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46316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46316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46316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46316</v>
      </c>
      <c r="F97" t="inlineStr">
        <is>
          <t>DALARNAS LÄN</t>
        </is>
      </c>
      <c r="G97" t="inlineStr">
        <is>
          <t>VANSBRO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46316</v>
      </c>
      <c r="F98" t="inlineStr">
        <is>
          <t>DALARNAS LÄN</t>
        </is>
      </c>
      <c r="G98" t="inlineStr">
        <is>
          <t>VANSBRO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45793</v>
      </c>
      <c r="E99" s="1" t="n">
        <v>46316</v>
      </c>
      <c r="F99" t="inlineStr">
        <is>
          <t>DALARNAS LÄN</t>
        </is>
      </c>
      <c r="G99" t="inlineStr">
        <is>
          <t>VANSBRO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46316</v>
      </c>
      <c r="F100" t="inlineStr">
        <is>
          <t>DALARNAS LÄN</t>
        </is>
      </c>
      <c r="G100" t="inlineStr">
        <is>
          <t>VANSBRO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46316</v>
      </c>
      <c r="F101" t="inlineStr">
        <is>
          <t>DALARNAS LÄN</t>
        </is>
      </c>
      <c r="G101" t="inlineStr">
        <is>
          <t>VANSBRO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29411-2024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45483</v>
      </c>
      <c r="E102" s="1" t="n">
        <v>46316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35516-2024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46316</v>
      </c>
      <c r="F103" t="inlineStr">
        <is>
          <t>DALARNAS LÄN</t>
        </is>
      </c>
      <c r="G103" t="inlineStr">
        <is>
          <t>VANSBRO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46316</v>
      </c>
      <c r="F104" t="inlineStr">
        <is>
          <t>DALARNAS LÄN</t>
        </is>
      </c>
      <c r="G104" t="inlineStr">
        <is>
          <t>VANSBRO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38670-2025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45884</v>
      </c>
      <c r="E105" s="1" t="n">
        <v>46316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45689</v>
      </c>
      <c r="E106" s="1" t="n">
        <v>46316</v>
      </c>
      <c r="F106" t="inlineStr">
        <is>
          <t>DALARNAS LÄN</t>
        </is>
      </c>
      <c r="G106" t="inlineStr">
        <is>
          <t>VANSBRO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46316</v>
      </c>
      <c r="F107" t="inlineStr">
        <is>
          <t>DALARNAS LÄN</t>
        </is>
      </c>
      <c r="G107" t="inlineStr">
        <is>
          <t>VANSBRO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46316</v>
      </c>
      <c r="F108" t="inlineStr">
        <is>
          <t>DALARNAS LÄN</t>
        </is>
      </c>
      <c r="G108" t="inlineStr">
        <is>
          <t>VANSBRO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46316</v>
      </c>
      <c r="F109" t="inlineStr">
        <is>
          <t>DALARNAS LÄN</t>
        </is>
      </c>
      <c r="G109" t="inlineStr">
        <is>
          <t>VANSBRO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46316</v>
      </c>
      <c r="F110" t="inlineStr">
        <is>
          <t>DALARNAS LÄN</t>
        </is>
      </c>
      <c r="G110" t="inlineStr">
        <is>
          <t>VANSBRO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46316</v>
      </c>
      <c r="F111" t="inlineStr">
        <is>
          <t>DALARNAS LÄN</t>
        </is>
      </c>
      <c r="G111" t="inlineStr">
        <is>
          <t>VANSBRO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46316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46316</v>
      </c>
      <c r="F113" t="inlineStr">
        <is>
          <t>DALARNAS LÄN</t>
        </is>
      </c>
      <c r="G113" t="inlineStr">
        <is>
          <t>VANSBRO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46316</v>
      </c>
      <c r="F114" t="inlineStr">
        <is>
          <t>DALARNAS LÄN</t>
        </is>
      </c>
      <c r="G114" t="inlineStr">
        <is>
          <t>VANSBRO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46316</v>
      </c>
      <c r="F115" t="inlineStr">
        <is>
          <t>DALARNAS LÄN</t>
        </is>
      </c>
      <c r="G115" t="inlineStr">
        <is>
          <t>VANSBRO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46316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45695</v>
      </c>
      <c r="E117" s="1" t="n">
        <v>46316</v>
      </c>
      <c r="F117" t="inlineStr">
        <is>
          <t>DALARNAS LÄN</t>
        </is>
      </c>
      <c r="G117" t="inlineStr">
        <is>
          <t>VANSBRO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46316</v>
      </c>
      <c r="F118" t="inlineStr">
        <is>
          <t>DALARNAS LÄN</t>
        </is>
      </c>
      <c r="G118" t="inlineStr">
        <is>
          <t>VANSBRO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46316</v>
      </c>
      <c r="F119" t="inlineStr">
        <is>
          <t>DALARNAS LÄN</t>
        </is>
      </c>
      <c r="G119" t="inlineStr">
        <is>
          <t>VANSBRO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46316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46316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46033</v>
      </c>
      <c r="E122" s="1" t="n">
        <v>46316</v>
      </c>
      <c r="F122" t="inlineStr">
        <is>
          <t>DALARNAS LÄN</t>
        </is>
      </c>
      <c r="G122" t="inlineStr">
        <is>
          <t>VANSBRO</t>
        </is>
      </c>
      <c r="I122" t="n">
        <v>9.9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46316</v>
      </c>
      <c r="F123" t="inlineStr">
        <is>
          <t>DALARNAS LÄN</t>
        </is>
      </c>
      <c r="G123" t="inlineStr">
        <is>
          <t>VANSBRO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46316</v>
      </c>
      <c r="F124" t="inlineStr">
        <is>
          <t>DALARNAS LÄN</t>
        </is>
      </c>
      <c r="G124" t="inlineStr">
        <is>
          <t>VANSBRO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46316</v>
      </c>
      <c r="F125" t="inlineStr">
        <is>
          <t>DALARNAS LÄN</t>
        </is>
      </c>
      <c r="G125" t="inlineStr">
        <is>
          <t>VANSBRO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46316</v>
      </c>
      <c r="F126" t="inlineStr">
        <is>
          <t>DALARNAS LÄN</t>
        </is>
      </c>
      <c r="G126" t="inlineStr">
        <is>
          <t>VANSBRO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46316</v>
      </c>
      <c r="F127" t="inlineStr">
        <is>
          <t>DALARNAS LÄN</t>
        </is>
      </c>
      <c r="G127" t="inlineStr">
        <is>
          <t>VANSBRO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46316</v>
      </c>
      <c r="F128" t="inlineStr">
        <is>
          <t>DALARNAS LÄN</t>
        </is>
      </c>
      <c r="G128" t="inlineStr">
        <is>
          <t>VANSBRO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12016-2024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46316</v>
      </c>
      <c r="F129" t="inlineStr">
        <is>
          <t>DALARNAS LÄN</t>
        </is>
      </c>
      <c r="G129" t="inlineStr">
        <is>
          <t>VANSBRO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46316</v>
      </c>
      <c r="F130" t="inlineStr">
        <is>
          <t>DALARNAS LÄN</t>
        </is>
      </c>
      <c r="G130" t="inlineStr">
        <is>
          <t>VANSBRO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46316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45689</v>
      </c>
      <c r="E132" s="1" t="n">
        <v>46316</v>
      </c>
      <c r="F132" t="inlineStr">
        <is>
          <t>DALARNAS LÄN</t>
        </is>
      </c>
      <c r="G132" t="inlineStr">
        <is>
          <t>VANSBRO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46049</v>
      </c>
      <c r="E133" s="1" t="n">
        <v>46316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46316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46316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35299-2024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45530</v>
      </c>
      <c r="E136" s="1" t="n">
        <v>46316</v>
      </c>
      <c r="F136" t="inlineStr">
        <is>
          <t>DALARNAS LÄN</t>
        </is>
      </c>
      <c r="G136" t="inlineStr">
        <is>
          <t>VANSBRO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46316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46050</v>
      </c>
      <c r="E138" s="1" t="n">
        <v>46316</v>
      </c>
      <c r="F138" t="inlineStr">
        <is>
          <t>DALARNAS LÄN</t>
        </is>
      </c>
      <c r="G138" t="inlineStr">
        <is>
          <t>VANSBRO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46052</v>
      </c>
      <c r="E139" s="1" t="n">
        <v>46316</v>
      </c>
      <c r="F139" t="inlineStr">
        <is>
          <t>DALARNAS LÄN</t>
        </is>
      </c>
      <c r="G139" t="inlineStr">
        <is>
          <t>VANSBRO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44925</v>
      </c>
      <c r="E140" s="1" t="n">
        <v>46316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46316</v>
      </c>
      <c r="F141" t="inlineStr">
        <is>
          <t>DALARNAS LÄN</t>
        </is>
      </c>
      <c r="G141" t="inlineStr">
        <is>
          <t>VANSBRO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46316</v>
      </c>
      <c r="F142" t="inlineStr">
        <is>
          <t>DALARNAS LÄN</t>
        </is>
      </c>
      <c r="G142" t="inlineStr">
        <is>
          <t>VANSBRO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46316</v>
      </c>
      <c r="F143" t="inlineStr">
        <is>
          <t>DALARNAS LÄN</t>
        </is>
      </c>
      <c r="G143" t="inlineStr">
        <is>
          <t>VANSBRO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46316</v>
      </c>
      <c r="F144" t="inlineStr">
        <is>
          <t>DALARNAS LÄN</t>
        </is>
      </c>
      <c r="G144" t="inlineStr">
        <is>
          <t>VANSBRO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46316</v>
      </c>
      <c r="F145" t="inlineStr">
        <is>
          <t>DALARNAS LÄN</t>
        </is>
      </c>
      <c r="G145" t="inlineStr">
        <is>
          <t>VANSBRO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46316</v>
      </c>
      <c r="F146" t="inlineStr">
        <is>
          <t>DALARNAS LÄN</t>
        </is>
      </c>
      <c r="G146" t="inlineStr">
        <is>
          <t>VANSBRO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49565-2022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44862</v>
      </c>
      <c r="E147" s="1" t="n">
        <v>46316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46316</v>
      </c>
      <c r="F148" t="inlineStr">
        <is>
          <t>DALARNAS LÄN</t>
        </is>
      </c>
      <c r="G148" t="inlineStr">
        <is>
          <t>VANSBRO</t>
        </is>
      </c>
      <c r="I148" t="n">
        <v>15.1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1140-2025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45666</v>
      </c>
      <c r="E149" s="1" t="n">
        <v>46316</v>
      </c>
      <c r="F149" t="inlineStr">
        <is>
          <t>DALARNAS LÄN</t>
        </is>
      </c>
      <c r="G149" t="inlineStr">
        <is>
          <t>VANSBRO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46316</v>
      </c>
      <c r="F150" t="inlineStr">
        <is>
          <t>DALARNAS LÄN</t>
        </is>
      </c>
      <c r="G150" t="inlineStr">
        <is>
          <t>VANSBRO</t>
        </is>
      </c>
      <c r="I150" t="n">
        <v>19.1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46316</v>
      </c>
      <c r="F151" t="inlineStr">
        <is>
          <t>DALARNAS LÄN</t>
        </is>
      </c>
      <c r="G151" t="inlineStr">
        <is>
          <t>VANSBRO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46316</v>
      </c>
      <c r="F152" t="inlineStr">
        <is>
          <t>DALARNAS LÄN</t>
        </is>
      </c>
      <c r="G152" t="inlineStr">
        <is>
          <t>VANSBRO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46316</v>
      </c>
      <c r="F153" t="inlineStr">
        <is>
          <t>DALARNAS LÄN</t>
        </is>
      </c>
      <c r="G153" t="inlineStr">
        <is>
          <t>VANSBRO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46316</v>
      </c>
      <c r="F154" t="inlineStr">
        <is>
          <t>DALARNAS LÄN</t>
        </is>
      </c>
      <c r="G154" t="inlineStr">
        <is>
          <t>VANSBRO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46316</v>
      </c>
      <c r="F155" t="inlineStr">
        <is>
          <t>DALARNAS LÄN</t>
        </is>
      </c>
      <c r="G155" t="inlineStr">
        <is>
          <t>VANSBRO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46316</v>
      </c>
      <c r="F156" t="inlineStr">
        <is>
          <t>DALARNAS LÄN</t>
        </is>
      </c>
      <c r="G156" t="inlineStr">
        <is>
          <t>VANSBRO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45932</v>
      </c>
      <c r="E157" s="1" t="n">
        <v>46316</v>
      </c>
      <c r="F157" t="inlineStr">
        <is>
          <t>DALARNAS LÄN</t>
        </is>
      </c>
      <c r="G157" t="inlineStr">
        <is>
          <t>VANSBRO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46316</v>
      </c>
      <c r="F158" t="inlineStr">
        <is>
          <t>DALARNAS LÄN</t>
        </is>
      </c>
      <c r="G158" t="inlineStr">
        <is>
          <t>VANSBRO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46316</v>
      </c>
      <c r="F159" t="inlineStr">
        <is>
          <t>DALARNAS LÄN</t>
        </is>
      </c>
      <c r="G159" t="inlineStr">
        <is>
          <t>VANSBRO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46316</v>
      </c>
      <c r="F160" t="inlineStr">
        <is>
          <t>DALARNAS LÄN</t>
        </is>
      </c>
      <c r="G160" t="inlineStr">
        <is>
          <t>VANSBRO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48840-2025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45937</v>
      </c>
      <c r="E161" s="1" t="n">
        <v>46316</v>
      </c>
      <c r="F161" t="inlineStr">
        <is>
          <t>DALARNAS LÄN</t>
        </is>
      </c>
      <c r="G161" t="inlineStr">
        <is>
          <t>VANSBRO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46316</v>
      </c>
      <c r="F162" t="inlineStr">
        <is>
          <t>DALARNAS LÄN</t>
        </is>
      </c>
      <c r="G162" t="inlineStr">
        <is>
          <t>VANSBRO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46316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öst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46316</v>
      </c>
      <c r="F164" t="inlineStr">
        <is>
          <t>DALARNAS LÄN</t>
        </is>
      </c>
      <c r="G164" t="inlineStr">
        <is>
          <t>VANSBRO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46316</v>
      </c>
      <c r="F165" t="inlineStr">
        <is>
          <t>DALARNAS LÄN</t>
        </is>
      </c>
      <c r="G165" t="inlineStr">
        <is>
          <t>VANSBRO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46316</v>
      </c>
      <c r="F166" t="inlineStr">
        <is>
          <t>DALARNAS LÄN</t>
        </is>
      </c>
      <c r="G166" t="inlineStr">
        <is>
          <t>VANSBRO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46082</v>
      </c>
      <c r="E167" s="1" t="n">
        <v>46316</v>
      </c>
      <c r="F167" t="inlineStr">
        <is>
          <t>DALARNAS LÄN</t>
        </is>
      </c>
      <c r="G167" t="inlineStr">
        <is>
          <t>VANSBRO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46082</v>
      </c>
      <c r="E168" s="1" t="n">
        <v>46316</v>
      </c>
      <c r="F168" t="inlineStr">
        <is>
          <t>DALARNAS LÄN</t>
        </is>
      </c>
      <c r="G168" t="inlineStr">
        <is>
          <t>VANSBRO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46316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46316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46316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44728</v>
      </c>
      <c r="E172" s="1" t="n">
        <v>46316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öst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46316</v>
      </c>
      <c r="F173" t="inlineStr">
        <is>
          <t>DALARNAS LÄN</t>
        </is>
      </c>
      <c r="G173" t="inlineStr">
        <is>
          <t>VANSBRO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50687-2025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46316</v>
      </c>
      <c r="F174" t="inlineStr">
        <is>
          <t>DALARNAS LÄN</t>
        </is>
      </c>
      <c r="G174" t="inlineStr">
        <is>
          <t>VANSBRO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46316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46316</v>
      </c>
      <c r="F176" t="inlineStr">
        <is>
          <t>DALARNAS LÄN</t>
        </is>
      </c>
      <c r="G176" t="inlineStr">
        <is>
          <t>VANSBRO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46316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46094</v>
      </c>
      <c r="E178" s="1" t="n">
        <v>46316</v>
      </c>
      <c r="F178" t="inlineStr">
        <is>
          <t>DALARNAS LÄN</t>
        </is>
      </c>
      <c r="G178" t="inlineStr">
        <is>
          <t>VANSBRO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46316</v>
      </c>
      <c r="F179" t="inlineStr">
        <is>
          <t>DALARNAS LÄN</t>
        </is>
      </c>
      <c r="G179" t="inlineStr">
        <is>
          <t>VANSBRO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46316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51855-2025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46316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46316</v>
      </c>
      <c r="F182" t="inlineStr">
        <is>
          <t>DALARNAS LÄN</t>
        </is>
      </c>
      <c r="G182" t="inlineStr">
        <is>
          <t>VANSBRO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46316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45956</v>
      </c>
      <c r="E184" s="1" t="n">
        <v>46316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45183</v>
      </c>
      <c r="E185" s="1" t="n">
        <v>46316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46316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46316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12917-2026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46092</v>
      </c>
      <c r="E188" s="1" t="n">
        <v>46316</v>
      </c>
      <c r="F188" t="inlineStr">
        <is>
          <t>DALARNAS LÄN</t>
        </is>
      </c>
      <c r="G188" t="inlineStr">
        <is>
          <t>VANSBRO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46316</v>
      </c>
      <c r="F189" t="inlineStr">
        <is>
          <t>DALARNAS LÄN</t>
        </is>
      </c>
      <c r="G189" t="inlineStr">
        <is>
          <t>VANSBRO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46316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44820</v>
      </c>
      <c r="E191" s="1" t="n">
        <v>46316</v>
      </c>
      <c r="F191" t="inlineStr">
        <is>
          <t>DALARNAS LÄN</t>
        </is>
      </c>
      <c r="G191" t="inlineStr">
        <is>
          <t>VANSBRO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46316</v>
      </c>
      <c r="F192" t="inlineStr">
        <is>
          <t>DALARNAS LÄN</t>
        </is>
      </c>
      <c r="G192" t="inlineStr">
        <is>
          <t>VANSBRO</t>
        </is>
      </c>
      <c r="H192" t="inlineStr">
        <is>
          <t>Övriga statliga verk och myndigheter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46316</v>
      </c>
      <c r="F193" t="inlineStr">
        <is>
          <t>DALARNAS LÄN</t>
        </is>
      </c>
      <c r="G193" t="inlineStr">
        <is>
          <t>VANSBRO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46316</v>
      </c>
      <c r="F194" t="inlineStr">
        <is>
          <t>DALARNAS LÄN</t>
        </is>
      </c>
      <c r="G194" t="inlineStr">
        <is>
          <t>VANSBRO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46316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46316</v>
      </c>
      <c r="F196" t="inlineStr">
        <is>
          <t>DALARNAS LÄN</t>
        </is>
      </c>
      <c r="G196" t="inlineStr">
        <is>
          <t>VANSBRO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46316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46108</v>
      </c>
      <c r="E198" s="1" t="n">
        <v>46316</v>
      </c>
      <c r="F198" t="inlineStr">
        <is>
          <t>DALARNAS LÄN</t>
        </is>
      </c>
      <c r="G198" t="inlineStr">
        <is>
          <t>VANSBRO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46316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46316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46316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46316</v>
      </c>
      <c r="F202" t="inlineStr">
        <is>
          <t>DALARNAS LÄN</t>
        </is>
      </c>
      <c r="G202" t="inlineStr">
        <is>
          <t>VANSBRO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46316</v>
      </c>
      <c r="F203" t="inlineStr">
        <is>
          <t>DALARNAS LÄN</t>
        </is>
      </c>
      <c r="G203" t="inlineStr">
        <is>
          <t>VANSBRO</t>
        </is>
      </c>
      <c r="I203" t="n">
        <v>27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45833</v>
      </c>
      <c r="E204" s="1" t="n">
        <v>46316</v>
      </c>
      <c r="F204" t="inlineStr">
        <is>
          <t>DALARNAS LÄN</t>
        </is>
      </c>
      <c r="G204" t="inlineStr">
        <is>
          <t>VANSBRO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46114</v>
      </c>
      <c r="E205" s="1" t="n">
        <v>46316</v>
      </c>
      <c r="F205" t="inlineStr">
        <is>
          <t>DALARNAS LÄN</t>
        </is>
      </c>
      <c r="G205" t="inlineStr">
        <is>
          <t>VANSBRO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46316</v>
      </c>
      <c r="F206" t="inlineStr">
        <is>
          <t>DALARNAS LÄN</t>
        </is>
      </c>
      <c r="G206" t="inlineStr">
        <is>
          <t>VANSBRO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46316</v>
      </c>
      <c r="F207" t="inlineStr">
        <is>
          <t>DALARNAS LÄN</t>
        </is>
      </c>
      <c r="G207" t="inlineStr">
        <is>
          <t>VANSBRO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17321-2026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46316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32040-2025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45835</v>
      </c>
      <c r="E209" s="1" t="n">
        <v>46316</v>
      </c>
      <c r="F209" t="inlineStr">
        <is>
          <t>DALARNAS LÄN</t>
        </is>
      </c>
      <c r="G209" t="inlineStr">
        <is>
          <t>VANSBRO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46316</v>
      </c>
      <c r="F210" t="inlineStr">
        <is>
          <t>DALARNAS LÄN</t>
        </is>
      </c>
      <c r="G210" t="inlineStr">
        <is>
          <t>VANSBRO</t>
        </is>
      </c>
      <c r="H210" t="inlineStr">
        <is>
          <t>Övriga statliga verk och myndigheter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46316</v>
      </c>
      <c r="F211" t="inlineStr">
        <is>
          <t>DALARNAS LÄN</t>
        </is>
      </c>
      <c r="G211" t="inlineStr">
        <is>
          <t>VANSBRO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46120</v>
      </c>
      <c r="E212" s="1" t="n">
        <v>46316</v>
      </c>
      <c r="F212" t="inlineStr">
        <is>
          <t>DALARNAS LÄN</t>
        </is>
      </c>
      <c r="G212" t="inlineStr">
        <is>
          <t>VANSBRO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46316</v>
      </c>
      <c r="F213" t="inlineStr">
        <is>
          <t>DALARNAS LÄN</t>
        </is>
      </c>
      <c r="G213" t="inlineStr">
        <is>
          <t>VANSBRO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46316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46316</v>
      </c>
      <c r="F215" t="inlineStr">
        <is>
          <t>DALARNAS LÄN</t>
        </is>
      </c>
      <c r="G215" t="inlineStr">
        <is>
          <t>VANSBRO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46316</v>
      </c>
      <c r="F216" t="inlineStr">
        <is>
          <t>DALARNAS LÄN</t>
        </is>
      </c>
      <c r="G216" t="inlineStr">
        <is>
          <t>VANSBRO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46120</v>
      </c>
      <c r="E217" s="1" t="n">
        <v>46316</v>
      </c>
      <c r="F217" t="inlineStr">
        <is>
          <t>DALARNAS LÄN</t>
        </is>
      </c>
      <c r="G217" t="inlineStr">
        <is>
          <t>VANSBRO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46316</v>
      </c>
      <c r="F218" t="inlineStr">
        <is>
          <t>DALARNAS LÄN</t>
        </is>
      </c>
      <c r="G218" t="inlineStr">
        <is>
          <t>VANSBRO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46124</v>
      </c>
      <c r="E219" s="1" t="n">
        <v>46316</v>
      </c>
      <c r="F219" t="inlineStr">
        <is>
          <t>DALARNAS LÄN</t>
        </is>
      </c>
      <c r="G219" t="inlineStr">
        <is>
          <t>VANSBRO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46316</v>
      </c>
      <c r="F220" t="inlineStr">
        <is>
          <t>DALARNAS LÄN</t>
        </is>
      </c>
      <c r="G220" t="inlineStr">
        <is>
          <t>VANSBRO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18717-2026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46128</v>
      </c>
      <c r="E221" s="1" t="n">
        <v>46316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18709-2026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46128</v>
      </c>
      <c r="E222" s="1" t="n">
        <v>46316</v>
      </c>
      <c r="F222" t="inlineStr">
        <is>
          <t>DALARNAS LÄN</t>
        </is>
      </c>
      <c r="G222" t="inlineStr">
        <is>
          <t>VANSBRO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18580-2026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46127</v>
      </c>
      <c r="E223" s="1" t="n">
        <v>46316</v>
      </c>
      <c r="F223" t="inlineStr">
        <is>
          <t>DALARNAS LÄN</t>
        </is>
      </c>
      <c r="G223" t="inlineStr">
        <is>
          <t>VANSBRO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46316</v>
      </c>
      <c r="F224" t="inlineStr">
        <is>
          <t>DALARNAS LÄN</t>
        </is>
      </c>
      <c r="G224" t="inlineStr">
        <is>
          <t>VANSBRO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18588-2026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46316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46316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46316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46316</v>
      </c>
      <c r="F228" t="inlineStr">
        <is>
          <t>DALARNAS LÄN</t>
        </is>
      </c>
      <c r="G228" t="inlineStr">
        <is>
          <t>VANSBRO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46316</v>
      </c>
      <c r="F229" t="inlineStr">
        <is>
          <t>DALARNAS LÄN</t>
        </is>
      </c>
      <c r="G229" t="inlineStr">
        <is>
          <t>VANSBRO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45981</v>
      </c>
      <c r="E230" s="1" t="n">
        <v>46316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45840</v>
      </c>
      <c r="E231" s="1" t="n">
        <v>46316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öst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46316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46316</v>
      </c>
      <c r="F233" t="inlineStr">
        <is>
          <t>DALARNAS LÄN</t>
        </is>
      </c>
      <c r="G233" t="inlineStr">
        <is>
          <t>VANSBRO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46316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öst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44811</v>
      </c>
      <c r="E235" s="1" t="n">
        <v>46316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46316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46316</v>
      </c>
      <c r="F237" t="inlineStr">
        <is>
          <t>DALARNAS LÄN</t>
        </is>
      </c>
      <c r="G237" t="inlineStr">
        <is>
          <t>VANSBRO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45987</v>
      </c>
      <c r="E238" s="1" t="n">
        <v>46316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46316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45846</v>
      </c>
      <c r="E240" s="1" t="n">
        <v>46316</v>
      </c>
      <c r="F240" t="inlineStr">
        <is>
          <t>DALARNAS LÄN</t>
        </is>
      </c>
      <c r="G240" t="inlineStr">
        <is>
          <t>VANSBRO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46316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öst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45691</v>
      </c>
      <c r="E242" s="1" t="n">
        <v>46316</v>
      </c>
      <c r="F242" t="inlineStr">
        <is>
          <t>DALARNAS LÄN</t>
        </is>
      </c>
      <c r="G242" t="inlineStr">
        <is>
          <t>VANSBRO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44880</v>
      </c>
      <c r="E243" s="1" t="n">
        <v>46316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46316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46316</v>
      </c>
      <c r="F245" t="inlineStr">
        <is>
          <t>DALARNAS LÄN</t>
        </is>
      </c>
      <c r="G245" t="inlineStr">
        <is>
          <t>VANSBRO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46316</v>
      </c>
      <c r="F246" t="inlineStr">
        <is>
          <t>DALARNAS LÄN</t>
        </is>
      </c>
      <c r="G246" t="inlineStr">
        <is>
          <t>VANSBRO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45182</v>
      </c>
      <c r="E247" s="1" t="n">
        <v>46316</v>
      </c>
      <c r="F247" t="inlineStr">
        <is>
          <t>DALARNAS LÄN</t>
        </is>
      </c>
      <c r="G247" t="inlineStr">
        <is>
          <t>VANSBRO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45440</v>
      </c>
      <c r="E248" s="1" t="n">
        <v>46316</v>
      </c>
      <c r="F248" t="inlineStr">
        <is>
          <t>DALARNAS LÄN</t>
        </is>
      </c>
      <c r="G248" t="inlineStr">
        <is>
          <t>VANSBRO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45811</v>
      </c>
      <c r="E249" s="1" t="n">
        <v>46316</v>
      </c>
      <c r="F249" t="inlineStr">
        <is>
          <t>DALARNAS LÄN</t>
        </is>
      </c>
      <c r="G249" t="inlineStr">
        <is>
          <t>VANSBRO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46316</v>
      </c>
      <c r="F250" t="inlineStr">
        <is>
          <t>DALARNAS LÄN</t>
        </is>
      </c>
      <c r="G250" t="inlineStr">
        <is>
          <t>VANSBRO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46316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45854</v>
      </c>
      <c r="E252" s="1" t="n">
        <v>46316</v>
      </c>
      <c r="F252" t="inlineStr">
        <is>
          <t>DALARNAS LÄN</t>
        </is>
      </c>
      <c r="G252" t="inlineStr">
        <is>
          <t>VANSBRO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46316</v>
      </c>
      <c r="F253" t="inlineStr">
        <is>
          <t>DALARNAS LÄN</t>
        </is>
      </c>
      <c r="G253" t="inlineStr">
        <is>
          <t>VANSBRO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45689</v>
      </c>
      <c r="E254" s="1" t="n">
        <v>46316</v>
      </c>
      <c r="F254" t="inlineStr">
        <is>
          <t>DALARNAS LÄN</t>
        </is>
      </c>
      <c r="G254" t="inlineStr">
        <is>
          <t>VANSBRO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45776</v>
      </c>
      <c r="E255" s="1" t="n">
        <v>46316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45860</v>
      </c>
      <c r="E256" s="1" t="n">
        <v>46316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45806</v>
      </c>
      <c r="E257" s="1" t="n">
        <v>46316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46316</v>
      </c>
      <c r="F258" t="inlineStr">
        <is>
          <t>DALARNAS LÄN</t>
        </is>
      </c>
      <c r="G258" t="inlineStr">
        <is>
          <t>VANSBRO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35365-2022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46316</v>
      </c>
      <c r="F259" t="inlineStr">
        <is>
          <t>DALARNAS LÄN</t>
        </is>
      </c>
      <c r="G259" t="inlineStr">
        <is>
          <t>VANSBRO</t>
        </is>
      </c>
      <c r="H259" t="inlineStr">
        <is>
          <t>Kommuner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46316</v>
      </c>
      <c r="F260" t="inlineStr">
        <is>
          <t>DALARNAS LÄN</t>
        </is>
      </c>
      <c r="G260" t="inlineStr">
        <is>
          <t>VANSBRO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45214</v>
      </c>
      <c r="E261" s="1" t="n">
        <v>46316</v>
      </c>
      <c r="F261" t="inlineStr">
        <is>
          <t>DALARNAS LÄN</t>
        </is>
      </c>
      <c r="G261" t="inlineStr">
        <is>
          <t>VANSBRO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46316</v>
      </c>
      <c r="F262" t="inlineStr">
        <is>
          <t>DALARNAS LÄN</t>
        </is>
      </c>
      <c r="G262" t="inlineStr">
        <is>
          <t>VANSBRO</t>
        </is>
      </c>
      <c r="I262" t="n">
        <v>13.9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9145-2025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45714</v>
      </c>
      <c r="E263" s="1" t="n">
        <v>46316</v>
      </c>
      <c r="F263" t="inlineStr">
        <is>
          <t>DALARNAS LÄN</t>
        </is>
      </c>
      <c r="G263" t="inlineStr">
        <is>
          <t>VANSBRO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45868</v>
      </c>
      <c r="E264" s="1" t="n">
        <v>46316</v>
      </c>
      <c r="F264" t="inlineStr">
        <is>
          <t>DALARNAS LÄN</t>
        </is>
      </c>
      <c r="G264" t="inlineStr">
        <is>
          <t>VANSBRO</t>
        </is>
      </c>
      <c r="H264" t="inlineStr">
        <is>
          <t>Bergvik skog öst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44881</v>
      </c>
      <c r="E265" s="1" t="n">
        <v>46316</v>
      </c>
      <c r="F265" t="inlineStr">
        <is>
          <t>DALARNAS LÄN</t>
        </is>
      </c>
      <c r="G265" t="inlineStr">
        <is>
          <t>VANSBRO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50258-2024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46316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45.8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46316</v>
      </c>
      <c r="F267" t="inlineStr">
        <is>
          <t>DALARNAS LÄN</t>
        </is>
      </c>
      <c r="G267" t="inlineStr">
        <is>
          <t>VANSBRO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45533</v>
      </c>
      <c r="E268" s="1" t="n">
        <v>46316</v>
      </c>
      <c r="F268" t="inlineStr">
        <is>
          <t>DALARNAS LÄN</t>
        </is>
      </c>
      <c r="G268" t="inlineStr">
        <is>
          <t>VANSBRO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45665</v>
      </c>
      <c r="E269" s="1" t="n">
        <v>46316</v>
      </c>
      <c r="F269" t="inlineStr">
        <is>
          <t>DALARNAS LÄN</t>
        </is>
      </c>
      <c r="G269" t="inlineStr">
        <is>
          <t>VANSBRO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46316</v>
      </c>
      <c r="F270" t="inlineStr">
        <is>
          <t>DALARNAS LÄN</t>
        </is>
      </c>
      <c r="G270" t="inlineStr">
        <is>
          <t>VANSBRO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37285-2025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45876</v>
      </c>
      <c r="E271" s="1" t="n">
        <v>46316</v>
      </c>
      <c r="F271" t="inlineStr">
        <is>
          <t>DALARNAS LÄN</t>
        </is>
      </c>
      <c r="G271" t="inlineStr">
        <is>
          <t>VANSBRO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46316</v>
      </c>
      <c r="F272" t="inlineStr">
        <is>
          <t>DALARNAS LÄN</t>
        </is>
      </c>
      <c r="G272" t="inlineStr">
        <is>
          <t>VANSBRO</t>
        </is>
      </c>
      <c r="I272" t="n">
        <v>15.8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37287-2025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45876</v>
      </c>
      <c r="E273" s="1" t="n">
        <v>46316</v>
      </c>
      <c r="F273" t="inlineStr">
        <is>
          <t>DALARNAS LÄN</t>
        </is>
      </c>
      <c r="G273" t="inlineStr">
        <is>
          <t>VANSBRO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46316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46316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23432-2024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46316</v>
      </c>
      <c r="F276" t="inlineStr">
        <is>
          <t>DALARNAS LÄN</t>
        </is>
      </c>
      <c r="G276" t="inlineStr">
        <is>
          <t>VANSBRO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46316</v>
      </c>
      <c r="F277" t="inlineStr">
        <is>
          <t>DALARNAS LÄN</t>
        </is>
      </c>
      <c r="G277" t="inlineStr">
        <is>
          <t>VANSBRO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46316</v>
      </c>
      <c r="F278" t="inlineStr">
        <is>
          <t>DALARNAS LÄN</t>
        </is>
      </c>
      <c r="G278" t="inlineStr">
        <is>
          <t>VANSBRO</t>
        </is>
      </c>
      <c r="H278" t="inlineStr">
        <is>
          <t>Övriga statliga verk och myndigheter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46316</v>
      </c>
      <c r="F279" t="inlineStr">
        <is>
          <t>DALARNAS LÄN</t>
        </is>
      </c>
      <c r="G279" t="inlineStr">
        <is>
          <t>VANSBRO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46316</v>
      </c>
      <c r="F280" t="inlineStr">
        <is>
          <t>DALARNAS LÄN</t>
        </is>
      </c>
      <c r="G280" t="inlineStr">
        <is>
          <t>VANSBRO</t>
        </is>
      </c>
      <c r="H280" t="inlineStr">
        <is>
          <t>Övriga statliga verk och myndigheter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46316</v>
      </c>
      <c r="F281" t="inlineStr">
        <is>
          <t>DALARNAS LÄN</t>
        </is>
      </c>
      <c r="G281" t="inlineStr">
        <is>
          <t>VANSBRO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45772</v>
      </c>
      <c r="E282" s="1" t="n">
        <v>46316</v>
      </c>
      <c r="F282" t="inlineStr">
        <is>
          <t>DALARNAS LÄN</t>
        </is>
      </c>
      <c r="G282" t="inlineStr">
        <is>
          <t>VANSBRO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21744-2026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46316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46316</v>
      </c>
      <c r="F284" t="inlineStr">
        <is>
          <t>DALARNAS LÄN</t>
        </is>
      </c>
      <c r="G284" t="inlineStr">
        <is>
          <t>VANSBRO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46316</v>
      </c>
      <c r="F285" t="inlineStr">
        <is>
          <t>DALARNAS LÄN</t>
        </is>
      </c>
      <c r="G285" t="inlineStr">
        <is>
          <t>VANSBRO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8694-2023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44972</v>
      </c>
      <c r="E286" s="1" t="n">
        <v>46316</v>
      </c>
      <c r="F286" t="inlineStr">
        <is>
          <t>DALARNAS LÄN</t>
        </is>
      </c>
      <c r="G286" t="inlineStr">
        <is>
          <t>VANSBRO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46316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45772</v>
      </c>
      <c r="E288" s="1" t="n">
        <v>46316</v>
      </c>
      <c r="F288" t="inlineStr">
        <is>
          <t>DALARNAS LÄN</t>
        </is>
      </c>
      <c r="G288" t="inlineStr">
        <is>
          <t>VANSBRO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46316</v>
      </c>
      <c r="F289" t="inlineStr">
        <is>
          <t>DALARNAS LÄN</t>
        </is>
      </c>
      <c r="G289" t="inlineStr">
        <is>
          <t>VANSBRO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22379-2026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46154</v>
      </c>
      <c r="E290" s="1" t="n">
        <v>46316</v>
      </c>
      <c r="F290" t="inlineStr">
        <is>
          <t>DALARNAS LÄN</t>
        </is>
      </c>
      <c r="G290" t="inlineStr">
        <is>
          <t>VANSBRO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45890</v>
      </c>
      <c r="E291" s="1" t="n">
        <v>46316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45601</v>
      </c>
      <c r="E292" s="1" t="n">
        <v>46316</v>
      </c>
      <c r="F292" t="inlineStr">
        <is>
          <t>DALARNAS LÄN</t>
        </is>
      </c>
      <c r="G292" t="inlineStr">
        <is>
          <t>VANSBRO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46316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46316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45331</v>
      </c>
      <c r="E295" s="1" t="n">
        <v>46316</v>
      </c>
      <c r="F295" t="inlineStr">
        <is>
          <t>DALARNAS LÄN</t>
        </is>
      </c>
      <c r="G295" t="inlineStr">
        <is>
          <t>VANSBRO</t>
        </is>
      </c>
      <c r="I295" t="n">
        <v>11.4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8447-2022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44612</v>
      </c>
      <c r="E296" s="1" t="n">
        <v>46316</v>
      </c>
      <c r="F296" t="inlineStr">
        <is>
          <t>DALARNAS LÄN</t>
        </is>
      </c>
      <c r="G296" t="inlineStr">
        <is>
          <t>VANSBRO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45691</v>
      </c>
      <c r="E297" s="1" t="n">
        <v>46316</v>
      </c>
      <c r="F297" t="inlineStr">
        <is>
          <t>DALARNAS LÄN</t>
        </is>
      </c>
      <c r="G297" t="inlineStr">
        <is>
          <t>VANSBRO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46316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öst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46316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öst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45322</v>
      </c>
      <c r="E300" s="1" t="n">
        <v>46316</v>
      </c>
      <c r="F300" t="inlineStr">
        <is>
          <t>DALARNAS LÄN</t>
        </is>
      </c>
      <c r="G300" t="inlineStr">
        <is>
          <t>VANSBRO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45596</v>
      </c>
      <c r="E301" s="1" t="n">
        <v>46316</v>
      </c>
      <c r="F301" t="inlineStr">
        <is>
          <t>DALARNAS LÄN</t>
        </is>
      </c>
      <c r="G301" t="inlineStr">
        <is>
          <t>VANSBRO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45309</v>
      </c>
      <c r="E302" s="1" t="n">
        <v>46316</v>
      </c>
      <c r="F302" t="inlineStr">
        <is>
          <t>DALARNAS LÄN</t>
        </is>
      </c>
      <c r="G302" t="inlineStr">
        <is>
          <t>VANSBRO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25045-2026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46316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46316</v>
      </c>
      <c r="F304" t="inlineStr">
        <is>
          <t>DALARNAS LÄN</t>
        </is>
      </c>
      <c r="G304" t="inlineStr">
        <is>
          <t>VANSBRO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46316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44509</v>
      </c>
      <c r="E306" s="1" t="n">
        <v>46316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46316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45712</v>
      </c>
      <c r="E308" s="1" t="n">
        <v>46316</v>
      </c>
      <c r="F308" t="inlineStr">
        <is>
          <t>DALARNAS LÄN</t>
        </is>
      </c>
      <c r="G308" t="inlineStr">
        <is>
          <t>VANSBRO</t>
        </is>
      </c>
      <c r="I308" t="n">
        <v>13.8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51400-2024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45604</v>
      </c>
      <c r="E309" s="1" t="n">
        <v>46316</v>
      </c>
      <c r="F309" t="inlineStr">
        <is>
          <t>DALARNAS LÄN</t>
        </is>
      </c>
      <c r="G309" t="inlineStr">
        <is>
          <t>VANSBRO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46316</v>
      </c>
      <c r="F310" t="inlineStr">
        <is>
          <t>DALARNAS LÄN</t>
        </is>
      </c>
      <c r="G310" t="inlineStr">
        <is>
          <t>VANSBRO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45481</v>
      </c>
      <c r="E311" s="1" t="n">
        <v>46316</v>
      </c>
      <c r="F311" t="inlineStr">
        <is>
          <t>DALARNAS LÄN</t>
        </is>
      </c>
      <c r="G311" t="inlineStr">
        <is>
          <t>VANSBRO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46316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46316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46316</v>
      </c>
      <c r="F314" t="inlineStr">
        <is>
          <t>DALARNAS LÄN</t>
        </is>
      </c>
      <c r="G314" t="inlineStr">
        <is>
          <t>VANSBRO</t>
        </is>
      </c>
      <c r="H314" t="inlineStr">
        <is>
          <t>Övriga statliga verk och myndigheter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45457</v>
      </c>
      <c r="E315" s="1" t="n">
        <v>46316</v>
      </c>
      <c r="F315" t="inlineStr">
        <is>
          <t>DALARNAS LÄN</t>
        </is>
      </c>
      <c r="G315" t="inlineStr">
        <is>
          <t>VANSBRO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13062-2023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45002</v>
      </c>
      <c r="E316" s="1" t="n">
        <v>46316</v>
      </c>
      <c r="F316" t="inlineStr">
        <is>
          <t>DALARNAS LÄN</t>
        </is>
      </c>
      <c r="G316" t="inlineStr">
        <is>
          <t>VANSBRO</t>
        </is>
      </c>
      <c r="H316" t="inlineStr">
        <is>
          <t>Övriga statliga verk och myndigheter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46316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46316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46316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45614</v>
      </c>
      <c r="E320" s="1" t="n">
        <v>46316</v>
      </c>
      <c r="F320" t="inlineStr">
        <is>
          <t>DALARNAS LÄN</t>
        </is>
      </c>
      <c r="G320" t="inlineStr">
        <is>
          <t>VANSBRO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46316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46316</v>
      </c>
      <c r="F322" t="inlineStr">
        <is>
          <t>DALARNAS LÄN</t>
        </is>
      </c>
      <c r="G322" t="inlineStr">
        <is>
          <t>VANSBRO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26669-2026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46184</v>
      </c>
      <c r="E323" s="1" t="n">
        <v>46316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46316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46316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46316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45183</v>
      </c>
      <c r="E327" s="1" t="n">
        <v>46316</v>
      </c>
      <c r="F327" t="inlineStr">
        <is>
          <t>DALARNAS LÄN</t>
        </is>
      </c>
      <c r="G327" t="inlineStr">
        <is>
          <t>VANSBRO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45106</v>
      </c>
      <c r="E328" s="1" t="n">
        <v>46316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62398-2021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44503</v>
      </c>
      <c r="E329" s="1" t="n">
        <v>46316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22.1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46316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45315</v>
      </c>
      <c r="E331" s="1" t="n">
        <v>46316</v>
      </c>
      <c r="F331" t="inlineStr">
        <is>
          <t>DALARNAS LÄN</t>
        </is>
      </c>
      <c r="G331" t="inlineStr">
        <is>
          <t>VANSBRO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48111-2024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45589</v>
      </c>
      <c r="E332" s="1" t="n">
        <v>46316</v>
      </c>
      <c r="F332" t="inlineStr">
        <is>
          <t>DALARNAS LÄN</t>
        </is>
      </c>
      <c r="G332" t="inlineStr">
        <is>
          <t>VANSBRO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28466-2026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46197</v>
      </c>
      <c r="E333" s="1" t="n">
        <v>46316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46316</v>
      </c>
      <c r="F334" t="inlineStr">
        <is>
          <t>DALARNAS LÄN</t>
        </is>
      </c>
      <c r="G334" t="inlineStr">
        <is>
          <t>VANSBRO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44960</v>
      </c>
      <c r="E335" s="1" t="n">
        <v>46316</v>
      </c>
      <c r="F335" t="inlineStr">
        <is>
          <t>DALARNAS LÄN</t>
        </is>
      </c>
      <c r="G335" t="inlineStr">
        <is>
          <t>VANSBRO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29174-2026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46202</v>
      </c>
      <c r="E336" s="1" t="n">
        <v>46316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46204</v>
      </c>
      <c r="E337" s="1" t="n">
        <v>46316</v>
      </c>
      <c r="F337" t="inlineStr">
        <is>
          <t>DALARNAS LÄN</t>
        </is>
      </c>
      <c r="G337" t="inlineStr">
        <is>
          <t>VANSBRO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46316</v>
      </c>
      <c r="F338" t="inlineStr">
        <is>
          <t>DALARNAS LÄN</t>
        </is>
      </c>
      <c r="G338" t="inlineStr">
        <is>
          <t>VANSBRO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46316</v>
      </c>
      <c r="F339" t="inlineStr">
        <is>
          <t>DALARNAS LÄN</t>
        </is>
      </c>
      <c r="G339" t="inlineStr">
        <is>
          <t>VANSBRO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45085</v>
      </c>
      <c r="E340" s="1" t="n">
        <v>46316</v>
      </c>
      <c r="F340" t="inlineStr">
        <is>
          <t>DALARNAS LÄN</t>
        </is>
      </c>
      <c r="G340" t="inlineStr">
        <is>
          <t>VANSBRO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46204</v>
      </c>
      <c r="E341" s="1" t="n">
        <v>46316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46203</v>
      </c>
      <c r="E342" s="1" t="n">
        <v>46316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46316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46316</v>
      </c>
      <c r="F344" t="inlineStr">
        <is>
          <t>DALARNAS LÄN</t>
        </is>
      </c>
      <c r="G344" t="inlineStr">
        <is>
          <t>VANSBRO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46316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46316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46316</v>
      </c>
      <c r="F347" t="inlineStr">
        <is>
          <t>DALARNAS LÄN</t>
        </is>
      </c>
      <c r="G347" t="inlineStr">
        <is>
          <t>VANSBRO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46212</v>
      </c>
      <c r="E348" s="1" t="n">
        <v>46316</v>
      </c>
      <c r="F348" t="inlineStr">
        <is>
          <t>DALARNAS LÄN</t>
        </is>
      </c>
      <c r="G348" t="inlineStr">
        <is>
          <t>VANSBRO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46316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46316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72635-2021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44546</v>
      </c>
      <c r="E351" s="1" t="n">
        <v>46316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46316</v>
      </c>
      <c r="F352" t="inlineStr">
        <is>
          <t>DALARNAS LÄN</t>
        </is>
      </c>
      <c r="G352" t="inlineStr">
        <is>
          <t>VANSBRO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37433-2026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46275</v>
      </c>
      <c r="E353" s="1" t="n">
        <v>46316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46275</v>
      </c>
      <c r="E354" s="1" t="n">
        <v>46316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37467-2026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46275</v>
      </c>
      <c r="E355" s="1" t="n">
        <v>46316</v>
      </c>
      <c r="F355" t="inlineStr">
        <is>
          <t>DALARNAS LÄN</t>
        </is>
      </c>
      <c r="G355" t="inlineStr">
        <is>
          <t>VANSBRO</t>
        </is>
      </c>
      <c r="H355" t="inlineStr">
        <is>
          <t>Kommuner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43658-2023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45187</v>
      </c>
      <c r="E356" s="1" t="n">
        <v>46316</v>
      </c>
      <c r="F356" t="inlineStr">
        <is>
          <t>DALARNAS LÄN</t>
        </is>
      </c>
      <c r="G356" t="inlineStr">
        <is>
          <t>VANSBRO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37499-2026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46275</v>
      </c>
      <c r="E357" s="1" t="n">
        <v>46316</v>
      </c>
      <c r="F357" t="inlineStr">
        <is>
          <t>DALARNAS LÄN</t>
        </is>
      </c>
      <c r="G357" t="inlineStr">
        <is>
          <t>VANSBRO</t>
        </is>
      </c>
      <c r="H357" t="inlineStr">
        <is>
          <t>Kyrkan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37247-2026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46274</v>
      </c>
      <c r="E358" s="1" t="n">
        <v>46316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31867-2026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46231</v>
      </c>
      <c r="E359" s="1" t="n">
        <v>46316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20.2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46276</v>
      </c>
      <c r="E360" s="1" t="n">
        <v>46316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46276</v>
      </c>
      <c r="E361" s="1" t="n">
        <v>46316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38253-2026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46281</v>
      </c>
      <c r="E362" s="1" t="n">
        <v>46316</v>
      </c>
      <c r="F362" t="inlineStr">
        <is>
          <t>DALARNAS LÄN</t>
        </is>
      </c>
      <c r="G362" t="inlineStr">
        <is>
          <t>VANSBRO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46316</v>
      </c>
      <c r="F363" t="inlineStr">
        <is>
          <t>DALARNAS LÄN</t>
        </is>
      </c>
      <c r="G363" t="inlineStr">
        <is>
          <t>VANSBRO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46280</v>
      </c>
      <c r="E364" s="1" t="n">
        <v>46316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46280</v>
      </c>
      <c r="E365" s="1" t="n">
        <v>46316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46280</v>
      </c>
      <c r="E366" s="1" t="n">
        <v>46316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46280</v>
      </c>
      <c r="E367" s="1" t="n">
        <v>46316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46238</v>
      </c>
      <c r="E368" s="1" t="n">
        <v>46316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29.6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38270-2026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46281</v>
      </c>
      <c r="E369" s="1" t="n">
        <v>46316</v>
      </c>
      <c r="F369" t="inlineStr">
        <is>
          <t>DALARNAS LÄN</t>
        </is>
      </c>
      <c r="G369" t="inlineStr">
        <is>
          <t>VANSBRO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38248-2026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46281</v>
      </c>
      <c r="E370" s="1" t="n">
        <v>46316</v>
      </c>
      <c r="F370" t="inlineStr">
        <is>
          <t>DALARNAS LÄN</t>
        </is>
      </c>
      <c r="G370" t="inlineStr">
        <is>
          <t>VANSBRO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46281</v>
      </c>
      <c r="E371" s="1" t="n">
        <v>46316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45644</v>
      </c>
      <c r="E372" s="1" t="n">
        <v>46316</v>
      </c>
      <c r="F372" t="inlineStr">
        <is>
          <t>DALARNAS LÄN</t>
        </is>
      </c>
      <c r="G372" t="inlineStr">
        <is>
          <t>VANSBRO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38644-2026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46283</v>
      </c>
      <c r="E373" s="1" t="n">
        <v>46316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41290-2023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45174</v>
      </c>
      <c r="E374" s="1" t="n">
        <v>46316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44739</v>
      </c>
      <c r="E375" s="1" t="n">
        <v>46316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38627-2026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46283</v>
      </c>
      <c r="E376" s="1" t="n">
        <v>46316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10012-2024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45363</v>
      </c>
      <c r="E377" s="1" t="n">
        <v>46316</v>
      </c>
      <c r="F377" t="inlineStr">
        <is>
          <t>DALARNAS LÄN</t>
        </is>
      </c>
      <c r="G377" t="inlineStr">
        <is>
          <t>VANSBRO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51396-2022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44869</v>
      </c>
      <c r="E378" s="1" t="n">
        <v>46316</v>
      </c>
      <c r="F378" t="inlineStr">
        <is>
          <t>DALARNAS LÄN</t>
        </is>
      </c>
      <c r="G378" t="inlineStr">
        <is>
          <t>VANSBRO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46286</v>
      </c>
      <c r="E379" s="1" t="n">
        <v>46316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45749</v>
      </c>
      <c r="E380" s="1" t="n">
        <v>46316</v>
      </c>
      <c r="F380" t="inlineStr">
        <is>
          <t>DALARNAS LÄN</t>
        </is>
      </c>
      <c r="G380" t="inlineStr">
        <is>
          <t>VANSBRO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36855-2022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44805</v>
      </c>
      <c r="E381" s="1" t="n">
        <v>46316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45299</v>
      </c>
      <c r="E382" s="1" t="n">
        <v>46316</v>
      </c>
      <c r="F382" t="inlineStr">
        <is>
          <t>DALARNAS LÄN</t>
        </is>
      </c>
      <c r="G382" t="inlineStr">
        <is>
          <t>VANSBRO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45689</v>
      </c>
      <c r="E383" s="1" t="n">
        <v>46316</v>
      </c>
      <c r="F383" t="inlineStr">
        <is>
          <t>DALARNAS LÄN</t>
        </is>
      </c>
      <c r="G383" t="inlineStr">
        <is>
          <t>VANSBRO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45689</v>
      </c>
      <c r="E384" s="1" t="n">
        <v>46316</v>
      </c>
      <c r="F384" t="inlineStr">
        <is>
          <t>DALARNAS LÄN</t>
        </is>
      </c>
      <c r="G384" t="inlineStr">
        <is>
          <t>VANSBRO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45631</v>
      </c>
      <c r="E385" s="1" t="n">
        <v>46316</v>
      </c>
      <c r="F385" t="inlineStr">
        <is>
          <t>DALARNAS LÄN</t>
        </is>
      </c>
      <c r="G385" t="inlineStr">
        <is>
          <t>VANSBRO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46316</v>
      </c>
      <c r="F386" t="inlineStr">
        <is>
          <t>DALARNAS LÄN</t>
        </is>
      </c>
      <c r="G386" t="inlineStr">
        <is>
          <t>VANSBRO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44908</v>
      </c>
      <c r="E387" s="1" t="n">
        <v>46316</v>
      </c>
      <c r="F387" t="inlineStr">
        <is>
          <t>DALARNAS LÄN</t>
        </is>
      </c>
      <c r="G387" t="inlineStr">
        <is>
          <t>VANSBRO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46288</v>
      </c>
      <c r="E388" s="1" t="n">
        <v>46316</v>
      </c>
      <c r="F388" t="inlineStr">
        <is>
          <t>DALARNAS LÄN</t>
        </is>
      </c>
      <c r="G388" t="inlineStr">
        <is>
          <t>VANSBRO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46289</v>
      </c>
      <c r="E389" s="1" t="n">
        <v>46316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52572-2023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45225</v>
      </c>
      <c r="E390" s="1" t="n">
        <v>46316</v>
      </c>
      <c r="F390" t="inlineStr">
        <is>
          <t>DALARNAS LÄN</t>
        </is>
      </c>
      <c r="G390" t="inlineStr">
        <is>
          <t>VANSBRO</t>
        </is>
      </c>
      <c r="H390" t="inlineStr">
        <is>
          <t>Övriga statliga verk och myndigheter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46316</v>
      </c>
      <c r="F391" t="inlineStr">
        <is>
          <t>DALARNAS LÄN</t>
        </is>
      </c>
      <c r="G391" t="inlineStr">
        <is>
          <t>VANSBRO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46290</v>
      </c>
      <c r="E392" s="1" t="n">
        <v>46316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20931-2022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44701</v>
      </c>
      <c r="E393" s="1" t="n">
        <v>46316</v>
      </c>
      <c r="F393" t="inlineStr">
        <is>
          <t>DALARNAS LÄN</t>
        </is>
      </c>
      <c r="G393" t="inlineStr">
        <is>
          <t>VANSBRO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46293</v>
      </c>
      <c r="E394" s="1" t="n">
        <v>46316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45296</v>
      </c>
      <c r="E395" s="1" t="n">
        <v>46316</v>
      </c>
      <c r="F395" t="inlineStr">
        <is>
          <t>DALARNAS LÄN</t>
        </is>
      </c>
      <c r="G395" t="inlineStr">
        <is>
          <t>VANSBRO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45775</v>
      </c>
      <c r="E396" s="1" t="n">
        <v>46316</v>
      </c>
      <c r="F396" t="inlineStr">
        <is>
          <t>DALARNAS LÄN</t>
        </is>
      </c>
      <c r="G396" t="inlineStr">
        <is>
          <t>VANSBRO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45008</v>
      </c>
      <c r="E397" s="1" t="n">
        <v>46316</v>
      </c>
      <c r="F397" t="inlineStr">
        <is>
          <t>DALARNAS LÄN</t>
        </is>
      </c>
      <c r="G397" t="inlineStr">
        <is>
          <t>VANSBRO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33953-2026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46252</v>
      </c>
      <c r="E398" s="1" t="n">
        <v>46316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33944-2026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46252</v>
      </c>
      <c r="E399" s="1" t="n">
        <v>46316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45448</v>
      </c>
      <c r="E400" s="1" t="n">
        <v>46316</v>
      </c>
      <c r="F400" t="inlineStr">
        <is>
          <t>DALARNAS LÄN</t>
        </is>
      </c>
      <c r="G400" t="inlineStr">
        <is>
          <t>VANSBRO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40447-2026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46294</v>
      </c>
      <c r="E401" s="1" t="n">
        <v>46316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46294</v>
      </c>
      <c r="E402" s="1" t="n">
        <v>46316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46293</v>
      </c>
      <c r="E403" s="1" t="n">
        <v>46316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46252</v>
      </c>
      <c r="E404" s="1" t="n">
        <v>46316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46294</v>
      </c>
      <c r="E405" s="1" t="n">
        <v>46316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10.1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46294</v>
      </c>
      <c r="E406" s="1" t="n">
        <v>46316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40391-2026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46294</v>
      </c>
      <c r="E407" s="1" t="n">
        <v>46316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öst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46316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40996-2026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46316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44930</v>
      </c>
      <c r="E410" s="1" t="n">
        <v>46316</v>
      </c>
      <c r="F410" t="inlineStr">
        <is>
          <t>DALARNAS LÄN</t>
        </is>
      </c>
      <c r="G410" t="inlineStr">
        <is>
          <t>VANSBRO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45265</v>
      </c>
      <c r="E411" s="1" t="n">
        <v>46316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46254</v>
      </c>
      <c r="E412" s="1" t="n">
        <v>46316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45471</v>
      </c>
      <c r="E413" s="1" t="n">
        <v>46316</v>
      </c>
      <c r="F413" t="inlineStr">
        <is>
          <t>DALARNAS LÄN</t>
        </is>
      </c>
      <c r="G413" t="inlineStr">
        <is>
          <t>VANSBRO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46316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34210-2026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46316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46253</v>
      </c>
      <c r="E416" s="1" t="n">
        <v>46316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13.3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41015-2026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46297</v>
      </c>
      <c r="E417" s="1" t="n">
        <v>46316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46316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18.9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34209-2026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46316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46316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46300</v>
      </c>
      <c r="E421" s="1" t="n">
        <v>46316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41285-2026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46300</v>
      </c>
      <c r="E422" s="1" t="n">
        <v>46316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7764-2026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46316</v>
      </c>
      <c r="F423" t="inlineStr">
        <is>
          <t>DALARNAS LÄN</t>
        </is>
      </c>
      <c r="G423" t="inlineStr">
        <is>
          <t>VANSBRO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41176-2026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46300</v>
      </c>
      <c r="E424" s="1" t="n">
        <v>46316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19.7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11485-2024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45372</v>
      </c>
      <c r="E425" s="1" t="n">
        <v>46316</v>
      </c>
      <c r="F425" t="inlineStr">
        <is>
          <t>DALARNAS LÄN</t>
        </is>
      </c>
      <c r="G425" t="inlineStr">
        <is>
          <t>VANSBRO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46316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46316</v>
      </c>
      <c r="F427" t="inlineStr">
        <is>
          <t>DALARNAS LÄN</t>
        </is>
      </c>
      <c r="G427" t="inlineStr">
        <is>
          <t>VANSBRO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46300</v>
      </c>
      <c r="E428" s="1" t="n">
        <v>46316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46316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50741-2022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46316</v>
      </c>
      <c r="F430" t="inlineStr">
        <is>
          <t>DALARNAS LÄN</t>
        </is>
      </c>
      <c r="G430" t="inlineStr">
        <is>
          <t>VANSBRO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44837</v>
      </c>
      <c r="E431" s="1" t="n">
        <v>46316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16823-2025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46316</v>
      </c>
      <c r="F432" t="inlineStr">
        <is>
          <t>DALARNAS LÄN</t>
        </is>
      </c>
      <c r="G432" t="inlineStr">
        <is>
          <t>VANSBRO</t>
        </is>
      </c>
      <c r="I432" t="n">
        <v>9.9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46303</v>
      </c>
      <c r="E433" s="1" t="n">
        <v>46316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35042-2026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46259</v>
      </c>
      <c r="E434" s="1" t="n">
        <v>46316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17807-2022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44673</v>
      </c>
      <c r="E435" s="1" t="n">
        <v>46316</v>
      </c>
      <c r="F435" t="inlineStr">
        <is>
          <t>DALARNAS LÄN</t>
        </is>
      </c>
      <c r="G435" t="inlineStr">
        <is>
          <t>VANSBRO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41606-2026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46302</v>
      </c>
      <c r="E436" s="1" t="n">
        <v>46316</v>
      </c>
      <c r="F436" t="inlineStr">
        <is>
          <t>DALARNAS LÄN</t>
        </is>
      </c>
      <c r="G436" t="inlineStr">
        <is>
          <t>VANSBRO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46303</v>
      </c>
      <c r="E437" s="1" t="n">
        <v>46316</v>
      </c>
      <c r="F437" t="inlineStr">
        <is>
          <t>DALARNAS LÄN</t>
        </is>
      </c>
      <c r="G437" t="inlineStr">
        <is>
          <t>VANSBRO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45240</v>
      </c>
      <c r="E438" s="1" t="n">
        <v>46316</v>
      </c>
      <c r="F438" t="inlineStr">
        <is>
          <t>DALARNAS LÄN</t>
        </is>
      </c>
      <c r="G438" t="inlineStr">
        <is>
          <t>VANSBRO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46302</v>
      </c>
      <c r="E439" s="1" t="n">
        <v>46316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45519</v>
      </c>
      <c r="E440" s="1" t="n">
        <v>46316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35050-2026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46259</v>
      </c>
      <c r="E441" s="1" t="n">
        <v>46316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46307</v>
      </c>
      <c r="E442" s="1" t="n">
        <v>46316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35579-2026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46262</v>
      </c>
      <c r="E443" s="1" t="n">
        <v>46316</v>
      </c>
      <c r="F443" t="inlineStr">
        <is>
          <t>DALARNAS LÄN</t>
        </is>
      </c>
      <c r="G443" t="inlineStr">
        <is>
          <t>VANSBRO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45222</v>
      </c>
      <c r="E444" s="1" t="n">
        <v>46316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48005-2022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44855</v>
      </c>
      <c r="E445" s="1" t="n">
        <v>46316</v>
      </c>
      <c r="F445" t="inlineStr">
        <is>
          <t>DALARNAS LÄN</t>
        </is>
      </c>
      <c r="G445" t="inlineStr">
        <is>
          <t>VANSBRO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45890</v>
      </c>
      <c r="E446" s="1" t="n">
        <v>46316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46304</v>
      </c>
      <c r="E447" s="1" t="n">
        <v>46316</v>
      </c>
      <c r="F447" t="inlineStr">
        <is>
          <t>DALARNAS LÄN</t>
        </is>
      </c>
      <c r="G447" t="inlineStr">
        <is>
          <t>VANSBRO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46304</v>
      </c>
      <c r="E448" s="1" t="n">
        <v>46316</v>
      </c>
      <c r="F448" t="inlineStr">
        <is>
          <t>DALARNAS LÄN</t>
        </is>
      </c>
      <c r="G448" t="inlineStr">
        <is>
          <t>VANSBRO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45244</v>
      </c>
      <c r="E449" s="1" t="n">
        <v>46316</v>
      </c>
      <c r="F449" t="inlineStr">
        <is>
          <t>DALARNAS LÄN</t>
        </is>
      </c>
      <c r="G449" t="inlineStr">
        <is>
          <t>VANSBRO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60031-2022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44909</v>
      </c>
      <c r="E450" s="1" t="n">
        <v>46316</v>
      </c>
      <c r="F450" t="inlineStr">
        <is>
          <t>DALARNAS LÄN</t>
        </is>
      </c>
      <c r="G450" t="inlineStr">
        <is>
          <t>VANSBRO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46191</v>
      </c>
      <c r="E451" s="1" t="n">
        <v>46316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46316</v>
      </c>
      <c r="F452" t="inlineStr">
        <is>
          <t>DALARNAS LÄN</t>
        </is>
      </c>
      <c r="G452" t="inlineStr">
        <is>
          <t>VANSBRO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46308</v>
      </c>
      <c r="E453" s="1" t="n">
        <v>46316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46266</v>
      </c>
      <c r="E454" s="1" t="n">
        <v>46316</v>
      </c>
      <c r="F454" t="inlineStr">
        <is>
          <t>DALARNAS LÄN</t>
        </is>
      </c>
      <c r="G454" t="inlineStr">
        <is>
          <t>VANSBRO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46309</v>
      </c>
      <c r="E455" s="1" t="n">
        <v>46316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46309</v>
      </c>
      <c r="E456" s="1" t="n">
        <v>46316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42424-2026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46308</v>
      </c>
      <c r="E457" s="1" t="n">
        <v>46316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45331</v>
      </c>
      <c r="E458" s="1" t="n">
        <v>46316</v>
      </c>
      <c r="F458" t="inlineStr">
        <is>
          <t>DALARNAS LÄN</t>
        </is>
      </c>
      <c r="G458" t="inlineStr">
        <is>
          <t>VANSBRO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45254</v>
      </c>
      <c r="E459" s="1" t="n">
        <v>46316</v>
      </c>
      <c r="F459" t="inlineStr">
        <is>
          <t>DALARNAS LÄN</t>
        </is>
      </c>
      <c r="G459" t="inlineStr">
        <is>
          <t>VANSBRO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11274-2024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45371</v>
      </c>
      <c r="E460" s="1" t="n">
        <v>46316</v>
      </c>
      <c r="F460" t="inlineStr">
        <is>
          <t>DALARNAS LÄN</t>
        </is>
      </c>
      <c r="G460" t="inlineStr">
        <is>
          <t>VANSBRO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44930</v>
      </c>
      <c r="E461" s="1" t="n">
        <v>46316</v>
      </c>
      <c r="F461" t="inlineStr">
        <is>
          <t>DALARNAS LÄN</t>
        </is>
      </c>
      <c r="G461" t="inlineStr">
        <is>
          <t>VANSBRO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42479-2026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46308</v>
      </c>
      <c r="E462" s="1" t="n">
        <v>46316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46316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öst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56986-2023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46316</v>
      </c>
      <c r="F464" t="inlineStr">
        <is>
          <t>DALARNAS LÄN</t>
        </is>
      </c>
      <c r="G464" t="inlineStr">
        <is>
          <t>VANSBRO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36377-2026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46268</v>
      </c>
      <c r="E465" s="1" t="n">
        <v>46316</v>
      </c>
      <c r="F465" t="inlineStr">
        <is>
          <t>DALARNAS LÄN</t>
        </is>
      </c>
      <c r="G465" t="inlineStr">
        <is>
          <t>VANSBRO</t>
        </is>
      </c>
      <c r="H465" t="inlineStr">
        <is>
          <t>Kyrkan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57903-2024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45631</v>
      </c>
      <c r="E466" s="1" t="n">
        <v>46316</v>
      </c>
      <c r="F466" t="inlineStr">
        <is>
          <t>DALARNAS LÄN</t>
        </is>
      </c>
      <c r="G466" t="inlineStr">
        <is>
          <t>VANSBRO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46316</v>
      </c>
      <c r="F467" t="inlineStr">
        <is>
          <t>DALARNAS LÄN</t>
        </is>
      </c>
      <c r="G467" t="inlineStr">
        <is>
          <t>VANSBRO</t>
        </is>
      </c>
      <c r="H467" t="inlineStr">
        <is>
          <t>Kyrkan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13327-2025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46316</v>
      </c>
      <c r="F468" t="inlineStr">
        <is>
          <t>DALARNAS LÄN</t>
        </is>
      </c>
      <c r="G468" t="inlineStr">
        <is>
          <t>VANSBRO</t>
        </is>
      </c>
      <c r="H468" t="inlineStr">
        <is>
          <t>Kommuner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46268</v>
      </c>
      <c r="E469" s="1" t="n">
        <v>46316</v>
      </c>
      <c r="F469" t="inlineStr">
        <is>
          <t>DALARNAS LÄN</t>
        </is>
      </c>
      <c r="G469" t="inlineStr">
        <is>
          <t>VANSBRO</t>
        </is>
      </c>
      <c r="H469" t="inlineStr">
        <is>
          <t>Kyrkan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44960</v>
      </c>
      <c r="E470" s="1" t="n">
        <v>46316</v>
      </c>
      <c r="F470" t="inlineStr">
        <is>
          <t>DALARNAS LÄN</t>
        </is>
      </c>
      <c r="G470" t="inlineStr">
        <is>
          <t>VANSBRO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46316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57947-2023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45247</v>
      </c>
      <c r="E472" s="1" t="n">
        <v>46316</v>
      </c>
      <c r="F472" t="inlineStr">
        <is>
          <t>DALARNAS LÄN</t>
        </is>
      </c>
      <c r="G472" t="inlineStr">
        <is>
          <t>VANSBRO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43609-2026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46315</v>
      </c>
      <c r="E473" s="1" t="n">
        <v>46316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46316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46316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44931</v>
      </c>
      <c r="E476" s="1" t="n">
        <v>46316</v>
      </c>
      <c r="F476" t="inlineStr">
        <is>
          <t>DALARNAS LÄN</t>
        </is>
      </c>
      <c r="G476" t="inlineStr">
        <is>
          <t>VANSBRO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47790-2024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46316</v>
      </c>
      <c r="F477" t="inlineStr">
        <is>
          <t>DALARNAS LÄN</t>
        </is>
      </c>
      <c r="G477" t="inlineStr">
        <is>
          <t>VANSBRO</t>
        </is>
      </c>
      <c r="H477" t="inlineStr">
        <is>
          <t>Övriga statliga verk och myndigheter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45763</v>
      </c>
      <c r="E478" s="1" t="n">
        <v>46316</v>
      </c>
      <c r="F478" t="inlineStr">
        <is>
          <t>DALARNAS LÄN</t>
        </is>
      </c>
      <c r="G478" t="inlineStr">
        <is>
          <t>VANSBRO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45169</v>
      </c>
      <c r="E479" s="1" t="n">
        <v>46316</v>
      </c>
      <c r="F479" t="inlineStr">
        <is>
          <t>DALARNAS LÄN</t>
        </is>
      </c>
      <c r="G479" t="inlineStr">
        <is>
          <t>VANSBRO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45491</v>
      </c>
      <c r="E480" s="1" t="n">
        <v>46316</v>
      </c>
      <c r="F480" t="inlineStr">
        <is>
          <t>DALARNAS LÄN</t>
        </is>
      </c>
      <c r="G480" t="inlineStr">
        <is>
          <t>VANSBRO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2147-2025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45672</v>
      </c>
      <c r="E481" s="1" t="n">
        <v>46316</v>
      </c>
      <c r="F481" t="inlineStr">
        <is>
          <t>DALARNAS LÄN</t>
        </is>
      </c>
      <c r="G481" t="inlineStr">
        <is>
          <t>VANSBRO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18306-2025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45762</v>
      </c>
      <c r="E482" s="1" t="n">
        <v>46316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10886-2025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45722</v>
      </c>
      <c r="E483" s="1" t="n">
        <v>46316</v>
      </c>
      <c r="F483" t="inlineStr">
        <is>
          <t>DALARNAS LÄN</t>
        </is>
      </c>
      <c r="G483" t="inlineStr">
        <is>
          <t>VANSBRO</t>
        </is>
      </c>
      <c r="I483" t="n">
        <v>15.5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45700</v>
      </c>
      <c r="E484" s="1" t="n">
        <v>46316</v>
      </c>
      <c r="F484" t="inlineStr">
        <is>
          <t>DALARNAS LÄN</t>
        </is>
      </c>
      <c r="G484" t="inlineStr">
        <is>
          <t>VANSBRO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61515-2022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44916</v>
      </c>
      <c r="E485" s="1" t="n">
        <v>46316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46316</v>
      </c>
      <c r="F486" t="inlineStr">
        <is>
          <t>DALARNAS LÄN</t>
        </is>
      </c>
      <c r="G486" t="inlineStr">
        <is>
          <t>VANSBRO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46316</v>
      </c>
      <c r="F487" t="inlineStr">
        <is>
          <t>DALARNAS LÄN</t>
        </is>
      </c>
      <c r="G487" t="inlineStr">
        <is>
          <t>VANSBRO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45783</v>
      </c>
      <c r="E488" s="1" t="n">
        <v>46316</v>
      </c>
      <c r="F488" t="inlineStr">
        <is>
          <t>DALARNAS LÄN</t>
        </is>
      </c>
      <c r="G488" t="inlineStr">
        <is>
          <t>VANSBRO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45674</v>
      </c>
      <c r="E489" s="1" t="n">
        <v>46316</v>
      </c>
      <c r="F489" t="inlineStr">
        <is>
          <t>DALARNAS LÄN</t>
        </is>
      </c>
      <c r="G489" t="inlineStr">
        <is>
          <t>VANSBRO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45783</v>
      </c>
      <c r="E490" s="1" t="n">
        <v>46316</v>
      </c>
      <c r="F490" t="inlineStr">
        <is>
          <t>DALARNAS LÄN</t>
        </is>
      </c>
      <c r="G490" t="inlineStr">
        <is>
          <t>VANSBRO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45483</v>
      </c>
      <c r="E491" s="1" t="n">
        <v>46316</v>
      </c>
      <c r="F491" t="inlineStr">
        <is>
          <t>DALARNAS LÄN</t>
        </is>
      </c>
      <c r="G491" t="inlineStr">
        <is>
          <t>VANSBRO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30544-2024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45492</v>
      </c>
      <c r="E492" s="1" t="n">
        <v>46316</v>
      </c>
      <c r="F492" t="inlineStr">
        <is>
          <t>DALARNAS LÄN</t>
        </is>
      </c>
      <c r="G492" t="inlineStr">
        <is>
          <t>VANSBRO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23085-2022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44719</v>
      </c>
      <c r="E493" s="1" t="n">
        <v>46316</v>
      </c>
      <c r="F493" t="inlineStr">
        <is>
          <t>DALARNAS LÄN</t>
        </is>
      </c>
      <c r="G493" t="inlineStr">
        <is>
          <t>VANSBRO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1286-2024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45401</v>
      </c>
      <c r="E494" s="1" t="n">
        <v>46316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väst AB</t>
        </is>
      </c>
      <c r="I494" t="n">
        <v>220.8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4782-2022</t>
        </is>
      </c>
      <c r="B495" t="inlineStr">
        <is>
          <t>samrådsanmälan</t>
        </is>
      </c>
      <c r="C495" t="inlineStr">
        <is>
          <t>Skogsbilväg</t>
        </is>
      </c>
      <c r="D495" s="1" t="n">
        <v>44802</v>
      </c>
      <c r="E495" s="1" t="n">
        <v>46316</v>
      </c>
      <c r="F495" t="inlineStr">
        <is>
          <t>DALARNAS LÄN</t>
        </is>
      </c>
      <c r="G495" t="inlineStr">
        <is>
          <t>VANSBRO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3514-2023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45208</v>
      </c>
      <c r="E496" s="1" t="n">
        <v>46316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väst AB</t>
        </is>
      </c>
      <c r="I496" t="n">
        <v>37.8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409-2025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45699</v>
      </c>
      <c r="E497" s="1" t="n">
        <v>46316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öst AB</t>
        </is>
      </c>
      <c r="I497" t="n">
        <v>277.1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91-2026</t>
        </is>
      </c>
      <c r="B498" t="inlineStr">
        <is>
          <t>samrådsanmälan</t>
        </is>
      </c>
      <c r="C498" t="inlineStr">
        <is>
          <t>Skogsgödsling</t>
        </is>
      </c>
      <c r="D498" s="1" t="n">
        <v>46035</v>
      </c>
      <c r="E498" s="1" t="n">
        <v>46316</v>
      </c>
      <c r="F498" t="inlineStr">
        <is>
          <t>DALARNAS LÄN</t>
        </is>
      </c>
      <c r="G498" t="inlineStr">
        <is>
          <t>VANSBRO</t>
        </is>
      </c>
      <c r="H498" t="inlineStr">
        <is>
          <t>Bergvik skog väst AB</t>
        </is>
      </c>
      <c r="I498" t="n">
        <v>153.5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>
      <c r="A499" t="inlineStr">
        <is>
          <t>S 747-2026</t>
        </is>
      </c>
      <c r="B499" t="inlineStr">
        <is>
          <t>samrådsanmälan</t>
        </is>
      </c>
      <c r="C499" t="inlineStr">
        <is>
          <t>Skogsgödsling</t>
        </is>
      </c>
      <c r="D499" s="1" t="n">
        <v>46089</v>
      </c>
      <c r="E499" s="1" t="n">
        <v>46316</v>
      </c>
      <c r="F499" t="inlineStr">
        <is>
          <t>DALARNAS LÄN</t>
        </is>
      </c>
      <c r="G499" t="inlineStr">
        <is>
          <t>VANSBRO</t>
        </is>
      </c>
      <c r="H499" t="inlineStr">
        <is>
          <t>Bergvik skog öst AB</t>
        </is>
      </c>
      <c r="I499" t="n">
        <v>82.40000000000001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2026-10-21T02:03:16Z</dcterms:created>
  <dcterms:modified xmlns:dcterms="http://purl.org/dc/terms/" xmlns:xsi="http://www.w3.org/2001/XMLSchema-instance" xsi:type="dcterms:W3CDTF">2026-10-21T02:03:16Z</dcterms:modified>
</cp:coreProperties>
</file>