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46299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46299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46299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46299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46299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46299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46299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46299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46299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46299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46299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46299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46299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33962-2025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46299</v>
      </c>
      <c r="F15" t="inlineStr">
        <is>
          <t>DALARNAS LÄN</t>
        </is>
      </c>
      <c r="G15" t="inlineStr">
        <is>
          <t>VANSBRO</t>
        </is>
      </c>
      <c r="I15" t="n">
        <v>7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22</v>
      </c>
      <c r="U15" t="n">
        <v>22</v>
      </c>
      <c r="V15" s="2" t="inlineStr">
        <is>
          <t>Garnlav
Knärot
Lunglav
Tretåig hackspett
Vedticka
Spillkråka</t>
        </is>
      </c>
      <c r="W15">
        <f>HYPERLINK("https://klasma.github.io/Logging_2021/artfynd/A 33962-2025 artfynd.xlsx", "A 33962-2025")</f>
        <v/>
      </c>
      <c r="X15">
        <f>HYPERLINK("https://klasma.github.io/Logging_2021/kartor/A 33962-2025 karta.png", "A 33962-2025")</f>
        <v/>
      </c>
      <c r="Y15">
        <f>HYPERLINK("https://klasma.github.io/Logging_2021/kartor_geotiff/A 33962-2025 georefererad karta.tif", "A 33962-2025")</f>
        <v/>
      </c>
      <c r="Z15">
        <f>HYPERLINK("https://klasma.github.io/Logging_2021/knärot/A 33962-2025 karta knärot.png", "A 33962-2025")</f>
        <v/>
      </c>
      <c r="AA15">
        <f>HYPERLINK("https://klasma.github.io/Logging_2021/klagomål/A 33962-2025 FSC-klagomål.docx", "A 33962-2025")</f>
        <v/>
      </c>
      <c r="AB15">
        <f>HYPERLINK("https://klasma.github.io/Logging_2021/klagomålsmail/A 33962-2025 FSC-klagomål mail.docx", "A 33962-2025")</f>
        <v/>
      </c>
      <c r="AC15">
        <f>HYPERLINK("https://klasma.github.io/Logging_2021/tillsyn/A 33962-2025 tillsynsbegäran.docx", "A 33962-2025")</f>
        <v/>
      </c>
      <c r="AD15">
        <f>HYPERLINK("https://klasma.github.io/Logging_2021/tillsynsmail/A 33962-2025 tillsynsbegäran mail.docx", "A 33962-2025")</f>
        <v/>
      </c>
      <c r="AE15">
        <f>HYPERLINK("https://klasma.github.io/Logging_2021/fåglar/A 33962-2025 prioriterade fågelarter.docx", "A 33962-2025")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46299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46299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46299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46299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46299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3854-2024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46299</v>
      </c>
      <c r="F21" t="inlineStr">
        <is>
          <t>DALARNAS LÄN</t>
        </is>
      </c>
      <c r="G21" t="inlineStr">
        <is>
          <t>VANSBRO</t>
        </is>
      </c>
      <c r="H21" t="inlineStr">
        <is>
          <t>Kyrkan</t>
        </is>
      </c>
      <c r="I21" t="n">
        <v>4.6</v>
      </c>
      <c r="J21" t="n">
        <v>2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3</v>
      </c>
      <c r="V21" s="2" t="inlineStr">
        <is>
          <t>Garnlav
Tretåig hackspett
Björksplintborre
Utter</t>
        </is>
      </c>
      <c r="W21">
        <f>HYPERLINK("https://klasma.github.io/Logging_2021/artfynd/A 3854-2024 artfynd.xlsx", "A 3854-2024")</f>
        <v/>
      </c>
      <c r="X21">
        <f>HYPERLINK("https://klasma.github.io/Logging_2021/kartor/A 3854-2024 karta.png", "A 3854-2024")</f>
        <v/>
      </c>
      <c r="Y21">
        <f>HYPERLINK("https://klasma.github.io/Logging_2021/kartor_geotiff/A 3854-2024 georefererad karta.tif", "A 3854-2024")</f>
        <v/>
      </c>
      <c r="AA21">
        <f>HYPERLINK("https://klasma.github.io/Logging_2021/klagomål/A 3854-2024 FSC-klagomål.docx", "A 3854-2024")</f>
        <v/>
      </c>
      <c r="AB21">
        <f>HYPERLINK("https://klasma.github.io/Logging_2021/klagomålsmail/A 3854-2024 FSC-klagomål mail.docx", "A 3854-2024")</f>
        <v/>
      </c>
      <c r="AC21">
        <f>HYPERLINK("https://klasma.github.io/Logging_2021/tillsyn/A 3854-2024 tillsynsbegäran.docx", "A 3854-2024")</f>
        <v/>
      </c>
      <c r="AD21">
        <f>HYPERLINK("https://klasma.github.io/Logging_2021/tillsynsmail/A 3854-2024 tillsynsbegäran mail.docx", "A 3854-2024")</f>
        <v/>
      </c>
      <c r="AE21">
        <f>HYPERLINK("https://klasma.github.io/Logging_2021/fåglar/A 3854-2024 prioriterade fågelarter.docx", "A 3854-2024")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46299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46299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46299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45350-2024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45576</v>
      </c>
      <c r="E25" s="1" t="n">
        <v>46299</v>
      </c>
      <c r="F25" t="inlineStr">
        <is>
          <t>DALARNAS LÄN</t>
        </is>
      </c>
      <c r="G25" t="inlineStr">
        <is>
          <t>VANSBRO</t>
        </is>
      </c>
      <c r="I25" t="n">
        <v>13.4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8</v>
      </c>
      <c r="U25" t="n">
        <v>8</v>
      </c>
      <c r="V25" s="2" t="inlineStr">
        <is>
          <t>Garnlav
Dropptaggsvamp
Kolflarnlav
Mindre märgborre</t>
        </is>
      </c>
      <c r="W25">
        <f>HYPERLINK("https://klasma.github.io/Logging_2021/artfynd/A 45350-2024 artfynd.xlsx", "A 45350-2024")</f>
        <v/>
      </c>
      <c r="X25">
        <f>HYPERLINK("https://klasma.github.io/Logging_2021/kartor/A 45350-2024 karta.png", "A 45350-2024")</f>
        <v/>
      </c>
      <c r="Y25">
        <f>HYPERLINK("https://klasma.github.io/Logging_2021/kartor_geotiff/A 45350-2024 georefererad karta.tif", "A 45350-2024")</f>
        <v/>
      </c>
      <c r="AA25">
        <f>HYPERLINK("https://klasma.github.io/Logging_2021/klagomål/A 45350-2024 FSC-klagomål.docx", "A 45350-2024")</f>
        <v/>
      </c>
      <c r="AB25">
        <f>HYPERLINK("https://klasma.github.io/Logging_2021/klagomålsmail/A 45350-2024 FSC-klagomål mail.docx", "A 45350-2024")</f>
        <v/>
      </c>
      <c r="AC25">
        <f>HYPERLINK("https://klasma.github.io/Logging_2021/tillsyn/A 45350-2024 tillsynsbegäran.docx", "A 45350-2024")</f>
        <v/>
      </c>
      <c r="AD25">
        <f>HYPERLINK("https://klasma.github.io/Logging_2021/tillsynsmail/A 45350-2024 tillsynsbegäran mail.docx", "A 45350-2024")</f>
        <v/>
      </c>
    </row>
    <row r="26" ht="15" customHeight="1">
      <c r="A26" t="inlineStr">
        <is>
          <t>A 33003-2025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46299</v>
      </c>
      <c r="F26" t="inlineStr">
        <is>
          <t>DALARNAS LÄN</t>
        </is>
      </c>
      <c r="G26" t="inlineStr">
        <is>
          <t>VANSBRO</t>
        </is>
      </c>
      <c r="I26" t="n">
        <v>2.3</v>
      </c>
      <c r="J26" t="n">
        <v>2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12</v>
      </c>
      <c r="U26" t="n">
        <v>12</v>
      </c>
      <c r="V26" s="2" t="inlineStr">
        <is>
          <t>Garnlav
Knärot
Kolflarnlav
Tretåig hackspett</t>
        </is>
      </c>
      <c r="W26">
        <f>HYPERLINK("https://klasma.github.io/Logging_2021/artfynd/A 33003-2025 artfynd.xlsx", "A 33003-2025")</f>
        <v/>
      </c>
      <c r="X26">
        <f>HYPERLINK("https://klasma.github.io/Logging_2021/kartor/A 33003-2025 karta.png", "A 33003-2025")</f>
        <v/>
      </c>
      <c r="Y26">
        <f>HYPERLINK("https://klasma.github.io/Logging_2021/kartor_geotiff/A 33003-2025 georefererad karta.tif", "A 33003-2025")</f>
        <v/>
      </c>
      <c r="Z26">
        <f>HYPERLINK("https://klasma.github.io/Logging_2021/knärot/A 33003-2025 karta knärot.png", "A 33003-2025")</f>
        <v/>
      </c>
      <c r="AA26">
        <f>HYPERLINK("https://klasma.github.io/Logging_2021/klagomål/A 33003-2025 FSC-klagomål.docx", "A 33003-2025")</f>
        <v/>
      </c>
      <c r="AB26">
        <f>HYPERLINK("https://klasma.github.io/Logging_2021/klagomålsmail/A 33003-2025 FSC-klagomål mail.docx", "A 33003-2025")</f>
        <v/>
      </c>
      <c r="AC26">
        <f>HYPERLINK("https://klasma.github.io/Logging_2021/tillsyn/A 33003-2025 tillsynsbegäran.docx", "A 33003-2025")</f>
        <v/>
      </c>
      <c r="AD26">
        <f>HYPERLINK("https://klasma.github.io/Logging_2021/tillsynsmail/A 33003-2025 tillsynsbegäran mail.docx", "A 33003-2025")</f>
        <v/>
      </c>
      <c r="AE26">
        <f>HYPERLINK("https://klasma.github.io/Logging_2021/fåglar/A 33003-2025 prioriterade fågelarter.docx", "A 33003-2025")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46299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46299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46299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46299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46299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46299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46299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46299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46299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46299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46299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3918-2026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46299</v>
      </c>
      <c r="F38" t="inlineStr">
        <is>
          <t>DALARNAS LÄN</t>
        </is>
      </c>
      <c r="G38" t="inlineStr">
        <is>
          <t>VANSBRO</t>
        </is>
      </c>
      <c r="I38" t="n">
        <v>6.2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Duvhök</t>
        </is>
      </c>
      <c r="W38">
        <f>HYPERLINK("https://klasma.github.io/Logging_2021/artfynd/A 3918-2026 artfynd.xlsx", "A 3918-2026")</f>
        <v/>
      </c>
      <c r="X38">
        <f>HYPERLINK("https://klasma.github.io/Logging_2021/kartor/A 3918-2026 karta.png", "A 3918-2026")</f>
        <v/>
      </c>
      <c r="Y38">
        <f>HYPERLINK("https://klasma.github.io/Logging_2021/kartor_geotiff/A 3918-2026 georefererad karta.tif", "A 3918-2026")</f>
        <v/>
      </c>
      <c r="AA38">
        <f>HYPERLINK("https://klasma.github.io/Logging_2021/klagomål/A 3918-2026 FSC-klagomål.docx", "A 3918-2026")</f>
        <v/>
      </c>
      <c r="AB38">
        <f>HYPERLINK("https://klasma.github.io/Logging_2021/klagomålsmail/A 3918-2026 FSC-klagomål mail.docx", "A 3918-2026")</f>
        <v/>
      </c>
      <c r="AC38">
        <f>HYPERLINK("https://klasma.github.io/Logging_2021/tillsyn/A 3918-2026 tillsynsbegäran.docx", "A 3918-2026")</f>
        <v/>
      </c>
      <c r="AD38">
        <f>HYPERLINK("https://klasma.github.io/Logging_2021/tillsynsmail/A 3918-2026 tillsynsbegäran mail.docx", "A 3918-2026")</f>
        <v/>
      </c>
      <c r="AE38">
        <f>HYPERLINK("https://klasma.github.io/Logging_2021/fåglar/A 3918-2026 prioriterade fågelarter.docx", "A 3918-2026")</f>
        <v/>
      </c>
    </row>
    <row r="39" ht="15" customHeight="1">
      <c r="A39" t="inlineStr">
        <is>
          <t>A 5659-2026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46299</v>
      </c>
      <c r="F39" t="inlineStr">
        <is>
          <t>DALARNAS LÄN</t>
        </is>
      </c>
      <c r="G39" t="inlineStr">
        <is>
          <t>VANSBRO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rörsvepemossa</t>
        </is>
      </c>
      <c r="W39">
        <f>HYPERLINK("https://klasma.github.io/Logging_2021/artfynd/A 5659-2026 artfynd.xlsx", "A 5659-2026")</f>
        <v/>
      </c>
      <c r="X39">
        <f>HYPERLINK("https://klasma.github.io/Logging_2021/kartor/A 5659-2026 karta.png", "A 5659-2026")</f>
        <v/>
      </c>
      <c r="Y39">
        <f>HYPERLINK("https://klasma.github.io/Logging_2021/kartor_geotiff/A 5659-2026 georefererad karta.tif", "A 5659-2026")</f>
        <v/>
      </c>
      <c r="Z39">
        <f>HYPERLINK("https://klasma.github.io/Logging_2021/knärot/A 5659-2026 karta knärot.png", "A 5659-2026")</f>
        <v/>
      </c>
      <c r="AA39">
        <f>HYPERLINK("https://klasma.github.io/Logging_2021/klagomål/A 5659-2026 FSC-klagomål.docx", "A 5659-2026")</f>
        <v/>
      </c>
      <c r="AB39">
        <f>HYPERLINK("https://klasma.github.io/Logging_2021/klagomålsmail/A 5659-2026 FSC-klagomål mail.docx", "A 5659-2026")</f>
        <v/>
      </c>
      <c r="AC39">
        <f>HYPERLINK("https://klasma.github.io/Logging_2021/tillsyn/A 5659-2026 tillsynsbegäran.docx", "A 5659-2026")</f>
        <v/>
      </c>
      <c r="AD39">
        <f>HYPERLINK("https://klasma.github.io/Logging_2021/tillsynsmail/A 5659-2026 tillsynsbegäran mail.docx", "A 5659-2026")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46299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46299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32917-2025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46299</v>
      </c>
      <c r="F42" t="inlineStr">
        <is>
          <t>DALARNAS LÄN</t>
        </is>
      </c>
      <c r="G42" t="inlineStr">
        <is>
          <t>VANSBRO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Garnlav</t>
        </is>
      </c>
      <c r="W42">
        <f>HYPERLINK("https://klasma.github.io/Logging_2021/artfynd/A 32917-2025 artfynd.xlsx", "A 32917-2025")</f>
        <v/>
      </c>
      <c r="X42">
        <f>HYPERLINK("https://klasma.github.io/Logging_2021/kartor/A 32917-2025 karta.png", "A 32917-2025")</f>
        <v/>
      </c>
      <c r="Y42">
        <f>HYPERLINK("https://klasma.github.io/Logging_2021/kartor_geotiff/A 32917-2025 georefererad karta.tif", "A 32917-2025")</f>
        <v/>
      </c>
      <c r="AA42">
        <f>HYPERLINK("https://klasma.github.io/Logging_2021/klagomål/A 32917-2025 FSC-klagomål.docx", "A 32917-2025")</f>
        <v/>
      </c>
      <c r="AB42">
        <f>HYPERLINK("https://klasma.github.io/Logging_2021/klagomålsmail/A 32917-2025 FSC-klagomål mail.docx", "A 32917-2025")</f>
        <v/>
      </c>
      <c r="AC42">
        <f>HYPERLINK("https://klasma.github.io/Logging_2021/tillsyn/A 32917-2025 tillsynsbegäran.docx", "A 32917-2025")</f>
        <v/>
      </c>
      <c r="AD42">
        <f>HYPERLINK("https://klasma.github.io/Logging_2021/tillsynsmail/A 32917-2025 tillsynsbegäran mail.docx", "A 32917-2025")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46299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Motaggsvamp</t>
        </is>
      </c>
      <c r="W43">
        <f>HYPERLINK("https://klasma.github.io/Logging_2021/artfynd/A 52675-2025 artfynd.xlsx", "A 52675-2025")</f>
        <v/>
      </c>
      <c r="X43">
        <f>HYPERLINK("https://klasma.github.io/Logging_2021/kartor/A 52675-2025 karta.png", "A 52675-2025")</f>
        <v/>
      </c>
      <c r="Y43">
        <f>HYPERLINK("https://klasma.github.io/Logging_2021/kartor_geotiff/A 52675-2025 georefererad karta.tif", "A 52675-2025")</f>
        <v/>
      </c>
      <c r="AA43">
        <f>HYPERLINK("https://klasma.github.io/Logging_2021/klagomål/A 52675-2025 FSC-klagomål.docx", "A 52675-2025")</f>
        <v/>
      </c>
      <c r="AB43">
        <f>HYPERLINK("https://klasma.github.io/Logging_2021/klagomålsmail/A 52675-2025 FSC-klagomål mail.docx", "A 52675-2025")</f>
        <v/>
      </c>
      <c r="AC43">
        <f>HYPERLINK("https://klasma.github.io/Logging_2021/tillsyn/A 52675-2025 tillsynsbegäran.docx", "A 52675-2025")</f>
        <v/>
      </c>
      <c r="AD43">
        <f>HYPERLINK("https://klasma.github.io/Logging_2021/tillsynsmail/A 52675-2025 tillsynsbegäran mail.docx", "A 52675-2025")</f>
        <v/>
      </c>
    </row>
    <row r="44" ht="15" customHeight="1">
      <c r="A44" t="inlineStr">
        <is>
          <t>A 20076-2026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46299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öst AB</t>
        </is>
      </c>
      <c r="I44" t="n">
        <v>13.2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Kransrams</t>
        </is>
      </c>
      <c r="W44">
        <f>HYPERLINK("https://klasma.github.io/Logging_2021/artfynd/A 20076-2026 artfynd.xlsx", "A 20076-2026")</f>
        <v/>
      </c>
      <c r="X44">
        <f>HYPERLINK("https://klasma.github.io/Logging_2021/kartor/A 20076-2026 karta.png", "A 20076-2026")</f>
        <v/>
      </c>
      <c r="Y44">
        <f>HYPERLINK("https://klasma.github.io/Logging_2021/kartor_geotiff/A 20076-2026 georefererad karta.tif", "A 20076-2026")</f>
        <v/>
      </c>
      <c r="AA44">
        <f>HYPERLINK("https://klasma.github.io/Logging_2021/klagomål/A 20076-2026 FSC-klagomål.docx", "A 20076-2026")</f>
        <v/>
      </c>
      <c r="AB44">
        <f>HYPERLINK("https://klasma.github.io/Logging_2021/klagomålsmail/A 20076-2026 FSC-klagomål mail.docx", "A 20076-2026")</f>
        <v/>
      </c>
      <c r="AC44">
        <f>HYPERLINK("https://klasma.github.io/Logging_2021/tillsyn/A 20076-2026 tillsynsbegäran.docx", "A 20076-2026")</f>
        <v/>
      </c>
      <c r="AD44">
        <f>HYPERLINK("https://klasma.github.io/Logging_2021/tillsynsmail/A 20076-2026 tillsynsbegäran mail.docx", "A 20076-2026")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46299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35533-2026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46299</v>
      </c>
      <c r="F46" t="inlineStr">
        <is>
          <t>DALARNAS LÄN</t>
        </is>
      </c>
      <c r="G46" t="inlineStr">
        <is>
          <t>VANSBRO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HYPERLINK("https://klasma.github.io/Logging_2021/artfynd/A 35533-2026 artfynd.xlsx", "A 35533-2026")</f>
        <v/>
      </c>
      <c r="X46">
        <f>HYPERLINK("https://klasma.github.io/Logging_2021/kartor/A 35533-2026 karta.png", "A 35533-2026")</f>
        <v/>
      </c>
      <c r="Y46">
        <f>HYPERLINK("https://klasma.github.io/Logging_2021/kartor_geotiff/A 35533-2026 georefererad karta.tif", "A 35533-2026")</f>
        <v/>
      </c>
      <c r="Z46">
        <f>HYPERLINK("https://klasma.github.io/Logging_2021/knärot/A 35533-2026 karta knärot.png", "A 35533-2026")</f>
        <v/>
      </c>
      <c r="AA46">
        <f>HYPERLINK("https://klasma.github.io/Logging_2021/klagomål/A 35533-2026 FSC-klagomål.docx", "A 35533-2026")</f>
        <v/>
      </c>
      <c r="AB46">
        <f>HYPERLINK("https://klasma.github.io/Logging_2021/klagomålsmail/A 35533-2026 FSC-klagomål mail.docx", "A 35533-2026")</f>
        <v/>
      </c>
      <c r="AC46">
        <f>HYPERLINK("https://klasma.github.io/Logging_2021/tillsyn/A 35533-2026 tillsynsbegäran.docx", "A 35533-2026")</f>
        <v/>
      </c>
      <c r="AD46">
        <f>HYPERLINK("https://klasma.github.io/Logging_2021/tillsynsmail/A 35533-2026 tillsynsbegäran mail.docx", "A 35533-2026")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46299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46299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46299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46299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S 146-2023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44942</v>
      </c>
      <c r="E51" s="1" t="n">
        <v>46299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HYPERLINK("https://klasma.github.io/Logging_2021/artfynd/S 146-2023 artfynd.xlsx", "S 146-2023")</f>
        <v/>
      </c>
      <c r="X51">
        <f>HYPERLINK("https://klasma.github.io/Logging_2021/kartor/S 146-2023 karta.png", "S 146-2023")</f>
        <v/>
      </c>
      <c r="Y51">
        <f>HYPERLINK("https://klasma.github.io/Logging_2021/kartor_geotiff/S 146-2023 georefererad karta.tif", "S 146-2023")</f>
        <v/>
      </c>
      <c r="AA51">
        <f>HYPERLINK("https://klasma.github.io/Logging_2021/klagomål/S 146-2023 FSC-klagomål.docx", "S 146-2023")</f>
        <v/>
      </c>
      <c r="AB51">
        <f>HYPERLINK("https://klasma.github.io/Logging_2021/klagomålsmail/S 146-2023 FSC-klagomål mail.docx", "S 146-2023")</f>
        <v/>
      </c>
      <c r="AC51">
        <f>HYPERLINK("https://klasma.github.io/Logging_2021/tillsyn/S 146-2023 tillsynsbegäran.docx", "S 146-2023")</f>
        <v/>
      </c>
      <c r="AD51">
        <f>HYPERLINK("https://klasma.github.io/Logging_2021/tillsynsmail/S 146-2023 tillsynsbegäran mail.docx", "S 146-2023")</f>
        <v/>
      </c>
    </row>
    <row r="52" ht="15" customHeight="1">
      <c r="A52" t="inlineStr">
        <is>
          <t>S 940-2024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45377</v>
      </c>
      <c r="E52" s="1" t="n">
        <v>46299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158.9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HYPERLINK("https://klasma.github.io/Logging_2021/artfynd/S 940-2024 artfynd.xlsx", "S 940-2024")</f>
        <v/>
      </c>
      <c r="X52">
        <f>HYPERLINK("https://klasma.github.io/Logging_2021/kartor/S 940-2024 karta.png", "S 940-2024")</f>
        <v/>
      </c>
      <c r="Y52">
        <f>HYPERLINK("https://klasma.github.io/Logging_2021/kartor_geotiff/S 940-2024 georefererad karta.tif", "S 940-2024")</f>
        <v/>
      </c>
      <c r="AA52">
        <f>HYPERLINK("https://klasma.github.io/Logging_2021/klagomål/S 940-2024 FSC-klagomål.docx", "S 940-2024")</f>
        <v/>
      </c>
      <c r="AB52">
        <f>HYPERLINK("https://klasma.github.io/Logging_2021/klagomålsmail/S 940-2024 FSC-klagomål mail.docx", "S 940-2024")</f>
        <v/>
      </c>
      <c r="AC52">
        <f>HYPERLINK("https://klasma.github.io/Logging_2021/tillsyn/S 940-2024 tillsynsbegäran.docx", "S 940-2024")</f>
        <v/>
      </c>
      <c r="AD52">
        <f>HYPERLINK("https://klasma.github.io/Logging_2021/tillsynsmail/S 940-2024 tillsynsbegäran mail.docx", "S 940-2024")</f>
        <v/>
      </c>
    </row>
    <row r="53" ht="15" customHeight="1">
      <c r="A53" t="inlineStr">
        <is>
          <t>A 54023-2022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46299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46299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46299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46299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44708</v>
      </c>
      <c r="E57" s="1" t="n">
        <v>46299</v>
      </c>
      <c r="F57" t="inlineStr">
        <is>
          <t>DALARNAS LÄN</t>
        </is>
      </c>
      <c r="G57" t="inlineStr">
        <is>
          <t>VANSBRO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46299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46299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46299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46299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46299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46299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46299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46299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46299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46299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44774</v>
      </c>
      <c r="E68" s="1" t="n">
        <v>46299</v>
      </c>
      <c r="F68" t="inlineStr">
        <is>
          <t>DALARNAS LÄN</t>
        </is>
      </c>
      <c r="G68" t="inlineStr">
        <is>
          <t>VANSBRO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44614</v>
      </c>
      <c r="E69" s="1" t="n">
        <v>46299</v>
      </c>
      <c r="F69" t="inlineStr">
        <is>
          <t>DALARNAS LÄN</t>
        </is>
      </c>
      <c r="G69" t="inlineStr">
        <is>
          <t>VANSBRO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46299</v>
      </c>
      <c r="F70" t="inlineStr">
        <is>
          <t>DALARNAS LÄN</t>
        </is>
      </c>
      <c r="G70" t="inlineStr">
        <is>
          <t>VANSBRO</t>
        </is>
      </c>
      <c r="H70" t="inlineStr">
        <is>
          <t>Övriga statliga verk och myndigheter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46299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46299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46299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väst AB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46299</v>
      </c>
      <c r="F74" t="inlineStr">
        <is>
          <t>DALARNAS LÄN</t>
        </is>
      </c>
      <c r="G74" t="inlineStr">
        <is>
          <t>VANSBRO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46299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56098-2021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44477</v>
      </c>
      <c r="E76" s="1" t="n">
        <v>46299</v>
      </c>
      <c r="F76" t="inlineStr">
        <is>
          <t>DALARNAS LÄN</t>
        </is>
      </c>
      <c r="G76" t="inlineStr">
        <is>
          <t>VANSBRO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46299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46299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46299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46299</v>
      </c>
      <c r="F80" t="inlineStr">
        <is>
          <t>DALARNAS LÄN</t>
        </is>
      </c>
      <c r="G80" t="inlineStr">
        <is>
          <t>VANSBRO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46299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46299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46299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45498</v>
      </c>
      <c r="E84" s="1" t="n">
        <v>46299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55078-2022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46299</v>
      </c>
      <c r="F85" t="inlineStr">
        <is>
          <t>DALARNAS LÄN</t>
        </is>
      </c>
      <c r="G85" t="inlineStr">
        <is>
          <t>VANSBRO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34738-2023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45141</v>
      </c>
      <c r="E86" s="1" t="n">
        <v>46299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44957</v>
      </c>
      <c r="E87" s="1" t="n">
        <v>46299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54423-2024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46299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45078</v>
      </c>
      <c r="E89" s="1" t="n">
        <v>46299</v>
      </c>
      <c r="F89" t="inlineStr">
        <is>
          <t>DALARNAS LÄN</t>
        </is>
      </c>
      <c r="G89" t="inlineStr">
        <is>
          <t>VANSBRO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11408-2025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45726</v>
      </c>
      <c r="E90" s="1" t="n">
        <v>46299</v>
      </c>
      <c r="F90" t="inlineStr">
        <is>
          <t>DALARNAS LÄN</t>
        </is>
      </c>
      <c r="G90" t="inlineStr">
        <is>
          <t>VANSBRO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46299</v>
      </c>
      <c r="F91" t="inlineStr">
        <is>
          <t>DALARNAS LÄN</t>
        </is>
      </c>
      <c r="G91" t="inlineStr">
        <is>
          <t>VANSBRO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46299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46299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46299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45544</v>
      </c>
      <c r="E95" s="1" t="n">
        <v>46299</v>
      </c>
      <c r="F95" t="inlineStr">
        <is>
          <t>DALARNAS LÄN</t>
        </is>
      </c>
      <c r="G95" t="inlineStr">
        <is>
          <t>VANSBRO</t>
        </is>
      </c>
      <c r="H95" t="inlineStr">
        <is>
          <t>Övriga statliga verk och myndigheter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44796</v>
      </c>
      <c r="E96" s="1" t="n">
        <v>46299</v>
      </c>
      <c r="F96" t="inlineStr">
        <is>
          <t>DALARNAS LÄN</t>
        </is>
      </c>
      <c r="G96" t="inlineStr">
        <is>
          <t>VANSBRO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46299</v>
      </c>
      <c r="F97" t="inlineStr">
        <is>
          <t>DALARNAS LÄN</t>
        </is>
      </c>
      <c r="G97" t="inlineStr">
        <is>
          <t>VANSBRO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46299</v>
      </c>
      <c r="F98" t="inlineStr">
        <is>
          <t>DALARNAS LÄN</t>
        </is>
      </c>
      <c r="G98" t="inlineStr">
        <is>
          <t>VANSBRO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38670-2025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45884</v>
      </c>
      <c r="E99" s="1" t="n">
        <v>46299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45689</v>
      </c>
      <c r="E100" s="1" t="n">
        <v>46299</v>
      </c>
      <c r="F100" t="inlineStr">
        <is>
          <t>DALARNAS LÄN</t>
        </is>
      </c>
      <c r="G100" t="inlineStr">
        <is>
          <t>VANSBRO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45637</v>
      </c>
      <c r="E101" s="1" t="n">
        <v>46299</v>
      </c>
      <c r="F101" t="inlineStr">
        <is>
          <t>DALARNAS LÄN</t>
        </is>
      </c>
      <c r="G101" t="inlineStr">
        <is>
          <t>VANSBRO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46299</v>
      </c>
      <c r="F102" t="inlineStr">
        <is>
          <t>DALARNAS LÄN</t>
        </is>
      </c>
      <c r="G102" t="inlineStr">
        <is>
          <t>VANSBRO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46299</v>
      </c>
      <c r="F103" t="inlineStr">
        <is>
          <t>DALARNAS LÄN</t>
        </is>
      </c>
      <c r="G103" t="inlineStr">
        <is>
          <t>VANSBRO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46299</v>
      </c>
      <c r="F104" t="inlineStr">
        <is>
          <t>DALARNAS LÄN</t>
        </is>
      </c>
      <c r="G104" t="inlineStr">
        <is>
          <t>VANSBRO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46299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46299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46299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46299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46299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46033</v>
      </c>
      <c r="E110" s="1" t="n">
        <v>46299</v>
      </c>
      <c r="F110" t="inlineStr">
        <is>
          <t>DALARNAS LÄN</t>
        </is>
      </c>
      <c r="G110" t="inlineStr">
        <is>
          <t>VANSBRO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45189</v>
      </c>
      <c r="E111" s="1" t="n">
        <v>46299</v>
      </c>
      <c r="F111" t="inlineStr">
        <is>
          <t>DALARNAS LÄN</t>
        </is>
      </c>
      <c r="G111" t="inlineStr">
        <is>
          <t>VANSBRO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46299</v>
      </c>
      <c r="F112" t="inlineStr">
        <is>
          <t>DALARNAS LÄN</t>
        </is>
      </c>
      <c r="G112" t="inlineStr">
        <is>
          <t>VANSBRO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45512</v>
      </c>
      <c r="E113" s="1" t="n">
        <v>46299</v>
      </c>
      <c r="F113" t="inlineStr">
        <is>
          <t>DALARNAS LÄN</t>
        </is>
      </c>
      <c r="G113" t="inlineStr">
        <is>
          <t>VANSBRO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46299</v>
      </c>
      <c r="F114" t="inlineStr">
        <is>
          <t>DALARNAS LÄN</t>
        </is>
      </c>
      <c r="G114" t="inlineStr">
        <is>
          <t>VANSBRO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46299</v>
      </c>
      <c r="F115" t="inlineStr">
        <is>
          <t>DALARNAS LÄN</t>
        </is>
      </c>
      <c r="G115" t="inlineStr">
        <is>
          <t>VANSBRO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46299</v>
      </c>
      <c r="F116" t="inlineStr">
        <is>
          <t>DALARNAS LÄN</t>
        </is>
      </c>
      <c r="G116" t="inlineStr">
        <is>
          <t>VANSBRO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46299</v>
      </c>
      <c r="F117" t="inlineStr">
        <is>
          <t>DALARNAS LÄN</t>
        </is>
      </c>
      <c r="G117" t="inlineStr">
        <is>
          <t>VANSBRO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46299</v>
      </c>
      <c r="F118" t="inlineStr">
        <is>
          <t>DALARNAS LÄN</t>
        </is>
      </c>
      <c r="G118" t="inlineStr">
        <is>
          <t>VANSBRO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46299</v>
      </c>
      <c r="F119" t="inlineStr">
        <is>
          <t>DALARNAS LÄN</t>
        </is>
      </c>
      <c r="G119" t="inlineStr">
        <is>
          <t>VANSBRO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46299</v>
      </c>
      <c r="F120" t="inlineStr">
        <is>
          <t>DALARNAS LÄN</t>
        </is>
      </c>
      <c r="G120" t="inlineStr">
        <is>
          <t>VANSBRO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46299</v>
      </c>
      <c r="F121" t="inlineStr">
        <is>
          <t>DALARNAS LÄN</t>
        </is>
      </c>
      <c r="G121" t="inlineStr">
        <is>
          <t>VANSBRO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45483</v>
      </c>
      <c r="E122" s="1" t="n">
        <v>46299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46299</v>
      </c>
      <c r="F123" t="inlineStr">
        <is>
          <t>DALARNAS LÄN</t>
        </is>
      </c>
      <c r="G123" t="inlineStr">
        <is>
          <t>VANSBRO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46299</v>
      </c>
      <c r="F124" t="inlineStr">
        <is>
          <t>DALARNAS LÄN</t>
        </is>
      </c>
      <c r="G124" t="inlineStr">
        <is>
          <t>VANSBRO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35516-2024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46299</v>
      </c>
      <c r="F125" t="inlineStr">
        <is>
          <t>DALARNAS LÄN</t>
        </is>
      </c>
      <c r="G125" t="inlineStr">
        <is>
          <t>VANSBRO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46299</v>
      </c>
      <c r="F126" t="inlineStr">
        <is>
          <t>DALARNAS LÄN</t>
        </is>
      </c>
      <c r="G126" t="inlineStr">
        <is>
          <t>VANSBRO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46049</v>
      </c>
      <c r="E127" s="1" t="n">
        <v>46299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46299</v>
      </c>
      <c r="F128" t="inlineStr">
        <is>
          <t>DALARNAS LÄN</t>
        </is>
      </c>
      <c r="G128" t="inlineStr">
        <is>
          <t>VANSBRO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45689</v>
      </c>
      <c r="E129" s="1" t="n">
        <v>46299</v>
      </c>
      <c r="F129" t="inlineStr">
        <is>
          <t>DALARNAS LÄN</t>
        </is>
      </c>
      <c r="G129" t="inlineStr">
        <is>
          <t>VANSBRO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46299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46299</v>
      </c>
      <c r="F131" t="inlineStr">
        <is>
          <t>DALARNAS LÄN</t>
        </is>
      </c>
      <c r="G131" t="inlineStr">
        <is>
          <t>VANSBRO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35299-2024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45530</v>
      </c>
      <c r="E132" s="1" t="n">
        <v>46299</v>
      </c>
      <c r="F132" t="inlineStr">
        <is>
          <t>DALARNAS LÄN</t>
        </is>
      </c>
      <c r="G132" t="inlineStr">
        <is>
          <t>VANSBRO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46299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46050</v>
      </c>
      <c r="E134" s="1" t="n">
        <v>46299</v>
      </c>
      <c r="F134" t="inlineStr">
        <is>
          <t>DALARNAS LÄN</t>
        </is>
      </c>
      <c r="G134" t="inlineStr">
        <is>
          <t>VANSBRO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46299</v>
      </c>
      <c r="F135" t="inlineStr">
        <is>
          <t>DALARNAS LÄN</t>
        </is>
      </c>
      <c r="G135" t="inlineStr">
        <is>
          <t>VANSBRO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46299</v>
      </c>
      <c r="F136" t="inlineStr">
        <is>
          <t>DALARNAS LÄN</t>
        </is>
      </c>
      <c r="G136" t="inlineStr">
        <is>
          <t>VANSBRO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46299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46299</v>
      </c>
      <c r="F138" t="inlineStr">
        <is>
          <t>DALARNAS LÄN</t>
        </is>
      </c>
      <c r="G138" t="inlineStr">
        <is>
          <t>VANSBRO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46299</v>
      </c>
      <c r="F139" t="inlineStr">
        <is>
          <t>DALARNAS LÄN</t>
        </is>
      </c>
      <c r="G139" t="inlineStr">
        <is>
          <t>VANSBRO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46058</v>
      </c>
      <c r="E140" s="1" t="n">
        <v>46299</v>
      </c>
      <c r="F140" t="inlineStr">
        <is>
          <t>DALARNAS LÄN</t>
        </is>
      </c>
      <c r="G140" t="inlineStr">
        <is>
          <t>VANSBRO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46299</v>
      </c>
      <c r="F141" t="inlineStr">
        <is>
          <t>DALARNAS LÄN</t>
        </is>
      </c>
      <c r="G141" t="inlineStr">
        <is>
          <t>VANSBRO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46058</v>
      </c>
      <c r="E142" s="1" t="n">
        <v>46299</v>
      </c>
      <c r="F142" t="inlineStr">
        <is>
          <t>DALARNAS LÄN</t>
        </is>
      </c>
      <c r="G142" t="inlineStr">
        <is>
          <t>VANSBRO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49565-2022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44862</v>
      </c>
      <c r="E143" s="1" t="n">
        <v>46299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46299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45933</v>
      </c>
      <c r="E145" s="1" t="n">
        <v>46299</v>
      </c>
      <c r="F145" t="inlineStr">
        <is>
          <t>DALARNAS LÄN</t>
        </is>
      </c>
      <c r="G145" t="inlineStr">
        <is>
          <t>VANSBRO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46299</v>
      </c>
      <c r="F146" t="inlineStr">
        <is>
          <t>DALARNAS LÄN</t>
        </is>
      </c>
      <c r="G146" t="inlineStr">
        <is>
          <t>VANSBRO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46299</v>
      </c>
      <c r="F147" t="inlineStr">
        <is>
          <t>DALARNAS LÄN</t>
        </is>
      </c>
      <c r="G147" t="inlineStr">
        <is>
          <t>VANSBRO</t>
        </is>
      </c>
      <c r="I147" t="n">
        <v>15.1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46299</v>
      </c>
      <c r="F148" t="inlineStr">
        <is>
          <t>DALARNAS LÄN</t>
        </is>
      </c>
      <c r="G148" t="inlineStr">
        <is>
          <t>VANSBRO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46299</v>
      </c>
      <c r="F149" t="inlineStr">
        <is>
          <t>DALARNAS LÄN</t>
        </is>
      </c>
      <c r="G149" t="inlineStr">
        <is>
          <t>VANSBRO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45666</v>
      </c>
      <c r="E150" s="1" t="n">
        <v>46299</v>
      </c>
      <c r="F150" t="inlineStr">
        <is>
          <t>DALARNAS LÄN</t>
        </is>
      </c>
      <c r="G150" t="inlineStr">
        <is>
          <t>VANSBRO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46299</v>
      </c>
      <c r="F151" t="inlineStr">
        <is>
          <t>DALARNAS LÄN</t>
        </is>
      </c>
      <c r="G151" t="inlineStr">
        <is>
          <t>VANSBRO</t>
        </is>
      </c>
      <c r="I151" t="n">
        <v>19.1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56269-2023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46299</v>
      </c>
      <c r="F152" t="inlineStr">
        <is>
          <t>DALARNAS LÄN</t>
        </is>
      </c>
      <c r="G152" t="inlineStr">
        <is>
          <t>VANSBRO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46299</v>
      </c>
      <c r="F153" t="inlineStr">
        <is>
          <t>DALARNAS LÄN</t>
        </is>
      </c>
      <c r="G153" t="inlineStr">
        <is>
          <t>VANSBRO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45673</v>
      </c>
      <c r="E154" s="1" t="n">
        <v>46299</v>
      </c>
      <c r="F154" t="inlineStr">
        <is>
          <t>DALARNAS LÄN</t>
        </is>
      </c>
      <c r="G154" t="inlineStr">
        <is>
          <t>VANSBRO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45576</v>
      </c>
      <c r="E155" s="1" t="n">
        <v>46299</v>
      </c>
      <c r="F155" t="inlineStr">
        <is>
          <t>DALARNAS LÄN</t>
        </is>
      </c>
      <c r="G155" t="inlineStr">
        <is>
          <t>VANSBRO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46299</v>
      </c>
      <c r="F156" t="inlineStr">
        <is>
          <t>DALARNAS LÄN</t>
        </is>
      </c>
      <c r="G156" t="inlineStr">
        <is>
          <t>VANSBRO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48840-2025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45937</v>
      </c>
      <c r="E157" s="1" t="n">
        <v>46299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46299</v>
      </c>
      <c r="F158" t="inlineStr">
        <is>
          <t>DALARNAS LÄN</t>
        </is>
      </c>
      <c r="G158" t="inlineStr">
        <is>
          <t>VANSBRO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46299</v>
      </c>
      <c r="F159" t="inlineStr">
        <is>
          <t>DALARNAS LÄN</t>
        </is>
      </c>
      <c r="G159" t="inlineStr">
        <is>
          <t>VANSBRO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46299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46299</v>
      </c>
      <c r="F161" t="inlineStr">
        <is>
          <t>DALARNAS LÄN</t>
        </is>
      </c>
      <c r="G161" t="inlineStr">
        <is>
          <t>VANSBRO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46299</v>
      </c>
      <c r="F162" t="inlineStr">
        <is>
          <t>DALARNAS LÄN</t>
        </is>
      </c>
      <c r="G162" t="inlineStr">
        <is>
          <t>VANSBRO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46299</v>
      </c>
      <c r="F163" t="inlineStr">
        <is>
          <t>DALARNAS LÄN</t>
        </is>
      </c>
      <c r="G163" t="inlineStr">
        <is>
          <t>VANSBRO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46299</v>
      </c>
      <c r="F164" t="inlineStr">
        <is>
          <t>DALARNAS LÄN</t>
        </is>
      </c>
      <c r="G164" t="inlineStr">
        <is>
          <t>VANSBRO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46299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46299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46299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44728</v>
      </c>
      <c r="E168" s="1" t="n">
        <v>46299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46299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46299</v>
      </c>
      <c r="F170" t="inlineStr">
        <is>
          <t>DALARNAS LÄN</t>
        </is>
      </c>
      <c r="G170" t="inlineStr">
        <is>
          <t>VANSBRO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46299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46299</v>
      </c>
      <c r="F172" t="inlineStr">
        <is>
          <t>DALARNAS LÄN</t>
        </is>
      </c>
      <c r="G172" t="inlineStr">
        <is>
          <t>VANSBRO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46082</v>
      </c>
      <c r="E173" s="1" t="n">
        <v>46299</v>
      </c>
      <c r="F173" t="inlineStr">
        <is>
          <t>DALARNAS LÄN</t>
        </is>
      </c>
      <c r="G173" t="inlineStr">
        <is>
          <t>VANSBRO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51855-2025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46299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46082</v>
      </c>
      <c r="E175" s="1" t="n">
        <v>46299</v>
      </c>
      <c r="F175" t="inlineStr">
        <is>
          <t>DALARNAS LÄN</t>
        </is>
      </c>
      <c r="G175" t="inlineStr">
        <is>
          <t>VANSBRO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46299</v>
      </c>
      <c r="F176" t="inlineStr">
        <is>
          <t>DALARNAS LÄN</t>
        </is>
      </c>
      <c r="G176" t="inlineStr">
        <is>
          <t>VANSBRO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46299</v>
      </c>
      <c r="F177" t="inlineStr">
        <is>
          <t>DALARNAS LÄN</t>
        </is>
      </c>
      <c r="G177" t="inlineStr">
        <is>
          <t>VANSBRO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45956</v>
      </c>
      <c r="E178" s="1" t="n">
        <v>46299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46299</v>
      </c>
      <c r="F179" t="inlineStr">
        <is>
          <t>DALARNAS LÄN</t>
        </is>
      </c>
      <c r="G179" t="inlineStr">
        <is>
          <t>VANSBRO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46299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46299</v>
      </c>
      <c r="F181" t="inlineStr">
        <is>
          <t>DALARNAS LÄN</t>
        </is>
      </c>
      <c r="G181" t="inlineStr">
        <is>
          <t>VANSBRO</t>
        </is>
      </c>
      <c r="I181" t="n">
        <v>12.6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46299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46299</v>
      </c>
      <c r="F183" t="inlineStr">
        <is>
          <t>DALARNAS LÄN</t>
        </is>
      </c>
      <c r="G183" t="inlineStr">
        <is>
          <t>VANSBRO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45183</v>
      </c>
      <c r="E184" s="1" t="n">
        <v>46299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45961</v>
      </c>
      <c r="E185" s="1" t="n">
        <v>46299</v>
      </c>
      <c r="F185" t="inlineStr">
        <is>
          <t>DALARNAS LÄN</t>
        </is>
      </c>
      <c r="G185" t="inlineStr">
        <is>
          <t>VANSBRO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46299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46299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46299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46299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45665</v>
      </c>
      <c r="E190" s="1" t="n">
        <v>46299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46299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46299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46299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46299</v>
      </c>
      <c r="F194" t="inlineStr">
        <is>
          <t>DALARNAS LÄN</t>
        </is>
      </c>
      <c r="G194" t="inlineStr">
        <is>
          <t>VANSBRO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46299</v>
      </c>
      <c r="F195" t="inlineStr">
        <is>
          <t>DALARNAS LÄN</t>
        </is>
      </c>
      <c r="G195" t="inlineStr">
        <is>
          <t>VANSBRO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46299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46299</v>
      </c>
      <c r="F197" t="inlineStr">
        <is>
          <t>DALARNAS LÄN</t>
        </is>
      </c>
      <c r="G197" t="inlineStr">
        <is>
          <t>VANSBRO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46299</v>
      </c>
      <c r="F198" t="inlineStr">
        <is>
          <t>DALARNAS LÄN</t>
        </is>
      </c>
      <c r="G198" t="inlineStr">
        <is>
          <t>VANSBRO</t>
        </is>
      </c>
      <c r="H198" t="inlineStr">
        <is>
          <t>Övriga statliga verk och myndigheter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46299</v>
      </c>
      <c r="F199" t="inlineStr">
        <is>
          <t>DALARNAS LÄN</t>
        </is>
      </c>
      <c r="G199" t="inlineStr">
        <is>
          <t>VANSBRO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46299</v>
      </c>
      <c r="F200" t="inlineStr">
        <is>
          <t>DALARNAS LÄN</t>
        </is>
      </c>
      <c r="G200" t="inlineStr">
        <is>
          <t>VANSBRO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46299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46099</v>
      </c>
      <c r="E202" s="1" t="n">
        <v>46299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46299</v>
      </c>
      <c r="F203" t="inlineStr">
        <is>
          <t>DALARNAS LÄN</t>
        </is>
      </c>
      <c r="G203" t="inlineStr">
        <is>
          <t>VANSBRO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46299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46299</v>
      </c>
      <c r="F205" t="inlineStr">
        <is>
          <t>DALARNAS LÄN</t>
        </is>
      </c>
      <c r="G205" t="inlineStr">
        <is>
          <t>VANSBRO</t>
        </is>
      </c>
      <c r="H205" t="inlineStr">
        <is>
          <t>Övriga statliga verk och myndigheter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46299</v>
      </c>
      <c r="F206" t="inlineStr">
        <is>
          <t>DALARNAS LÄN</t>
        </is>
      </c>
      <c r="G206" t="inlineStr">
        <is>
          <t>VANSBRO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46092</v>
      </c>
      <c r="E207" s="1" t="n">
        <v>46299</v>
      </c>
      <c r="F207" t="inlineStr">
        <is>
          <t>DALARNAS LÄN</t>
        </is>
      </c>
      <c r="G207" t="inlineStr">
        <is>
          <t>VANSBRO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46299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46299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46299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46299</v>
      </c>
      <c r="F211" t="inlineStr">
        <is>
          <t>DALARNAS LÄN</t>
        </is>
      </c>
      <c r="G211" t="inlineStr">
        <is>
          <t>VANSBRO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46299</v>
      </c>
      <c r="F212" t="inlineStr">
        <is>
          <t>DALARNAS LÄN</t>
        </is>
      </c>
      <c r="G212" t="inlineStr">
        <is>
          <t>VANSBRO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46299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46299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46114</v>
      </c>
      <c r="E215" s="1" t="n">
        <v>46299</v>
      </c>
      <c r="F215" t="inlineStr">
        <is>
          <t>DALARNAS LÄN</t>
        </is>
      </c>
      <c r="G215" t="inlineStr">
        <is>
          <t>VANSBRO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46299</v>
      </c>
      <c r="F216" t="inlineStr">
        <is>
          <t>DALARNAS LÄN</t>
        </is>
      </c>
      <c r="G216" t="inlineStr">
        <is>
          <t>VANSBRO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45987</v>
      </c>
      <c r="E217" s="1" t="n">
        <v>46299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46299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46299</v>
      </c>
      <c r="F219" t="inlineStr">
        <is>
          <t>DALARNAS LÄN</t>
        </is>
      </c>
      <c r="G219" t="inlineStr">
        <is>
          <t>VANSBRO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46119</v>
      </c>
      <c r="E220" s="1" t="n">
        <v>46299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46299</v>
      </c>
      <c r="F221" t="inlineStr">
        <is>
          <t>DALARNAS LÄN</t>
        </is>
      </c>
      <c r="G221" t="inlineStr">
        <is>
          <t>VANSBRO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46299</v>
      </c>
      <c r="F222" t="inlineStr">
        <is>
          <t>DALARNAS LÄN</t>
        </is>
      </c>
      <c r="G222" t="inlineStr">
        <is>
          <t>VANSBRO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46299</v>
      </c>
      <c r="F223" t="inlineStr">
        <is>
          <t>DALARNAS LÄN</t>
        </is>
      </c>
      <c r="G223" t="inlineStr">
        <is>
          <t>VANSBRO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46299</v>
      </c>
      <c r="F224" t="inlineStr">
        <is>
          <t>DALARNAS LÄN</t>
        </is>
      </c>
      <c r="G224" t="inlineStr">
        <is>
          <t>VANSBRO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46299</v>
      </c>
      <c r="F225" t="inlineStr">
        <is>
          <t>DALARNAS LÄN</t>
        </is>
      </c>
      <c r="G225" t="inlineStr">
        <is>
          <t>VANSBRO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46299</v>
      </c>
      <c r="F226" t="inlineStr">
        <is>
          <t>DALARNAS LÄN</t>
        </is>
      </c>
      <c r="G226" t="inlineStr">
        <is>
          <t>VANSBRO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46299</v>
      </c>
      <c r="F227" t="inlineStr">
        <is>
          <t>DALARNAS LÄN</t>
        </is>
      </c>
      <c r="G227" t="inlineStr">
        <is>
          <t>VANSBRO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46299</v>
      </c>
      <c r="F228" t="inlineStr">
        <is>
          <t>DALARNAS LÄN</t>
        </is>
      </c>
      <c r="G228" t="inlineStr">
        <is>
          <t>VANSBRO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45063</v>
      </c>
      <c r="E229" s="1" t="n">
        <v>46299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45691</v>
      </c>
      <c r="E230" s="1" t="n">
        <v>46299</v>
      </c>
      <c r="F230" t="inlineStr">
        <is>
          <t>DALARNAS LÄN</t>
        </is>
      </c>
      <c r="G230" t="inlineStr">
        <is>
          <t>VANSBRO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46124</v>
      </c>
      <c r="E231" s="1" t="n">
        <v>46299</v>
      </c>
      <c r="F231" t="inlineStr">
        <is>
          <t>DALARNAS LÄN</t>
        </is>
      </c>
      <c r="G231" t="inlineStr">
        <is>
          <t>VANSBRO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53839-2022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44880</v>
      </c>
      <c r="E232" s="1" t="n">
        <v>46299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46299</v>
      </c>
      <c r="F233" t="inlineStr">
        <is>
          <t>DALARNAS LÄN</t>
        </is>
      </c>
      <c r="G233" t="inlineStr">
        <is>
          <t>VANSBRO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46299</v>
      </c>
      <c r="F234" t="inlineStr">
        <is>
          <t>DALARNAS LÄN</t>
        </is>
      </c>
      <c r="G234" t="inlineStr">
        <is>
          <t>VANSBRO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46299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18709-2026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46128</v>
      </c>
      <c r="E236" s="1" t="n">
        <v>46299</v>
      </c>
      <c r="F236" t="inlineStr">
        <is>
          <t>DALARNAS LÄN</t>
        </is>
      </c>
      <c r="G236" t="inlineStr">
        <is>
          <t>VANSBRO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46299</v>
      </c>
      <c r="F237" t="inlineStr">
        <is>
          <t>DALARNAS LÄN</t>
        </is>
      </c>
      <c r="G237" t="inlineStr">
        <is>
          <t>VANSBRO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46299</v>
      </c>
      <c r="F238" t="inlineStr">
        <is>
          <t>DALARNAS LÄN</t>
        </is>
      </c>
      <c r="G238" t="inlineStr">
        <is>
          <t>VANSBRO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46299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45182</v>
      </c>
      <c r="E240" s="1" t="n">
        <v>46299</v>
      </c>
      <c r="F240" t="inlineStr">
        <is>
          <t>DALARNAS LÄN</t>
        </is>
      </c>
      <c r="G240" t="inlineStr">
        <is>
          <t>VANSBRO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46299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46299</v>
      </c>
      <c r="F242" t="inlineStr">
        <is>
          <t>DALARNAS LÄN</t>
        </is>
      </c>
      <c r="G242" t="inlineStr">
        <is>
          <t>VANSBRO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45443</v>
      </c>
      <c r="E243" s="1" t="n">
        <v>46299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46299</v>
      </c>
      <c r="F244" t="inlineStr">
        <is>
          <t>DALARNAS LÄN</t>
        </is>
      </c>
      <c r="G244" t="inlineStr">
        <is>
          <t>VANSBRO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45689</v>
      </c>
      <c r="E245" s="1" t="n">
        <v>46299</v>
      </c>
      <c r="F245" t="inlineStr">
        <is>
          <t>DALARNAS LÄN</t>
        </is>
      </c>
      <c r="G245" t="inlineStr">
        <is>
          <t>VANSBRO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46135</v>
      </c>
      <c r="E246" s="1" t="n">
        <v>46299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46299</v>
      </c>
      <c r="F247" t="inlineStr">
        <is>
          <t>DALARNAS LÄN</t>
        </is>
      </c>
      <c r="G247" t="inlineStr">
        <is>
          <t>VANSBRO</t>
        </is>
      </c>
      <c r="I247" t="n">
        <v>27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46299</v>
      </c>
      <c r="F248" t="inlineStr">
        <is>
          <t>DALARNAS LÄN</t>
        </is>
      </c>
      <c r="G248" t="inlineStr">
        <is>
          <t>VANSBRO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45516</v>
      </c>
      <c r="E249" s="1" t="n">
        <v>46299</v>
      </c>
      <c r="F249" t="inlineStr">
        <is>
          <t>DALARNAS LÄN</t>
        </is>
      </c>
      <c r="G249" t="inlineStr">
        <is>
          <t>VANSBRO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44798</v>
      </c>
      <c r="E250" s="1" t="n">
        <v>46299</v>
      </c>
      <c r="F250" t="inlineStr">
        <is>
          <t>DALARNAS LÄN</t>
        </is>
      </c>
      <c r="G250" t="inlineStr">
        <is>
          <t>VANSBRO</t>
        </is>
      </c>
      <c r="H250" t="inlineStr">
        <is>
          <t>Kommuner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46299</v>
      </c>
      <c r="F251" t="inlineStr">
        <is>
          <t>DALARNAS LÄN</t>
        </is>
      </c>
      <c r="G251" t="inlineStr">
        <is>
          <t>VANSBRO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46299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45214</v>
      </c>
      <c r="E253" s="1" t="n">
        <v>46299</v>
      </c>
      <c r="F253" t="inlineStr">
        <is>
          <t>DALARNAS LÄN</t>
        </is>
      </c>
      <c r="G253" t="inlineStr">
        <is>
          <t>VANSBRO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46299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46299</v>
      </c>
      <c r="F255" t="inlineStr">
        <is>
          <t>DALARNAS LÄN</t>
        </is>
      </c>
      <c r="G255" t="inlineStr">
        <is>
          <t>VANSBRO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46299</v>
      </c>
      <c r="F256" t="inlineStr">
        <is>
          <t>DALARNAS LÄN</t>
        </is>
      </c>
      <c r="G256" t="inlineStr">
        <is>
          <t>VANSBRO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46299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46299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öst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46299</v>
      </c>
      <c r="F259" t="inlineStr">
        <is>
          <t>DALARNAS LÄN</t>
        </is>
      </c>
      <c r="G259" t="inlineStr">
        <is>
          <t>VANSBRO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46299</v>
      </c>
      <c r="F260" t="inlineStr">
        <is>
          <t>DALARNAS LÄN</t>
        </is>
      </c>
      <c r="G260" t="inlineStr">
        <is>
          <t>VANSBRO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46299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öst AB</t>
        </is>
      </c>
      <c r="I261" t="n">
        <v>45.8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46299</v>
      </c>
      <c r="F262" t="inlineStr">
        <is>
          <t>DALARNAS LÄN</t>
        </is>
      </c>
      <c r="G262" t="inlineStr">
        <is>
          <t>VANSBRO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46299</v>
      </c>
      <c r="F263" t="inlineStr">
        <is>
          <t>DALARNAS LÄN</t>
        </is>
      </c>
      <c r="G263" t="inlineStr">
        <is>
          <t>VANSBRO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11598-2025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46299</v>
      </c>
      <c r="F264" t="inlineStr">
        <is>
          <t>DALARNAS LÄN</t>
        </is>
      </c>
      <c r="G264" t="inlineStr">
        <is>
          <t>VANSBRO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46299</v>
      </c>
      <c r="F265" t="inlineStr">
        <is>
          <t>DALARNAS LÄN</t>
        </is>
      </c>
      <c r="G265" t="inlineStr">
        <is>
          <t>VANSBRO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45533</v>
      </c>
      <c r="E266" s="1" t="n">
        <v>46299</v>
      </c>
      <c r="F266" t="inlineStr">
        <is>
          <t>DALARNAS LÄN</t>
        </is>
      </c>
      <c r="G266" t="inlineStr">
        <is>
          <t>VANSBRO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45776</v>
      </c>
      <c r="E267" s="1" t="n">
        <v>46299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45806</v>
      </c>
      <c r="E268" s="1" t="n">
        <v>46299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45665</v>
      </c>
      <c r="E269" s="1" t="n">
        <v>46299</v>
      </c>
      <c r="F269" t="inlineStr">
        <is>
          <t>DALARNAS LÄN</t>
        </is>
      </c>
      <c r="G269" t="inlineStr">
        <is>
          <t>VANSBRO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46299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45453</v>
      </c>
      <c r="E271" s="1" t="n">
        <v>46299</v>
      </c>
      <c r="F271" t="inlineStr">
        <is>
          <t>DALARNAS LÄN</t>
        </is>
      </c>
      <c r="G271" t="inlineStr">
        <is>
          <t>VANSBRO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45854</v>
      </c>
      <c r="E272" s="1" t="n">
        <v>46299</v>
      </c>
      <c r="F272" t="inlineStr">
        <is>
          <t>DALARNAS LÄN</t>
        </is>
      </c>
      <c r="G272" t="inlineStr">
        <is>
          <t>VANSBRO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46299</v>
      </c>
      <c r="F273" t="inlineStr">
        <is>
          <t>DALARNAS LÄN</t>
        </is>
      </c>
      <c r="G273" t="inlineStr">
        <is>
          <t>VANSBRO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46299</v>
      </c>
      <c r="F274" t="inlineStr">
        <is>
          <t>DALARNAS LÄN</t>
        </is>
      </c>
      <c r="G274" t="inlineStr">
        <is>
          <t>VANSBRO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45756</v>
      </c>
      <c r="E275" s="1" t="n">
        <v>46299</v>
      </c>
      <c r="F275" t="inlineStr">
        <is>
          <t>DALARNAS LÄN</t>
        </is>
      </c>
      <c r="G275" t="inlineStr">
        <is>
          <t>VANSBRO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45860</v>
      </c>
      <c r="E276" s="1" t="n">
        <v>46299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öst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46299</v>
      </c>
      <c r="F277" t="inlineStr">
        <is>
          <t>DALARNAS LÄN</t>
        </is>
      </c>
      <c r="G277" t="inlineStr">
        <is>
          <t>VANSBRO</t>
        </is>
      </c>
      <c r="H277" t="inlineStr">
        <is>
          <t>Övriga statliga verk och myndigheter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46299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20189-2025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45772</v>
      </c>
      <c r="E279" s="1" t="n">
        <v>46299</v>
      </c>
      <c r="F279" t="inlineStr">
        <is>
          <t>DALARNAS LÄN</t>
        </is>
      </c>
      <c r="G279" t="inlineStr">
        <is>
          <t>VANSBRO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46299</v>
      </c>
      <c r="F280" t="inlineStr">
        <is>
          <t>DALARNAS LÄN</t>
        </is>
      </c>
      <c r="G280" t="inlineStr">
        <is>
          <t>VANSBRO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46299</v>
      </c>
      <c r="F281" t="inlineStr">
        <is>
          <t>DALARNAS LÄN</t>
        </is>
      </c>
      <c r="G281" t="inlineStr">
        <is>
          <t>VANSBRO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45363</v>
      </c>
      <c r="E282" s="1" t="n">
        <v>46299</v>
      </c>
      <c r="F282" t="inlineStr">
        <is>
          <t>DALARNAS LÄN</t>
        </is>
      </c>
      <c r="G282" t="inlineStr">
        <is>
          <t>VANSBRO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8694-2023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44972</v>
      </c>
      <c r="E283" s="1" t="n">
        <v>46299</v>
      </c>
      <c r="F283" t="inlineStr">
        <is>
          <t>DALARNAS LÄN</t>
        </is>
      </c>
      <c r="G283" t="inlineStr">
        <is>
          <t>VANSBRO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45817</v>
      </c>
      <c r="E284" s="1" t="n">
        <v>46299</v>
      </c>
      <c r="F284" t="inlineStr">
        <is>
          <t>DALARNAS LÄN</t>
        </is>
      </c>
      <c r="G284" t="inlineStr">
        <is>
          <t>VANSBRO</t>
        </is>
      </c>
      <c r="I284" t="n">
        <v>15.8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46299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45772</v>
      </c>
      <c r="E286" s="1" t="n">
        <v>46299</v>
      </c>
      <c r="F286" t="inlineStr">
        <is>
          <t>DALARNAS LÄN</t>
        </is>
      </c>
      <c r="G286" t="inlineStr">
        <is>
          <t>VANSBRO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45868</v>
      </c>
      <c r="E287" s="1" t="n">
        <v>46299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46299</v>
      </c>
      <c r="F288" t="inlineStr">
        <is>
          <t>DALARNAS LÄN</t>
        </is>
      </c>
      <c r="G288" t="inlineStr">
        <is>
          <t>VANSBRO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46021</v>
      </c>
      <c r="E289" s="1" t="n">
        <v>46299</v>
      </c>
      <c r="F289" t="inlineStr">
        <is>
          <t>DALARNAS LÄN</t>
        </is>
      </c>
      <c r="G289" t="inlineStr">
        <is>
          <t>VANSBRO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46299</v>
      </c>
      <c r="F290" t="inlineStr">
        <is>
          <t>DALARNAS LÄN</t>
        </is>
      </c>
      <c r="G290" t="inlineStr">
        <is>
          <t>VANSBRO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46079</v>
      </c>
      <c r="E291" s="1" t="n">
        <v>46299</v>
      </c>
      <c r="F291" t="inlineStr">
        <is>
          <t>DALARNAS LÄN</t>
        </is>
      </c>
      <c r="G291" t="inlineStr">
        <is>
          <t>VANSBRO</t>
        </is>
      </c>
      <c r="H291" t="inlineStr">
        <is>
          <t>Övriga statliga verk och myndigheter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46299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46149</v>
      </c>
      <c r="E293" s="1" t="n">
        <v>46299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8447-2022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44612</v>
      </c>
      <c r="E294" s="1" t="n">
        <v>46299</v>
      </c>
      <c r="F294" t="inlineStr">
        <is>
          <t>DALARNAS LÄN</t>
        </is>
      </c>
      <c r="G294" t="inlineStr">
        <is>
          <t>VANSBRO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45691</v>
      </c>
      <c r="E295" s="1" t="n">
        <v>46299</v>
      </c>
      <c r="F295" t="inlineStr">
        <is>
          <t>DALARNAS LÄN</t>
        </is>
      </c>
      <c r="G295" t="inlineStr">
        <is>
          <t>VANSBRO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45350</v>
      </c>
      <c r="E296" s="1" t="n">
        <v>46299</v>
      </c>
      <c r="F296" t="inlineStr">
        <is>
          <t>DALARNAS LÄN</t>
        </is>
      </c>
      <c r="G296" t="inlineStr">
        <is>
          <t>VANSBRO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46299</v>
      </c>
      <c r="F297" t="inlineStr">
        <is>
          <t>DALARNAS LÄN</t>
        </is>
      </c>
      <c r="G297" t="inlineStr">
        <is>
          <t>VANSBRO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45322</v>
      </c>
      <c r="E298" s="1" t="n">
        <v>46299</v>
      </c>
      <c r="F298" t="inlineStr">
        <is>
          <t>DALARNAS LÄN</t>
        </is>
      </c>
      <c r="G298" t="inlineStr">
        <is>
          <t>VANSBRO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46299</v>
      </c>
      <c r="F299" t="inlineStr">
        <is>
          <t>DALARNAS LÄN</t>
        </is>
      </c>
      <c r="G299" t="inlineStr">
        <is>
          <t>VANSBRO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45309</v>
      </c>
      <c r="E300" s="1" t="n">
        <v>46299</v>
      </c>
      <c r="F300" t="inlineStr">
        <is>
          <t>DALARNAS LÄN</t>
        </is>
      </c>
      <c r="G300" t="inlineStr">
        <is>
          <t>VANSBRO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46154</v>
      </c>
      <c r="E301" s="1" t="n">
        <v>46299</v>
      </c>
      <c r="F301" t="inlineStr">
        <is>
          <t>DALARNAS LÄN</t>
        </is>
      </c>
      <c r="G301" t="inlineStr">
        <is>
          <t>VANSBRO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46299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46299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46299</v>
      </c>
      <c r="F304" t="inlineStr">
        <is>
          <t>DALARNAS LÄN</t>
        </is>
      </c>
      <c r="G304" t="inlineStr">
        <is>
          <t>VANSBRO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45471</v>
      </c>
      <c r="E305" s="1" t="n">
        <v>46299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44509</v>
      </c>
      <c r="E306" s="1" t="n">
        <v>46299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45712</v>
      </c>
      <c r="E307" s="1" t="n">
        <v>46299</v>
      </c>
      <c r="F307" t="inlineStr">
        <is>
          <t>DALARNAS LÄN</t>
        </is>
      </c>
      <c r="G307" t="inlineStr">
        <is>
          <t>VANSBRO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51400-2024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46299</v>
      </c>
      <c r="F308" t="inlineStr">
        <is>
          <t>DALARNAS LÄN</t>
        </is>
      </c>
      <c r="G308" t="inlineStr">
        <is>
          <t>VANSBRO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5386-2024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45331</v>
      </c>
      <c r="E309" s="1" t="n">
        <v>46299</v>
      </c>
      <c r="F309" t="inlineStr">
        <is>
          <t>DALARNAS LÄN</t>
        </is>
      </c>
      <c r="G309" t="inlineStr">
        <is>
          <t>VANSBRO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46299</v>
      </c>
      <c r="F310" t="inlineStr">
        <is>
          <t>DALARNAS LÄN</t>
        </is>
      </c>
      <c r="G310" t="inlineStr">
        <is>
          <t>VANSBRO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46299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46299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45876</v>
      </c>
      <c r="E313" s="1" t="n">
        <v>46299</v>
      </c>
      <c r="F313" t="inlineStr">
        <is>
          <t>DALARNAS LÄN</t>
        </is>
      </c>
      <c r="G313" t="inlineStr">
        <is>
          <t>VANSBRO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45876</v>
      </c>
      <c r="E314" s="1" t="n">
        <v>46299</v>
      </c>
      <c r="F314" t="inlineStr">
        <is>
          <t>DALARNAS LÄN</t>
        </is>
      </c>
      <c r="G314" t="inlineStr">
        <is>
          <t>VANSBRO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45481</v>
      </c>
      <c r="E315" s="1" t="n">
        <v>46299</v>
      </c>
      <c r="F315" t="inlineStr">
        <is>
          <t>DALARNAS LÄN</t>
        </is>
      </c>
      <c r="G315" t="inlineStr">
        <is>
          <t>VANSBRO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24384-2024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45457</v>
      </c>
      <c r="E316" s="1" t="n">
        <v>46299</v>
      </c>
      <c r="F316" t="inlineStr">
        <is>
          <t>DALARNAS LÄN</t>
        </is>
      </c>
      <c r="G316" t="inlineStr">
        <is>
          <t>VANSBRO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13062-2023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45002</v>
      </c>
      <c r="E317" s="1" t="n">
        <v>46299</v>
      </c>
      <c r="F317" t="inlineStr">
        <is>
          <t>DALARNAS LÄN</t>
        </is>
      </c>
      <c r="G317" t="inlineStr">
        <is>
          <t>VANSBRO</t>
        </is>
      </c>
      <c r="H317" t="inlineStr">
        <is>
          <t>Övriga statliga verk och myndigheter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46299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46299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45532</v>
      </c>
      <c r="E320" s="1" t="n">
        <v>46299</v>
      </c>
      <c r="F320" t="inlineStr">
        <is>
          <t>DALARNAS LÄN</t>
        </is>
      </c>
      <c r="G320" t="inlineStr">
        <is>
          <t>VANSBRO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46299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53498-2024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46299</v>
      </c>
      <c r="F322" t="inlineStr">
        <is>
          <t>DALARNAS LÄN</t>
        </is>
      </c>
      <c r="G322" t="inlineStr">
        <is>
          <t>VANSBRO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43139-2023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45183</v>
      </c>
      <c r="E323" s="1" t="n">
        <v>46299</v>
      </c>
      <c r="F323" t="inlineStr">
        <is>
          <t>DALARNAS LÄN</t>
        </is>
      </c>
      <c r="G323" t="inlineStr">
        <is>
          <t>VANSBRO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45106</v>
      </c>
      <c r="E324" s="1" t="n">
        <v>46299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25958-2026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46299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46299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46299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22.1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46299</v>
      </c>
      <c r="F328" t="inlineStr">
        <is>
          <t>DALARNAS LÄN</t>
        </is>
      </c>
      <c r="G328" t="inlineStr">
        <is>
          <t>VANSBRO</t>
        </is>
      </c>
      <c r="H328" t="inlineStr">
        <is>
          <t>Övriga statliga verk och myndigheter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46299</v>
      </c>
      <c r="F329" t="inlineStr">
        <is>
          <t>DALARNAS LÄN</t>
        </is>
      </c>
      <c r="G329" t="inlineStr">
        <is>
          <t>VANSBRO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46299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46299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48111-2024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45589</v>
      </c>
      <c r="E332" s="1" t="n">
        <v>46299</v>
      </c>
      <c r="F332" t="inlineStr">
        <is>
          <t>DALARNAS LÄN</t>
        </is>
      </c>
      <c r="G332" t="inlineStr">
        <is>
          <t>VANSBRO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46299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46299</v>
      </c>
      <c r="F334" t="inlineStr">
        <is>
          <t>DALARNAS LÄN</t>
        </is>
      </c>
      <c r="G334" t="inlineStr">
        <is>
          <t>VANSBRO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46299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46299</v>
      </c>
      <c r="F336" t="inlineStr">
        <is>
          <t>DALARNAS LÄN</t>
        </is>
      </c>
      <c r="G336" t="inlineStr">
        <is>
          <t>VANSBRO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46299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46299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46299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46299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46191</v>
      </c>
      <c r="E341" s="1" t="n">
        <v>46299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öst AB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46299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47824-2023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45204</v>
      </c>
      <c r="E343" s="1" t="n">
        <v>46299</v>
      </c>
      <c r="F343" t="inlineStr">
        <is>
          <t>DALARNAS LÄN</t>
        </is>
      </c>
      <c r="G343" t="inlineStr">
        <is>
          <t>VANSBRO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46299</v>
      </c>
      <c r="F344" t="inlineStr">
        <is>
          <t>DALARNAS LÄN</t>
        </is>
      </c>
      <c r="G344" t="inlineStr">
        <is>
          <t>VANSBRO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46299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46197</v>
      </c>
      <c r="E346" s="1" t="n">
        <v>46299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46299</v>
      </c>
      <c r="F347" t="inlineStr">
        <is>
          <t>DALARNAS LÄN</t>
        </is>
      </c>
      <c r="G347" t="inlineStr">
        <is>
          <t>VANSBRO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29174-2026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46202</v>
      </c>
      <c r="E348" s="1" t="n">
        <v>46299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46299</v>
      </c>
      <c r="F349" t="inlineStr">
        <is>
          <t>DALARNAS LÄN</t>
        </is>
      </c>
      <c r="G349" t="inlineStr">
        <is>
          <t>VANSBRO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46299</v>
      </c>
      <c r="F350" t="inlineStr">
        <is>
          <t>DALARNAS LÄN</t>
        </is>
      </c>
      <c r="G350" t="inlineStr">
        <is>
          <t>VANSBRO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46299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46203</v>
      </c>
      <c r="E352" s="1" t="n">
        <v>46299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46203</v>
      </c>
      <c r="E353" s="1" t="n">
        <v>46299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46299</v>
      </c>
      <c r="F354" t="inlineStr">
        <is>
          <t>DALARNAS LÄN</t>
        </is>
      </c>
      <c r="G354" t="inlineStr">
        <is>
          <t>VANSBRO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72635-2021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44546</v>
      </c>
      <c r="E355" s="1" t="n">
        <v>46299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46210</v>
      </c>
      <c r="E356" s="1" t="n">
        <v>46299</v>
      </c>
      <c r="F356" t="inlineStr">
        <is>
          <t>DALARNAS LÄN</t>
        </is>
      </c>
      <c r="G356" t="inlineStr">
        <is>
          <t>VANSBRO</t>
        </is>
      </c>
      <c r="H356" t="inlineStr">
        <is>
          <t>Övriga statliga verk och myndigheter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46299</v>
      </c>
      <c r="F357" t="inlineStr">
        <is>
          <t>DALARNAS LÄN</t>
        </is>
      </c>
      <c r="G357" t="inlineStr">
        <is>
          <t>VANSBRO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46299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46212</v>
      </c>
      <c r="E359" s="1" t="n">
        <v>46299</v>
      </c>
      <c r="F359" t="inlineStr">
        <is>
          <t>DALARNAS LÄN</t>
        </is>
      </c>
      <c r="G359" t="inlineStr">
        <is>
          <t>VANSBRO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46299</v>
      </c>
      <c r="F360" t="inlineStr">
        <is>
          <t>DALARNAS LÄN</t>
        </is>
      </c>
      <c r="G360" t="inlineStr">
        <is>
          <t>VANSBRO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46212</v>
      </c>
      <c r="E361" s="1" t="n">
        <v>46299</v>
      </c>
      <c r="F361" t="inlineStr">
        <is>
          <t>DALARNAS LÄN</t>
        </is>
      </c>
      <c r="G361" t="inlineStr">
        <is>
          <t>VANSBRO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46299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35042-2026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46259</v>
      </c>
      <c r="E363" s="1" t="n">
        <v>46299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46259</v>
      </c>
      <c r="E364" s="1" t="n">
        <v>46299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46299</v>
      </c>
      <c r="F365" t="inlineStr">
        <is>
          <t>DALARNAS LÄN</t>
        </is>
      </c>
      <c r="G365" t="inlineStr">
        <is>
          <t>VANSBRO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46299</v>
      </c>
      <c r="F366" t="inlineStr">
        <is>
          <t>DALARNAS LÄN</t>
        </is>
      </c>
      <c r="G366" t="inlineStr">
        <is>
          <t>VANSBRO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46261</v>
      </c>
      <c r="E367" s="1" t="n">
        <v>46299</v>
      </c>
      <c r="F367" t="inlineStr">
        <is>
          <t>DALARNAS LÄN</t>
        </is>
      </c>
      <c r="G367" t="inlineStr">
        <is>
          <t>VANSBRO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35579-2026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46262</v>
      </c>
      <c r="E368" s="1" t="n">
        <v>46299</v>
      </c>
      <c r="F368" t="inlineStr">
        <is>
          <t>DALARNAS LÄN</t>
        </is>
      </c>
      <c r="G368" t="inlineStr">
        <is>
          <t>VANSBRO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41290-2023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45174</v>
      </c>
      <c r="E369" s="1" t="n">
        <v>46299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46299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45363</v>
      </c>
      <c r="E371" s="1" t="n">
        <v>46299</v>
      </c>
      <c r="F371" t="inlineStr">
        <is>
          <t>DALARNAS LÄN</t>
        </is>
      </c>
      <c r="G371" t="inlineStr">
        <is>
          <t>VANSBRO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46265</v>
      </c>
      <c r="E372" s="1" t="n">
        <v>46299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51396-2022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44869</v>
      </c>
      <c r="E373" s="1" t="n">
        <v>46299</v>
      </c>
      <c r="F373" t="inlineStr">
        <is>
          <t>DALARNAS LÄN</t>
        </is>
      </c>
      <c r="G373" t="inlineStr">
        <is>
          <t>VANSBRO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46299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46299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45749</v>
      </c>
      <c r="E376" s="1" t="n">
        <v>46299</v>
      </c>
      <c r="F376" t="inlineStr">
        <is>
          <t>DALARNAS LÄN</t>
        </is>
      </c>
      <c r="G376" t="inlineStr">
        <is>
          <t>VANSBRO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36855-2022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44805</v>
      </c>
      <c r="E377" s="1" t="n">
        <v>46299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45299</v>
      </c>
      <c r="E378" s="1" t="n">
        <v>46299</v>
      </c>
      <c r="F378" t="inlineStr">
        <is>
          <t>DALARNAS LÄN</t>
        </is>
      </c>
      <c r="G378" t="inlineStr">
        <is>
          <t>VANSBRO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46299</v>
      </c>
      <c r="F379" t="inlineStr">
        <is>
          <t>DALARNAS LÄN</t>
        </is>
      </c>
      <c r="G379" t="inlineStr">
        <is>
          <t>VANSBRO</t>
        </is>
      </c>
      <c r="H379" t="inlineStr">
        <is>
          <t>Kyrkan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46268</v>
      </c>
      <c r="E380" s="1" t="n">
        <v>46299</v>
      </c>
      <c r="F380" t="inlineStr">
        <is>
          <t>DALARNAS LÄN</t>
        </is>
      </c>
      <c r="G380" t="inlineStr">
        <is>
          <t>VANSBRO</t>
        </is>
      </c>
      <c r="H380" t="inlineStr">
        <is>
          <t>Kyrkan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45689</v>
      </c>
      <c r="E381" s="1" t="n">
        <v>46299</v>
      </c>
      <c r="F381" t="inlineStr">
        <is>
          <t>DALARNAS LÄN</t>
        </is>
      </c>
      <c r="G381" t="inlineStr">
        <is>
          <t>VANSBRO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45689</v>
      </c>
      <c r="E382" s="1" t="n">
        <v>46299</v>
      </c>
      <c r="F382" t="inlineStr">
        <is>
          <t>DALARNAS LÄN</t>
        </is>
      </c>
      <c r="G382" t="inlineStr">
        <is>
          <t>VANSBRO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46299</v>
      </c>
      <c r="F383" t="inlineStr">
        <is>
          <t>DALARNAS LÄN</t>
        </is>
      </c>
      <c r="G383" t="inlineStr">
        <is>
          <t>VANSBRO</t>
        </is>
      </c>
      <c r="H383" t="inlineStr">
        <is>
          <t>Kyrkan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45631</v>
      </c>
      <c r="E384" s="1" t="n">
        <v>46299</v>
      </c>
      <c r="F384" t="inlineStr">
        <is>
          <t>DALARNAS LÄN</t>
        </is>
      </c>
      <c r="G384" t="inlineStr">
        <is>
          <t>VANSBRO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46299</v>
      </c>
      <c r="F385" t="inlineStr">
        <is>
          <t>DALARNAS LÄN</t>
        </is>
      </c>
      <c r="G385" t="inlineStr">
        <is>
          <t>VANSBRO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44908</v>
      </c>
      <c r="E386" s="1" t="n">
        <v>46299</v>
      </c>
      <c r="F386" t="inlineStr">
        <is>
          <t>DALARNAS LÄN</t>
        </is>
      </c>
      <c r="G386" t="inlineStr">
        <is>
          <t>VANSBRO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46272</v>
      </c>
      <c r="E387" s="1" t="n">
        <v>46299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46272</v>
      </c>
      <c r="E388" s="1" t="n">
        <v>46299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52572-2023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45225</v>
      </c>
      <c r="E389" s="1" t="n">
        <v>46299</v>
      </c>
      <c r="F389" t="inlineStr">
        <is>
          <t>DALARNAS LÄN</t>
        </is>
      </c>
      <c r="G389" t="inlineStr">
        <is>
          <t>VANSBRO</t>
        </is>
      </c>
      <c r="H389" t="inlineStr">
        <is>
          <t>Övriga statliga verk och myndigheter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46299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46275</v>
      </c>
      <c r="E391" s="1" t="n">
        <v>46299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37443-2026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46275</v>
      </c>
      <c r="E392" s="1" t="n">
        <v>46299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37467-2026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46275</v>
      </c>
      <c r="E393" s="1" t="n">
        <v>46299</v>
      </c>
      <c r="F393" t="inlineStr">
        <is>
          <t>DALARNAS LÄN</t>
        </is>
      </c>
      <c r="G393" t="inlineStr">
        <is>
          <t>VANSBRO</t>
        </is>
      </c>
      <c r="H393" t="inlineStr">
        <is>
          <t>Kommuner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46275</v>
      </c>
      <c r="E394" s="1" t="n">
        <v>46299</v>
      </c>
      <c r="F394" t="inlineStr">
        <is>
          <t>DALARNAS LÄN</t>
        </is>
      </c>
      <c r="G394" t="inlineStr">
        <is>
          <t>VANSBRO</t>
        </is>
      </c>
      <c r="H394" t="inlineStr">
        <is>
          <t>Kyrkan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37247-2026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46274</v>
      </c>
      <c r="E395" s="1" t="n">
        <v>46299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46231</v>
      </c>
      <c r="E396" s="1" t="n">
        <v>46299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46276</v>
      </c>
      <c r="E397" s="1" t="n">
        <v>46299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46276</v>
      </c>
      <c r="E398" s="1" t="n">
        <v>46299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40290-2023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45169</v>
      </c>
      <c r="E399" s="1" t="n">
        <v>46299</v>
      </c>
      <c r="F399" t="inlineStr">
        <is>
          <t>DALARNAS LÄN</t>
        </is>
      </c>
      <c r="G399" t="inlineStr">
        <is>
          <t>VANSBRO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38253-2026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46281</v>
      </c>
      <c r="E400" s="1" t="n">
        <v>46299</v>
      </c>
      <c r="F400" t="inlineStr">
        <is>
          <t>DALARNAS LÄN</t>
        </is>
      </c>
      <c r="G400" t="inlineStr">
        <is>
          <t>VANSBRO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46280</v>
      </c>
      <c r="E401" s="1" t="n">
        <v>46299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46280</v>
      </c>
      <c r="E402" s="1" t="n">
        <v>46299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46280</v>
      </c>
      <c r="E403" s="1" t="n">
        <v>46299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37987-2026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46280</v>
      </c>
      <c r="E404" s="1" t="n">
        <v>46299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öst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46299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29.6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46281</v>
      </c>
      <c r="E406" s="1" t="n">
        <v>46299</v>
      </c>
      <c r="F406" t="inlineStr">
        <is>
          <t>DALARNAS LÄN</t>
        </is>
      </c>
      <c r="G406" t="inlineStr">
        <is>
          <t>VANSBRO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46281</v>
      </c>
      <c r="E407" s="1" t="n">
        <v>46299</v>
      </c>
      <c r="F407" t="inlineStr">
        <is>
          <t>DALARNAS LÄN</t>
        </is>
      </c>
      <c r="G407" t="inlineStr">
        <is>
          <t>VANSBRO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46281</v>
      </c>
      <c r="E408" s="1" t="n">
        <v>46299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20931-2022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44701</v>
      </c>
      <c r="E409" s="1" t="n">
        <v>46299</v>
      </c>
      <c r="F409" t="inlineStr">
        <is>
          <t>DALARNAS LÄN</t>
        </is>
      </c>
      <c r="G409" t="inlineStr">
        <is>
          <t>VANSBRO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45296</v>
      </c>
      <c r="E410" s="1" t="n">
        <v>46299</v>
      </c>
      <c r="F410" t="inlineStr">
        <is>
          <t>DALARNAS LÄN</t>
        </is>
      </c>
      <c r="G410" t="inlineStr">
        <is>
          <t>VANSBRO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45775</v>
      </c>
      <c r="E411" s="1" t="n">
        <v>46299</v>
      </c>
      <c r="F411" t="inlineStr">
        <is>
          <t>DALARNAS LÄN</t>
        </is>
      </c>
      <c r="G411" t="inlineStr">
        <is>
          <t>VANSBRO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14057-2023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45008</v>
      </c>
      <c r="E412" s="1" t="n">
        <v>46299</v>
      </c>
      <c r="F412" t="inlineStr">
        <is>
          <t>DALARNAS LÄN</t>
        </is>
      </c>
      <c r="G412" t="inlineStr">
        <is>
          <t>VANSBRO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46283</v>
      </c>
      <c r="E413" s="1" t="n">
        <v>46299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46283</v>
      </c>
      <c r="E414" s="1" t="n">
        <v>46299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45448</v>
      </c>
      <c r="E415" s="1" t="n">
        <v>46299</v>
      </c>
      <c r="F415" t="inlineStr">
        <is>
          <t>DALARNAS LÄN</t>
        </is>
      </c>
      <c r="G415" t="inlineStr">
        <is>
          <t>VANSBRO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38797-2026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46286</v>
      </c>
      <c r="E416" s="1" t="n">
        <v>46299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44930</v>
      </c>
      <c r="E417" s="1" t="n">
        <v>46299</v>
      </c>
      <c r="F417" t="inlineStr">
        <is>
          <t>DALARNAS LÄN</t>
        </is>
      </c>
      <c r="G417" t="inlineStr">
        <is>
          <t>VANSBRO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61717-2023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45265</v>
      </c>
      <c r="E418" s="1" t="n">
        <v>46299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46299</v>
      </c>
      <c r="F419" t="inlineStr">
        <is>
          <t>DALARNAS LÄN</t>
        </is>
      </c>
      <c r="G419" t="inlineStr">
        <is>
          <t>VANSBRO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46288</v>
      </c>
      <c r="E420" s="1" t="n">
        <v>46299</v>
      </c>
      <c r="F420" t="inlineStr">
        <is>
          <t>DALARNAS LÄN</t>
        </is>
      </c>
      <c r="G420" t="inlineStr">
        <is>
          <t>VANSBRO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46289</v>
      </c>
      <c r="E421" s="1" t="n">
        <v>46299</v>
      </c>
      <c r="F421" t="inlineStr">
        <is>
          <t>DALARNAS LÄN</t>
        </is>
      </c>
      <c r="G421" t="inlineStr">
        <is>
          <t>VANSBRO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11485-2024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45372</v>
      </c>
      <c r="E422" s="1" t="n">
        <v>46299</v>
      </c>
      <c r="F422" t="inlineStr">
        <is>
          <t>DALARNAS LÄN</t>
        </is>
      </c>
      <c r="G422" t="inlineStr">
        <is>
          <t>VANSBRO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43570-2023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45184</v>
      </c>
      <c r="E423" s="1" t="n">
        <v>46299</v>
      </c>
      <c r="F423" t="inlineStr">
        <is>
          <t>DALARNAS LÄN</t>
        </is>
      </c>
      <c r="G423" t="inlineStr">
        <is>
          <t>VANSBRO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46299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44867</v>
      </c>
      <c r="E425" s="1" t="n">
        <v>46299</v>
      </c>
      <c r="F425" t="inlineStr">
        <is>
          <t>DALARNAS LÄN</t>
        </is>
      </c>
      <c r="G425" t="inlineStr">
        <is>
          <t>VANSBRO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46290</v>
      </c>
      <c r="E426" s="1" t="n">
        <v>46299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43589-2022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44837</v>
      </c>
      <c r="E427" s="1" t="n">
        <v>46299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40012-2026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46299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46299</v>
      </c>
      <c r="F429" t="inlineStr">
        <is>
          <t>DALARNAS LÄN</t>
        </is>
      </c>
      <c r="G429" t="inlineStr">
        <is>
          <t>VANSBRO</t>
        </is>
      </c>
      <c r="I429" t="n">
        <v>9.9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17807-2022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44673</v>
      </c>
      <c r="E430" s="1" t="n">
        <v>46299</v>
      </c>
      <c r="F430" t="inlineStr">
        <is>
          <t>DALARNAS LÄN</t>
        </is>
      </c>
      <c r="G430" t="inlineStr">
        <is>
          <t>VANSBRO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46299</v>
      </c>
      <c r="F431" t="inlineStr">
        <is>
          <t>DALARNAS LÄN</t>
        </is>
      </c>
      <c r="G431" t="inlineStr">
        <is>
          <t>VANSBRO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46252</v>
      </c>
      <c r="E432" s="1" t="n">
        <v>46299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46299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33520-2024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45519</v>
      </c>
      <c r="E434" s="1" t="n">
        <v>46299</v>
      </c>
      <c r="F434" t="inlineStr">
        <is>
          <t>DALARNAS LÄN</t>
        </is>
      </c>
      <c r="G434" t="inlineStr">
        <is>
          <t>VANSBRO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46294</v>
      </c>
      <c r="E435" s="1" t="n">
        <v>46299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46294</v>
      </c>
      <c r="E436" s="1" t="n">
        <v>46299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46293</v>
      </c>
      <c r="E437" s="1" t="n">
        <v>46299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33949-2026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46252</v>
      </c>
      <c r="E438" s="1" t="n">
        <v>46299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46299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46294</v>
      </c>
      <c r="E440" s="1" t="n">
        <v>46299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40343-2026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46294</v>
      </c>
      <c r="E441" s="1" t="n">
        <v>46299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46294</v>
      </c>
      <c r="E442" s="1" t="n">
        <v>46299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46299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48005-2022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44855</v>
      </c>
      <c r="E444" s="1" t="n">
        <v>46299</v>
      </c>
      <c r="F444" t="inlineStr">
        <is>
          <t>DALARNAS LÄN</t>
        </is>
      </c>
      <c r="G444" t="inlineStr">
        <is>
          <t>VANSBRO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40996-2026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46297</v>
      </c>
      <c r="E445" s="1" t="n">
        <v>46299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56773-2023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45244</v>
      </c>
      <c r="E446" s="1" t="n">
        <v>46299</v>
      </c>
      <c r="F446" t="inlineStr">
        <is>
          <t>DALARNAS LÄN</t>
        </is>
      </c>
      <c r="G446" t="inlineStr">
        <is>
          <t>VANSBRO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60031-2022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44909</v>
      </c>
      <c r="E447" s="1" t="n">
        <v>46299</v>
      </c>
      <c r="F447" t="inlineStr">
        <is>
          <t>DALARNAS LÄN</t>
        </is>
      </c>
      <c r="G447" t="inlineStr">
        <is>
          <t>VANSBRO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46299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5420-2024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45331</v>
      </c>
      <c r="E449" s="1" t="n">
        <v>46299</v>
      </c>
      <c r="F449" t="inlineStr">
        <is>
          <t>DALARNAS LÄN</t>
        </is>
      </c>
      <c r="G449" t="inlineStr">
        <is>
          <t>VANSBRO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46299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46299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12.1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34210-2026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46299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46253</v>
      </c>
      <c r="E453" s="1" t="n">
        <v>46299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13.3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46299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46299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18.9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46299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45254</v>
      </c>
      <c r="E457" s="1" t="n">
        <v>46299</v>
      </c>
      <c r="F457" t="inlineStr">
        <is>
          <t>DALARNAS LÄN</t>
        </is>
      </c>
      <c r="G457" t="inlineStr">
        <is>
          <t>VANSBRO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45371</v>
      </c>
      <c r="E458" s="1" t="n">
        <v>46299</v>
      </c>
      <c r="F458" t="inlineStr">
        <is>
          <t>DALARNAS LÄN</t>
        </is>
      </c>
      <c r="G458" t="inlineStr">
        <is>
          <t>VANSBRO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44930</v>
      </c>
      <c r="E459" s="1" t="n">
        <v>46299</v>
      </c>
      <c r="F459" t="inlineStr">
        <is>
          <t>DALARNAS LÄN</t>
        </is>
      </c>
      <c r="G459" t="inlineStr">
        <is>
          <t>VANSBRO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56986-2023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46299</v>
      </c>
      <c r="F460" t="inlineStr">
        <is>
          <t>DALARNAS LÄN</t>
        </is>
      </c>
      <c r="G460" t="inlineStr">
        <is>
          <t>VANSBRO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57903-2024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46299</v>
      </c>
      <c r="F461" t="inlineStr">
        <is>
          <t>DALARNAS LÄN</t>
        </is>
      </c>
      <c r="G461" t="inlineStr">
        <is>
          <t>VANSBRO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46299</v>
      </c>
      <c r="F462" t="inlineStr">
        <is>
          <t>DALARNAS LÄN</t>
        </is>
      </c>
      <c r="G462" t="inlineStr">
        <is>
          <t>VANSBRO</t>
        </is>
      </c>
      <c r="H462" t="inlineStr">
        <is>
          <t>Kommuner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46299</v>
      </c>
      <c r="F463" t="inlineStr">
        <is>
          <t>DALARNAS LÄN</t>
        </is>
      </c>
      <c r="G463" t="inlineStr">
        <is>
          <t>VANSBRO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57947-2023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45247</v>
      </c>
      <c r="E464" s="1" t="n">
        <v>46299</v>
      </c>
      <c r="F464" t="inlineStr">
        <is>
          <t>DALARNAS LÄN</t>
        </is>
      </c>
      <c r="G464" t="inlineStr">
        <is>
          <t>VANSBRO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44931</v>
      </c>
      <c r="E465" s="1" t="n">
        <v>46299</v>
      </c>
      <c r="F465" t="inlineStr">
        <is>
          <t>DALARNAS LÄN</t>
        </is>
      </c>
      <c r="G465" t="inlineStr">
        <is>
          <t>VANSBRO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46299</v>
      </c>
      <c r="F466" t="inlineStr">
        <is>
          <t>DALARNAS LÄN</t>
        </is>
      </c>
      <c r="G466" t="inlineStr">
        <is>
          <t>VANSBRO</t>
        </is>
      </c>
      <c r="H466" t="inlineStr">
        <is>
          <t>Övriga statliga verk och myndigheter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46299</v>
      </c>
      <c r="F467" t="inlineStr">
        <is>
          <t>DALARNAS LÄN</t>
        </is>
      </c>
      <c r="G467" t="inlineStr">
        <is>
          <t>VANSBRO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40382-2023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45169</v>
      </c>
      <c r="E468" s="1" t="n">
        <v>46299</v>
      </c>
      <c r="F468" t="inlineStr">
        <is>
          <t>DALARNAS LÄN</t>
        </is>
      </c>
      <c r="G468" t="inlineStr">
        <is>
          <t>VANSBRO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45491</v>
      </c>
      <c r="E469" s="1" t="n">
        <v>46299</v>
      </c>
      <c r="F469" t="inlineStr">
        <is>
          <t>DALARNAS LÄN</t>
        </is>
      </c>
      <c r="G469" t="inlineStr">
        <is>
          <t>VANSBRO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45672</v>
      </c>
      <c r="E470" s="1" t="n">
        <v>46299</v>
      </c>
      <c r="F470" t="inlineStr">
        <is>
          <t>DALARNAS LÄN</t>
        </is>
      </c>
      <c r="G470" t="inlineStr">
        <is>
          <t>VANSBRO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45762</v>
      </c>
      <c r="E471" s="1" t="n">
        <v>46299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45722</v>
      </c>
      <c r="E472" s="1" t="n">
        <v>46299</v>
      </c>
      <c r="F472" t="inlineStr">
        <is>
          <t>DALARNAS LÄN</t>
        </is>
      </c>
      <c r="G472" t="inlineStr">
        <is>
          <t>VANSBRO</t>
        </is>
      </c>
      <c r="I472" t="n">
        <v>15.5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6643-2025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45700</v>
      </c>
      <c r="E473" s="1" t="n">
        <v>46299</v>
      </c>
      <c r="F473" t="inlineStr">
        <is>
          <t>DALARNAS LÄN</t>
        </is>
      </c>
      <c r="G473" t="inlineStr">
        <is>
          <t>VANSBRO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61515-2022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44916</v>
      </c>
      <c r="E474" s="1" t="n">
        <v>46299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45215</v>
      </c>
      <c r="E475" s="1" t="n">
        <v>46299</v>
      </c>
      <c r="F475" t="inlineStr">
        <is>
          <t>DALARNAS LÄN</t>
        </is>
      </c>
      <c r="G475" t="inlineStr">
        <is>
          <t>VANSBRO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45215</v>
      </c>
      <c r="E476" s="1" t="n">
        <v>46299</v>
      </c>
      <c r="F476" t="inlineStr">
        <is>
          <t>DALARNAS LÄN</t>
        </is>
      </c>
      <c r="G476" t="inlineStr">
        <is>
          <t>VANSBRO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46299</v>
      </c>
      <c r="F477" t="inlineStr">
        <is>
          <t>DALARNAS LÄN</t>
        </is>
      </c>
      <c r="G477" t="inlineStr">
        <is>
          <t>VANSBRO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45674</v>
      </c>
      <c r="E478" s="1" t="n">
        <v>46299</v>
      </c>
      <c r="F478" t="inlineStr">
        <is>
          <t>DALARNAS LÄN</t>
        </is>
      </c>
      <c r="G478" t="inlineStr">
        <is>
          <t>VANSBRO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45783</v>
      </c>
      <c r="E479" s="1" t="n">
        <v>46299</v>
      </c>
      <c r="F479" t="inlineStr">
        <is>
          <t>DALARNAS LÄN</t>
        </is>
      </c>
      <c r="G479" t="inlineStr">
        <is>
          <t>VANSBRO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45483</v>
      </c>
      <c r="E480" s="1" t="n">
        <v>46299</v>
      </c>
      <c r="F480" t="inlineStr">
        <is>
          <t>DALARNAS LÄN</t>
        </is>
      </c>
      <c r="G480" t="inlineStr">
        <is>
          <t>VANSBRO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30544-2024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45492</v>
      </c>
      <c r="E481" s="1" t="n">
        <v>46299</v>
      </c>
      <c r="F481" t="inlineStr">
        <is>
          <t>DALARNAS LÄN</t>
        </is>
      </c>
      <c r="G481" t="inlineStr">
        <is>
          <t>VANSBRO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44719</v>
      </c>
      <c r="E482" s="1" t="n">
        <v>46299</v>
      </c>
      <c r="F482" t="inlineStr">
        <is>
          <t>DALARNAS LÄN</t>
        </is>
      </c>
      <c r="G482" t="inlineStr">
        <is>
          <t>VANSBRO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1286-2024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45401</v>
      </c>
      <c r="E483" s="1" t="n">
        <v>46299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220.8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4782-2022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44802</v>
      </c>
      <c r="E484" s="1" t="n">
        <v>46299</v>
      </c>
      <c r="F484" t="inlineStr">
        <is>
          <t>DALARNAS LÄN</t>
        </is>
      </c>
      <c r="G484" t="inlineStr">
        <is>
          <t>VANSBRO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3514-2023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45208</v>
      </c>
      <c r="E485" s="1" t="n">
        <v>46299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37.8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409-2025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45699</v>
      </c>
      <c r="E486" s="1" t="n">
        <v>46299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öst AB</t>
        </is>
      </c>
      <c r="I486" t="n">
        <v>277.1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91-2026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46035</v>
      </c>
      <c r="E487" s="1" t="n">
        <v>46299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153.5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747-2026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46089</v>
      </c>
      <c r="E488" s="1" t="n">
        <v>46299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öst AB</t>
        </is>
      </c>
      <c r="I488" t="n">
        <v>82.40000000000001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2026-10-04T01:55:41Z</dcterms:created>
  <dcterms:modified xmlns:dcterms="http://purl.org/dc/terms/" xmlns:xsi="http://www.w3.org/2001/XMLSchema-instance" xsi:type="dcterms:W3CDTF">2026-10-04T01:55:42Z</dcterms:modified>
</cp:coreProperties>
</file>