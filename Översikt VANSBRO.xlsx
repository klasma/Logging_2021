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46322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46322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46322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46322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42021-2026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46304</v>
      </c>
      <c r="E6" s="1" t="n">
        <v>46322</v>
      </c>
      <c r="F6" t="inlineStr">
        <is>
          <t>DALARNAS LÄN</t>
        </is>
      </c>
      <c r="G6" t="inlineStr">
        <is>
          <t>VANSBRO</t>
        </is>
      </c>
      <c r="I6" t="n">
        <v>9.1</v>
      </c>
      <c r="J6" t="n">
        <v>4</v>
      </c>
      <c r="K6" t="n">
        <v>4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13</v>
      </c>
      <c r="T6" t="n">
        <v>51</v>
      </c>
      <c r="U6" t="n">
        <v>51</v>
      </c>
      <c r="V6" s="2" t="inlineStr">
        <is>
          <t>Garnlav
Knärot
Kattfotslav
Stjärntagging
Talltita
Tretåig hackspett
Ullticka
Vedtrappmossa
Mindre märgborre
Vedticka
Vågbandad barkbock
Zontaggsvamp
Spillkråka</t>
        </is>
      </c>
      <c r="W6">
        <f>HYPERLINK("https://klasma.github.io/Logging_2021/artfynd/A 42021-2026 artfynd.xlsx", "A 42021-2026")</f>
        <v/>
      </c>
      <c r="X6">
        <f>HYPERLINK("https://klasma.github.io/Logging_2021/kartor/A 42021-2026 karta.png", "A 42021-2026")</f>
        <v/>
      </c>
      <c r="Y6">
        <f>HYPERLINK("https://klasma.github.io/Logging_2021/kartor_geotiff/A 42021-2026 georefererad karta.tif", "A 42021-2026")</f>
        <v/>
      </c>
      <c r="Z6">
        <f>HYPERLINK("https://klasma.github.io/Logging_2021/knärot/A 42021-2026 karta knärot.png", "A 42021-2026")</f>
        <v/>
      </c>
      <c r="AA6">
        <f>HYPERLINK("https://klasma.github.io/Logging_2021/klagomål/A 42021-2026 FSC-klagomål.docx", "A 42021-2026")</f>
        <v/>
      </c>
      <c r="AB6">
        <f>HYPERLINK("https://klasma.github.io/Logging_2021/klagomålsmail/A 42021-2026 FSC-klagomål mail.docx", "A 42021-2026")</f>
        <v/>
      </c>
      <c r="AC6">
        <f>HYPERLINK("https://klasma.github.io/Logging_2021/tillsyn/A 42021-2026 tillsynsbegäran.docx", "A 42021-2026")</f>
        <v/>
      </c>
      <c r="AD6">
        <f>HYPERLINK("https://klasma.github.io/Logging_2021/tillsynsmail/A 42021-2026 tillsynsbegäran mail.docx", "A 42021-2026")</f>
        <v/>
      </c>
      <c r="AE6">
        <f>HYPERLINK("https://klasma.github.io/Logging_2021/fåglar/A 42021-2026 prioriterade fågelarter.docx", "A 42021-2026")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46322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41917-2026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46303</v>
      </c>
      <c r="E8" s="1" t="n">
        <v>46322</v>
      </c>
      <c r="F8" t="inlineStr">
        <is>
          <t>DALARNAS LÄN</t>
        </is>
      </c>
      <c r="G8" t="inlineStr">
        <is>
          <t>VANSBRO</t>
        </is>
      </c>
      <c r="I8" t="n">
        <v>7.5</v>
      </c>
      <c r="J8" t="n">
        <v>6</v>
      </c>
      <c r="K8" t="n">
        <v>3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12</v>
      </c>
      <c r="T8" t="n">
        <v>23</v>
      </c>
      <c r="U8" t="n">
        <v>23</v>
      </c>
      <c r="V8" s="2" t="inlineStr">
        <is>
          <t>Garnlav
Rynkskinn
Tallticka
Talltita
Tretåig hackspett
Ullticka
Bollvitmossa
Mindre märgborre
Plattlummer
Mattlummer
Spillkråka
Revlummer</t>
        </is>
      </c>
      <c r="W8">
        <f>HYPERLINK("https://klasma.github.io/Logging_2021/artfynd/A 41917-2026 artfynd.xlsx", "A 41917-2026")</f>
        <v/>
      </c>
      <c r="X8">
        <f>HYPERLINK("https://klasma.github.io/Logging_2021/kartor/A 41917-2026 karta.png", "A 41917-2026")</f>
        <v/>
      </c>
      <c r="Y8">
        <f>HYPERLINK("https://klasma.github.io/Logging_2021/kartor_geotiff/A 41917-2026 georefererad karta.tif", "A 41917-2026")</f>
        <v/>
      </c>
      <c r="AA8">
        <f>HYPERLINK("https://klasma.github.io/Logging_2021/klagomål/A 41917-2026 FSC-klagomål.docx", "A 41917-2026")</f>
        <v/>
      </c>
      <c r="AB8">
        <f>HYPERLINK("https://klasma.github.io/Logging_2021/klagomålsmail/A 41917-2026 FSC-klagomål mail.docx", "A 41917-2026")</f>
        <v/>
      </c>
      <c r="AC8">
        <f>HYPERLINK("https://klasma.github.io/Logging_2021/tillsyn/A 41917-2026 tillsynsbegäran.docx", "A 41917-2026")</f>
        <v/>
      </c>
      <c r="AD8">
        <f>HYPERLINK("https://klasma.github.io/Logging_2021/tillsynsmail/A 41917-2026 tillsynsbegäran mail.docx", "A 41917-2026")</f>
        <v/>
      </c>
      <c r="AE8">
        <f>HYPERLINK("https://klasma.github.io/Logging_2021/fåglar/A 41917-2026 prioriterade fågelarter.docx", "A 41917-2026")</f>
        <v/>
      </c>
    </row>
    <row r="9" ht="15" customHeight="1">
      <c r="A9" t="inlineStr">
        <is>
          <t>A 63676-2025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46322</v>
      </c>
      <c r="F9" t="inlineStr">
        <is>
          <t>DALARNAS LÄN</t>
        </is>
      </c>
      <c r="G9" t="inlineStr">
        <is>
          <t>VANSBRO</t>
        </is>
      </c>
      <c r="I9" t="n">
        <v>12.3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11</v>
      </c>
      <c r="T9" t="n">
        <v>37</v>
      </c>
      <c r="U9" t="n">
        <v>0</v>
      </c>
      <c r="V9" s="2" t="inlineStr">
        <is>
          <t>Garnlav
Dropptaggsvamp
Kolflarnlav
Mörk kolflarnlav
Tallticka
Tretåig hackspett
Vaddporing
Mindre märgborre
Spillkråka
Tjäder
Revlummer</t>
        </is>
      </c>
      <c r="W9">
        <f>HYPERLINK("https://klasma.github.io/Logging_2021/artfynd/A 63676-2025 artfynd.xlsx", "A 63676-2025")</f>
        <v/>
      </c>
      <c r="X9">
        <f>HYPERLINK("https://klasma.github.io/Logging_2021/kartor/A 63676-2025 karta.png", "A 63676-2025")</f>
        <v/>
      </c>
      <c r="Y9">
        <f>HYPERLINK("https://klasma.github.io/Logging_2021/kartor_geotiff/A 63676-2025 georefererad karta.tif", "A 63676-2025")</f>
        <v/>
      </c>
      <c r="AA9">
        <f>HYPERLINK("https://klasma.github.io/Logging_2021/klagomål/A 63676-2025 FSC-klagomål.docx", "A 63676-2025")</f>
        <v/>
      </c>
      <c r="AB9">
        <f>HYPERLINK("https://klasma.github.io/Logging_2021/klagomålsmail/A 63676-2025 FSC-klagomål mail.docx", "A 63676-2025")</f>
        <v/>
      </c>
      <c r="AC9">
        <f>HYPERLINK("https://klasma.github.io/Logging_2021/tillsyn/A 63676-2025 tillsynsbegäran.docx", "A 63676-2025")</f>
        <v/>
      </c>
      <c r="AD9">
        <f>HYPERLINK("https://klasma.github.io/Logging_2021/tillsynsmail/A 63676-2025 tillsynsbegäran mail.docx", "A 63676-2025")</f>
        <v/>
      </c>
      <c r="AE9">
        <f>HYPERLINK("https://klasma.github.io/Logging_2021/fåglar/A 63676-2025 prioriterade fågelarter.docx", "A 63676-2025")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46322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46322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62461-2025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46322</v>
      </c>
      <c r="F12" t="inlineStr">
        <is>
          <t>DALARNAS LÄN</t>
        </is>
      </c>
      <c r="G12" t="inlineStr">
        <is>
          <t>VANSBRO</t>
        </is>
      </c>
      <c r="I12" t="n">
        <v>11.9</v>
      </c>
      <c r="J12" t="n">
        <v>4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10</v>
      </c>
      <c r="T12" t="n">
        <v>26</v>
      </c>
      <c r="U12" t="n">
        <v>0</v>
      </c>
      <c r="V12" s="2" t="inlineStr">
        <is>
          <t>Garnlav
Knärot
Dropptaggsvamp
Kolflarnlav
Mörk kolflarnlav
Tretåig hackspett
Vaddporing
Bollvitmossa
Spillkråka
Tjäder</t>
        </is>
      </c>
      <c r="W12">
        <f>HYPERLINK("https://klasma.github.io/Logging_2021/artfynd/A 62461-2025 artfynd.xlsx", "A 62461-2025")</f>
        <v/>
      </c>
      <c r="X12">
        <f>HYPERLINK("https://klasma.github.io/Logging_2021/kartor/A 62461-2025 karta.png", "A 62461-2025")</f>
        <v/>
      </c>
      <c r="Y12">
        <f>HYPERLINK("https://klasma.github.io/Logging_2021/kartor_geotiff/A 62461-2025 georefererad karta.tif", "A 62461-2025")</f>
        <v/>
      </c>
      <c r="Z12">
        <f>HYPERLINK("https://klasma.github.io/Logging_2021/knärot/A 62461-2025 karta knärot.png", "A 62461-2025")</f>
        <v/>
      </c>
      <c r="AA12">
        <f>HYPERLINK("https://klasma.github.io/Logging_2021/klagomål/A 62461-2025 FSC-klagomål.docx", "A 62461-2025")</f>
        <v/>
      </c>
      <c r="AB12">
        <f>HYPERLINK("https://klasma.github.io/Logging_2021/klagomålsmail/A 62461-2025 FSC-klagomål mail.docx", "A 62461-2025")</f>
        <v/>
      </c>
      <c r="AC12">
        <f>HYPERLINK("https://klasma.github.io/Logging_2021/tillsyn/A 62461-2025 tillsynsbegäran.docx", "A 62461-2025")</f>
        <v/>
      </c>
      <c r="AD12">
        <f>HYPERLINK("https://klasma.github.io/Logging_2021/tillsynsmail/A 62461-2025 tillsynsbegäran mail.docx", "A 62461-2025")</f>
        <v/>
      </c>
      <c r="AE12">
        <f>HYPERLINK("https://klasma.github.io/Logging_2021/fåglar/A 62461-2025 prioriterade fågelarter.docx", "A 62461-2025")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46322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60229-2025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46322</v>
      </c>
      <c r="F14" t="inlineStr">
        <is>
          <t>DALARNAS LÄN</t>
        </is>
      </c>
      <c r="G14" t="inlineStr">
        <is>
          <t>VANSBRO</t>
        </is>
      </c>
      <c r="I14" t="n">
        <v>4.9</v>
      </c>
      <c r="J14" t="n">
        <v>3</v>
      </c>
      <c r="K14" t="n">
        <v>1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73</v>
      </c>
      <c r="U14" t="n">
        <v>73</v>
      </c>
      <c r="V14" s="2" t="inlineStr">
        <is>
          <t>Garnlav
Knärot
Kolflarnlav
Mörk kolflarnlav
Tallticka
Tretåig hackspett
Ullticka
Grönpyrola
Spillkråka</t>
        </is>
      </c>
      <c r="W14">
        <f>HYPERLINK("https://klasma.github.io/Logging_2021/artfynd/A 60229-2025 artfynd.xlsx", "A 60229-2025")</f>
        <v/>
      </c>
      <c r="X14">
        <f>HYPERLINK("https://klasma.github.io/Logging_2021/kartor/A 60229-2025 karta.png", "A 60229-2025")</f>
        <v/>
      </c>
      <c r="Y14">
        <f>HYPERLINK("https://klasma.github.io/Logging_2021/kartor_geotiff/A 60229-2025 georefererad karta.tif", "A 60229-2025")</f>
        <v/>
      </c>
      <c r="Z14">
        <f>HYPERLINK("https://klasma.github.io/Logging_2021/knärot/A 60229-2025 karta knärot.png", "A 60229-2025")</f>
        <v/>
      </c>
      <c r="AA14">
        <f>HYPERLINK("https://klasma.github.io/Logging_2021/klagomål/A 60229-2025 FSC-klagomål.docx", "A 60229-2025")</f>
        <v/>
      </c>
      <c r="AB14">
        <f>HYPERLINK("https://klasma.github.io/Logging_2021/klagomålsmail/A 60229-2025 FSC-klagomål mail.docx", "A 60229-2025")</f>
        <v/>
      </c>
      <c r="AC14">
        <f>HYPERLINK("https://klasma.github.io/Logging_2021/tillsyn/A 60229-2025 tillsynsbegäran.docx", "A 60229-2025")</f>
        <v/>
      </c>
      <c r="AD14">
        <f>HYPERLINK("https://klasma.github.io/Logging_2021/tillsynsmail/A 60229-2025 tillsynsbegäran mail.docx", "A 60229-2025")</f>
        <v/>
      </c>
      <c r="AE14">
        <f>HYPERLINK("https://klasma.github.io/Logging_2021/fåglar/A 60229-2025 prioriterade fågelarter.docx", "A 60229-2025")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46322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6640-2026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46322</v>
      </c>
      <c r="F16" t="inlineStr">
        <is>
          <t>DALARNAS LÄN</t>
        </is>
      </c>
      <c r="G16" t="inlineStr">
        <is>
          <t>VANSBRO</t>
        </is>
      </c>
      <c r="I16" t="n">
        <v>5.4</v>
      </c>
      <c r="J16" t="n">
        <v>1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35</v>
      </c>
      <c r="U16" t="n">
        <v>0</v>
      </c>
      <c r="V16" s="2" t="inlineStr">
        <is>
          <t>Garnlav
Dvärgbägarlav
Mörk kolflarnlav
Tallticka
Vedskivlav
Mindre märgborre
Nästlav
Tjäder</t>
        </is>
      </c>
      <c r="W16">
        <f>HYPERLINK("https://klasma.github.io/Logging_2021/artfynd/A 6640-2026 artfynd.xlsx", "A 6640-2026")</f>
        <v/>
      </c>
      <c r="X16">
        <f>HYPERLINK("https://klasma.github.io/Logging_2021/kartor/A 6640-2026 karta.png", "A 6640-2026")</f>
        <v/>
      </c>
      <c r="Y16">
        <f>HYPERLINK("https://klasma.github.io/Logging_2021/kartor_geotiff/A 6640-2026 georefererad karta.tif", "A 6640-2026")</f>
        <v/>
      </c>
      <c r="AA16">
        <f>HYPERLINK("https://klasma.github.io/Logging_2021/klagomål/A 6640-2026 FSC-klagomål.docx", "A 6640-2026")</f>
        <v/>
      </c>
      <c r="AB16">
        <f>HYPERLINK("https://klasma.github.io/Logging_2021/klagomålsmail/A 6640-2026 FSC-klagomål mail.docx", "A 6640-2026")</f>
        <v/>
      </c>
      <c r="AC16">
        <f>HYPERLINK("https://klasma.github.io/Logging_2021/tillsyn/A 6640-2026 tillsynsbegäran.docx", "A 6640-2026")</f>
        <v/>
      </c>
      <c r="AD16">
        <f>HYPERLINK("https://klasma.github.io/Logging_2021/tillsynsmail/A 6640-2026 tillsynsbegäran mail.docx", "A 6640-2026")</f>
        <v/>
      </c>
      <c r="AE16">
        <f>HYPERLINK("https://klasma.github.io/Logging_2021/fåglar/A 6640-2026 prioriterade fågelarter.docx", "A 6640-2026")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46322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46322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6671-2026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46322</v>
      </c>
      <c r="F19" t="inlineStr">
        <is>
          <t>DALARNAS LÄN</t>
        </is>
      </c>
      <c r="G19" t="inlineStr">
        <is>
          <t>VANSBRO</t>
        </is>
      </c>
      <c r="I19" t="n">
        <v>13.9</v>
      </c>
      <c r="J19" t="n">
        <v>1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27</v>
      </c>
      <c r="U19" t="n">
        <v>0</v>
      </c>
      <c r="V19" s="2" t="inlineStr">
        <is>
          <t>Garnlav
Kolflarnlav
Mörk kolflarnlav
Rynkskinn
Mindre märgborre
Tjäder</t>
        </is>
      </c>
      <c r="W19">
        <f>HYPERLINK("https://klasma.github.io/Logging_2021/artfynd/A 6671-2026 artfynd.xlsx", "A 6671-2026")</f>
        <v/>
      </c>
      <c r="X19">
        <f>HYPERLINK("https://klasma.github.io/Logging_2021/kartor/A 6671-2026 karta.png", "A 6671-2026")</f>
        <v/>
      </c>
      <c r="Y19">
        <f>HYPERLINK("https://klasma.github.io/Logging_2021/kartor_geotiff/A 6671-2026 georefererad karta.tif", "A 6671-2026")</f>
        <v/>
      </c>
      <c r="AA19">
        <f>HYPERLINK("https://klasma.github.io/Logging_2021/klagomål/A 6671-2026 FSC-klagomål.docx", "A 6671-2026")</f>
        <v/>
      </c>
      <c r="AB19">
        <f>HYPERLINK("https://klasma.github.io/Logging_2021/klagomålsmail/A 6671-2026 FSC-klagomål mail.docx", "A 6671-2026")</f>
        <v/>
      </c>
      <c r="AC19">
        <f>HYPERLINK("https://klasma.github.io/Logging_2021/tillsyn/A 6671-2026 tillsynsbegäran.docx", "A 6671-2026")</f>
        <v/>
      </c>
      <c r="AD19">
        <f>HYPERLINK("https://klasma.github.io/Logging_2021/tillsynsmail/A 6671-2026 tillsynsbegäran mail.docx", "A 6671-2026")</f>
        <v/>
      </c>
      <c r="AE19">
        <f>HYPERLINK("https://klasma.github.io/Logging_2021/fåglar/A 6671-2026 prioriterade fågelarter.docx", "A 6671-2026")</f>
        <v/>
      </c>
    </row>
    <row r="20" ht="15" customHeight="1">
      <c r="A20" t="inlineStr">
        <is>
          <t>A 33005-2025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46322</v>
      </c>
      <c r="F20" t="inlineStr">
        <is>
          <t>DALARNAS LÄN</t>
        </is>
      </c>
      <c r="G20" t="inlineStr">
        <is>
          <t>VANSBRO</t>
        </is>
      </c>
      <c r="I20" t="n">
        <v>5.5</v>
      </c>
      <c r="J20" t="n">
        <v>2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17</v>
      </c>
      <c r="U20" t="n">
        <v>17</v>
      </c>
      <c r="V20" s="2" t="inlineStr">
        <is>
          <t>Knärot
Kolflarnlav
Mörk kolflarnlav
Tretåig hackspett
Mindre märgborre</t>
        </is>
      </c>
      <c r="W20">
        <f>HYPERLINK("https://klasma.github.io/Logging_2021/artfynd/A 33005-2025 artfynd.xlsx", "A 33005-2025")</f>
        <v/>
      </c>
      <c r="X20">
        <f>HYPERLINK("https://klasma.github.io/Logging_2021/kartor/A 33005-2025 karta.png", "A 33005-2025")</f>
        <v/>
      </c>
      <c r="Y20">
        <f>HYPERLINK("https://klasma.github.io/Logging_2021/kartor_geotiff/A 33005-2025 georefererad karta.tif", "A 33005-2025")</f>
        <v/>
      </c>
      <c r="Z20">
        <f>HYPERLINK("https://klasma.github.io/Logging_2021/knärot/A 33005-2025 karta knärot.png", "A 33005-2025")</f>
        <v/>
      </c>
      <c r="AA20">
        <f>HYPERLINK("https://klasma.github.io/Logging_2021/klagomål/A 33005-2025 FSC-klagomål.docx", "A 33005-2025")</f>
        <v/>
      </c>
      <c r="AB20">
        <f>HYPERLINK("https://klasma.github.io/Logging_2021/klagomålsmail/A 33005-2025 FSC-klagomål mail.docx", "A 33005-2025")</f>
        <v/>
      </c>
      <c r="AC20">
        <f>HYPERLINK("https://klasma.github.io/Logging_2021/tillsyn/A 33005-2025 tillsynsbegäran.docx", "A 33005-2025")</f>
        <v/>
      </c>
      <c r="AD20">
        <f>HYPERLINK("https://klasma.github.io/Logging_2021/tillsynsmail/A 33005-2025 tillsynsbegäran mail.docx", "A 33005-2025")</f>
        <v/>
      </c>
      <c r="AE20">
        <f>HYPERLINK("https://klasma.github.io/Logging_2021/fåglar/A 33005-2025 prioriterade fågelarter.docx", "A 33005-2025")</f>
        <v/>
      </c>
    </row>
    <row r="21" ht="15" customHeight="1">
      <c r="A21" t="inlineStr">
        <is>
          <t>A 3363-2026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46322</v>
      </c>
      <c r="F21" t="inlineStr">
        <is>
          <t>DALARNAS LÄN</t>
        </is>
      </c>
      <c r="G21" t="inlineStr">
        <is>
          <t>VANSBRO</t>
        </is>
      </c>
      <c r="I21" t="n">
        <v>5.3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5</v>
      </c>
      <c r="T21" t="n">
        <v>39</v>
      </c>
      <c r="U21" t="n">
        <v>39</v>
      </c>
      <c r="V21" s="2" t="inlineStr">
        <is>
          <t>Garnlav
Knärot
Tretåig hackspett
Ullticka
Tjäder</t>
        </is>
      </c>
      <c r="W21">
        <f>HYPERLINK("https://klasma.github.io/Logging_2021/artfynd/A 3363-2026 artfynd.xlsx", "A 3363-2026")</f>
        <v/>
      </c>
      <c r="X21">
        <f>HYPERLINK("https://klasma.github.io/Logging_2021/kartor/A 3363-2026 karta.png", "A 3363-2026")</f>
        <v/>
      </c>
      <c r="Y21">
        <f>HYPERLINK("https://klasma.github.io/Logging_2021/kartor_geotiff/A 3363-2026 georefererad karta.tif", "A 3363-2026")</f>
        <v/>
      </c>
      <c r="Z21">
        <f>HYPERLINK("https://klasma.github.io/Logging_2021/knärot/A 3363-2026 karta knärot.png", "A 3363-2026")</f>
        <v/>
      </c>
      <c r="AA21">
        <f>HYPERLINK("https://klasma.github.io/Logging_2021/klagomål/A 3363-2026 FSC-klagomål.docx", "A 3363-2026")</f>
        <v/>
      </c>
      <c r="AB21">
        <f>HYPERLINK("https://klasma.github.io/Logging_2021/klagomålsmail/A 3363-2026 FSC-klagomål mail.docx", "A 3363-2026")</f>
        <v/>
      </c>
      <c r="AC21">
        <f>HYPERLINK("https://klasma.github.io/Logging_2021/tillsyn/A 3363-2026 tillsynsbegäran.docx", "A 3363-2026")</f>
        <v/>
      </c>
      <c r="AD21">
        <f>HYPERLINK("https://klasma.github.io/Logging_2021/tillsynsmail/A 3363-2026 tillsynsbegäran mail.docx", "A 3363-2026")</f>
        <v/>
      </c>
      <c r="AE21">
        <f>HYPERLINK("https://klasma.github.io/Logging_2021/fåglar/A 3363-2026 prioriterade fågelarter.docx", "A 3363-2026")</f>
        <v/>
      </c>
    </row>
    <row r="22" ht="15" customHeight="1">
      <c r="A22" t="inlineStr">
        <is>
          <t>A 62734-2021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46322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öst AB</t>
        </is>
      </c>
      <c r="I22" t="n">
        <v>5.6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Doftskinn
Ullticka
Violettgrå tagellav
Stuplav</t>
        </is>
      </c>
      <c r="W22">
        <f>HYPERLINK("https://klasma.github.io/Logging_2021/artfynd/A 62734-2021 artfynd.xlsx", "A 62734-2021")</f>
        <v/>
      </c>
      <c r="X22">
        <f>HYPERLINK("https://klasma.github.io/Logging_2021/kartor/A 62734-2021 karta.png", "A 62734-2021")</f>
        <v/>
      </c>
      <c r="Y22">
        <f>HYPERLINK("https://klasma.github.io/Logging_2021/kartor_geotiff/A 62734-2021 georefererad karta.tif", "A 62734-2021")</f>
        <v/>
      </c>
      <c r="AA22">
        <f>HYPERLINK("https://klasma.github.io/Logging_2021/klagomål/A 62734-2021 FSC-klagomål.docx", "A 62734-2021")</f>
        <v/>
      </c>
      <c r="AB22">
        <f>HYPERLINK("https://klasma.github.io/Logging_2021/klagomålsmail/A 62734-2021 FSC-klagomål mail.docx", "A 62734-2021")</f>
        <v/>
      </c>
      <c r="AC22">
        <f>HYPERLINK("https://klasma.github.io/Logging_2021/tillsyn/A 62734-2021 tillsynsbegäran.docx", "A 62734-2021")</f>
        <v/>
      </c>
      <c r="AD22">
        <f>HYPERLINK("https://klasma.github.io/Logging_2021/tillsynsmail/A 62734-2021 tillsynsbegäran mail.docx", "A 62734-2021")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46322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46322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46322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46322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13339-2025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46322</v>
      </c>
      <c r="F27" t="inlineStr">
        <is>
          <t>DALARNAS LÄN</t>
        </is>
      </c>
      <c r="G27" t="inlineStr">
        <is>
          <t>VANSBRO</t>
        </is>
      </c>
      <c r="I27" t="n">
        <v>0.4</v>
      </c>
      <c r="J27" t="n">
        <v>1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5</v>
      </c>
      <c r="U27" t="n">
        <v>5</v>
      </c>
      <c r="V27" s="2" t="inlineStr">
        <is>
          <t>Garnlav
Knärot
Dropptaggsvamp
Mörk kolflarnlav</t>
        </is>
      </c>
      <c r="W27">
        <f>HYPERLINK("https://klasma.github.io/Logging_2021/artfynd/A 13339-2025 artfynd.xlsx", "A 13339-2025")</f>
        <v/>
      </c>
      <c r="X27">
        <f>HYPERLINK("https://klasma.github.io/Logging_2021/kartor/A 13339-2025 karta.png", "A 13339-2025")</f>
        <v/>
      </c>
      <c r="Y27">
        <f>HYPERLINK("https://klasma.github.io/Logging_2021/kartor_geotiff/A 13339-2025 georefererad karta.tif", "A 13339-2025")</f>
        <v/>
      </c>
      <c r="Z27">
        <f>HYPERLINK("https://klasma.github.io/Logging_2021/knärot/A 13339-2025 karta knärot.png", "A 13339-2025")</f>
        <v/>
      </c>
      <c r="AA27">
        <f>HYPERLINK("https://klasma.github.io/Logging_2021/klagomål/A 13339-2025 FSC-klagomål.docx", "A 13339-2025")</f>
        <v/>
      </c>
      <c r="AB27">
        <f>HYPERLINK("https://klasma.github.io/Logging_2021/klagomålsmail/A 13339-2025 FSC-klagomål mail.docx", "A 13339-2025")</f>
        <v/>
      </c>
      <c r="AC27">
        <f>HYPERLINK("https://klasma.github.io/Logging_2021/tillsyn/A 13339-2025 tillsynsbegäran.docx", "A 13339-2025")</f>
        <v/>
      </c>
      <c r="AD27">
        <f>HYPERLINK("https://klasma.github.io/Logging_2021/tillsynsmail/A 13339-2025 tillsynsbegäran mail.docx", "A 13339-2025")</f>
        <v/>
      </c>
    </row>
    <row r="28" ht="15" customHeight="1">
      <c r="A28" t="inlineStr">
        <is>
          <t>A 13344-2025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46322</v>
      </c>
      <c r="F28" t="inlineStr">
        <is>
          <t>DALARNAS LÄN</t>
        </is>
      </c>
      <c r="G28" t="inlineStr">
        <is>
          <t>VANSBRO</t>
        </is>
      </c>
      <c r="I28" t="n">
        <v>0.5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6</v>
      </c>
      <c r="V28" s="2" t="inlineStr">
        <is>
          <t>Knärot
Mörk kolflarnlav
Ullticka
Tjäder</t>
        </is>
      </c>
      <c r="W28">
        <f>HYPERLINK("https://klasma.github.io/Logging_2021/artfynd/A 13344-2025 artfynd.xlsx", "A 13344-2025")</f>
        <v/>
      </c>
      <c r="X28">
        <f>HYPERLINK("https://klasma.github.io/Logging_2021/kartor/A 13344-2025 karta.png", "A 13344-2025")</f>
        <v/>
      </c>
      <c r="Y28">
        <f>HYPERLINK("https://klasma.github.io/Logging_2021/kartor_geotiff/A 13344-2025 georefererad karta.tif", "A 13344-2025")</f>
        <v/>
      </c>
      <c r="Z28">
        <f>HYPERLINK("https://klasma.github.io/Logging_2021/knärot/A 13344-2025 karta knärot.png", "A 13344-2025")</f>
        <v/>
      </c>
      <c r="AA28">
        <f>HYPERLINK("https://klasma.github.io/Logging_2021/klagomål/A 13344-2025 FSC-klagomål.docx", "A 13344-2025")</f>
        <v/>
      </c>
      <c r="AB28">
        <f>HYPERLINK("https://klasma.github.io/Logging_2021/klagomålsmail/A 13344-2025 FSC-klagomål mail.docx", "A 13344-2025")</f>
        <v/>
      </c>
      <c r="AC28">
        <f>HYPERLINK("https://klasma.github.io/Logging_2021/tillsyn/A 13344-2025 tillsynsbegäran.docx", "A 13344-2025")</f>
        <v/>
      </c>
      <c r="AD28">
        <f>HYPERLINK("https://klasma.github.io/Logging_2021/tillsynsmail/A 13344-2025 tillsynsbegäran mail.docx", "A 13344-2025")</f>
        <v/>
      </c>
      <c r="AE28">
        <f>HYPERLINK("https://klasma.github.io/Logging_2021/fåglar/A 13344-2025 prioriterade fågelarter.docx", "A 13344-2025")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46322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33000-2025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46322</v>
      </c>
      <c r="F30" t="inlineStr">
        <is>
          <t>DALARNAS LÄN</t>
        </is>
      </c>
      <c r="G30" t="inlineStr">
        <is>
          <t>VANSBRO</t>
        </is>
      </c>
      <c r="I30" t="n">
        <v>0.7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8</v>
      </c>
      <c r="U30" t="n">
        <v>8</v>
      </c>
      <c r="V30" s="2" t="inlineStr">
        <is>
          <t>Kolflarnlav
Mörk kolflarnlav
Tjäder</t>
        </is>
      </c>
      <c r="W30">
        <f>HYPERLINK("https://klasma.github.io/Logging_2021/artfynd/A 33000-2025 artfynd.xlsx", "A 33000-2025")</f>
        <v/>
      </c>
      <c r="X30">
        <f>HYPERLINK("https://klasma.github.io/Logging_2021/kartor/A 33000-2025 karta.png", "A 33000-2025")</f>
        <v/>
      </c>
      <c r="Y30">
        <f>HYPERLINK("https://klasma.github.io/Logging_2021/kartor_geotiff/A 33000-2025 georefererad karta.tif", "A 33000-2025")</f>
        <v/>
      </c>
      <c r="AA30">
        <f>HYPERLINK("https://klasma.github.io/Logging_2021/klagomål/A 33000-2025 FSC-klagomål.docx", "A 33000-2025")</f>
        <v/>
      </c>
      <c r="AB30">
        <f>HYPERLINK("https://klasma.github.io/Logging_2021/klagomålsmail/A 33000-2025 FSC-klagomål mail.docx", "A 33000-2025")</f>
        <v/>
      </c>
      <c r="AC30">
        <f>HYPERLINK("https://klasma.github.io/Logging_2021/tillsyn/A 33000-2025 tillsynsbegäran.docx", "A 33000-2025")</f>
        <v/>
      </c>
      <c r="AD30">
        <f>HYPERLINK("https://klasma.github.io/Logging_2021/tillsynsmail/A 33000-2025 tillsynsbegäran mail.docx", "A 33000-2025")</f>
        <v/>
      </c>
      <c r="AE30">
        <f>HYPERLINK("https://klasma.github.io/Logging_2021/fåglar/A 33000-2025 prioriterade fågelarter.docx", "A 33000-2025")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46322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11433-2025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45726</v>
      </c>
      <c r="E32" s="1" t="n">
        <v>46322</v>
      </c>
      <c r="F32" t="inlineStr">
        <is>
          <t>DALARNAS LÄN</t>
        </is>
      </c>
      <c r="G32" t="inlineStr">
        <is>
          <t>VANSBRO</t>
        </is>
      </c>
      <c r="I32" t="n">
        <v>7.5</v>
      </c>
      <c r="J32" t="n">
        <v>1</v>
      </c>
      <c r="K32" t="n">
        <v>1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24</v>
      </c>
      <c r="U32" t="n">
        <v>24</v>
      </c>
      <c r="V32" s="2" t="inlineStr">
        <is>
          <t>Garnlav
Knärot
Bollvitmossa</t>
        </is>
      </c>
      <c r="W32">
        <f>HYPERLINK("https://klasma.github.io/Logging_2021/artfynd/A 11433-2025 artfynd.xlsx", "A 11433-2025")</f>
        <v/>
      </c>
      <c r="X32">
        <f>HYPERLINK("https://klasma.github.io/Logging_2021/kartor/A 11433-2025 karta.png", "A 11433-2025")</f>
        <v/>
      </c>
      <c r="Y32">
        <f>HYPERLINK("https://klasma.github.io/Logging_2021/kartor_geotiff/A 11433-2025 georefererad karta.tif", "A 11433-2025")</f>
        <v/>
      </c>
      <c r="Z32">
        <f>HYPERLINK("https://klasma.github.io/Logging_2021/knärot/A 11433-2025 karta knärot.png", "A 11433-2025")</f>
        <v/>
      </c>
      <c r="AA32">
        <f>HYPERLINK("https://klasma.github.io/Logging_2021/klagomål/A 11433-2025 FSC-klagomål.docx", "A 11433-2025")</f>
        <v/>
      </c>
      <c r="AB32">
        <f>HYPERLINK("https://klasma.github.io/Logging_2021/klagomålsmail/A 11433-2025 FSC-klagomål mail.docx", "A 11433-2025")</f>
        <v/>
      </c>
      <c r="AC32">
        <f>HYPERLINK("https://klasma.github.io/Logging_2021/tillsyn/A 11433-2025 tillsynsbegäran.docx", "A 11433-2025")</f>
        <v/>
      </c>
      <c r="AD32">
        <f>HYPERLINK("https://klasma.github.io/Logging_2021/tillsynsmail/A 11433-2025 tillsynsbegäran mail.docx", "A 11433-2025")</f>
        <v/>
      </c>
    </row>
    <row r="33" ht="15" customHeight="1">
      <c r="A33" t="inlineStr">
        <is>
          <t>A 41377-2026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46301</v>
      </c>
      <c r="E33" s="1" t="n">
        <v>46322</v>
      </c>
      <c r="F33" t="inlineStr">
        <is>
          <t>DALARNAS LÄN</t>
        </is>
      </c>
      <c r="G33" t="inlineStr">
        <is>
          <t>VANSBRO</t>
        </is>
      </c>
      <c r="I33" t="n">
        <v>0.6</v>
      </c>
      <c r="J33" t="n">
        <v>1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3</v>
      </c>
      <c r="T33" t="n">
        <v>4</v>
      </c>
      <c r="U33" t="n">
        <v>0</v>
      </c>
      <c r="V33" s="2" t="inlineStr">
        <is>
          <t>Garnlav
Knärot
Ullticka</t>
        </is>
      </c>
      <c r="W33">
        <f>HYPERLINK("https://klasma.github.io/Logging_2021/artfynd/A 41377-2026 artfynd.xlsx", "A 41377-2026")</f>
        <v/>
      </c>
      <c r="X33">
        <f>HYPERLINK("https://klasma.github.io/Logging_2021/kartor/A 41377-2026 karta.png", "A 41377-2026")</f>
        <v/>
      </c>
      <c r="Y33">
        <f>HYPERLINK("https://klasma.github.io/Logging_2021/kartor_geotiff/A 41377-2026 georefererad karta.tif", "A 41377-2026")</f>
        <v/>
      </c>
      <c r="Z33">
        <f>HYPERLINK("https://klasma.github.io/Logging_2021/knärot/A 41377-2026 karta knärot.png", "A 41377-2026")</f>
        <v/>
      </c>
      <c r="AA33">
        <f>HYPERLINK("https://klasma.github.io/Logging_2021/klagomål/A 41377-2026 FSC-klagomål.docx", "A 41377-2026")</f>
        <v/>
      </c>
      <c r="AB33">
        <f>HYPERLINK("https://klasma.github.io/Logging_2021/klagomålsmail/A 41377-2026 FSC-klagomål mail.docx", "A 41377-2026")</f>
        <v/>
      </c>
      <c r="AC33">
        <f>HYPERLINK("https://klasma.github.io/Logging_2021/tillsyn/A 41377-2026 tillsynsbegäran.docx", "A 41377-2026")</f>
        <v/>
      </c>
      <c r="AD33">
        <f>HYPERLINK("https://klasma.github.io/Logging_2021/tillsynsmail/A 41377-2026 tillsynsbegäran mail.docx", "A 41377-2026")</f>
        <v/>
      </c>
    </row>
    <row r="34" ht="15" customHeight="1">
      <c r="A34" t="inlineStr">
        <is>
          <t>A 41690-2026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46302</v>
      </c>
      <c r="E34" s="1" t="n">
        <v>46322</v>
      </c>
      <c r="F34" t="inlineStr">
        <is>
          <t>DALARNAS LÄN</t>
        </is>
      </c>
      <c r="G34" t="inlineStr">
        <is>
          <t>VANSBRO</t>
        </is>
      </c>
      <c r="I34" t="n">
        <v>2.4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Drillsnäppa
Ullticka
Älg</t>
        </is>
      </c>
      <c r="W34">
        <f>HYPERLINK("https://klasma.github.io/Logging_2021/artfynd/A 41690-2026 artfynd.xlsx", "A 41690-2026")</f>
        <v/>
      </c>
      <c r="X34">
        <f>HYPERLINK("https://klasma.github.io/Logging_2021/kartor/A 41690-2026 karta.png", "A 41690-2026")</f>
        <v/>
      </c>
      <c r="Y34">
        <f>HYPERLINK("https://klasma.github.io/Logging_2021/kartor_geotiff/A 41690-2026 georefererad karta.tif", "A 41690-2026")</f>
        <v/>
      </c>
      <c r="AA34">
        <f>HYPERLINK("https://klasma.github.io/Logging_2021/klagomål/A 41690-2026 FSC-klagomål.docx", "A 41690-2026")</f>
        <v/>
      </c>
      <c r="AB34">
        <f>HYPERLINK("https://klasma.github.io/Logging_2021/klagomålsmail/A 41690-2026 FSC-klagomål mail.docx", "A 41690-2026")</f>
        <v/>
      </c>
      <c r="AC34">
        <f>HYPERLINK("https://klasma.github.io/Logging_2021/tillsyn/A 41690-2026 tillsynsbegäran.docx", "A 41690-2026")</f>
        <v/>
      </c>
      <c r="AD34">
        <f>HYPERLINK("https://klasma.github.io/Logging_2021/tillsynsmail/A 41690-2026 tillsynsbegäran mail.docx", "A 41690-2026")</f>
        <v/>
      </c>
      <c r="AE34">
        <f>HYPERLINK("https://klasma.github.io/Logging_2021/fåglar/A 41690-2026 prioriterade fågelarter.docx", "A 41690-2026")</f>
        <v/>
      </c>
    </row>
    <row r="35" ht="15" customHeight="1">
      <c r="A35" t="inlineStr">
        <is>
          <t>A 33898-2022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46322</v>
      </c>
      <c r="F35" t="inlineStr">
        <is>
          <t>DALARNAS LÄN</t>
        </is>
      </c>
      <c r="G35" t="inlineStr">
        <is>
          <t>VANSBRO</t>
        </is>
      </c>
      <c r="I35" t="n">
        <v>2.8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Knärot
Kungsfågel</t>
        </is>
      </c>
      <c r="W35">
        <f>HYPERLINK("https://klasma.github.io/Logging_2021/artfynd/A 33898-2022 artfynd.xlsx", "A 33898-2022")</f>
        <v/>
      </c>
      <c r="X35">
        <f>HYPERLINK("https://klasma.github.io/Logging_2021/kartor/A 33898-2022 karta.png", "A 33898-2022")</f>
        <v/>
      </c>
      <c r="Y35">
        <f>HYPERLINK("https://klasma.github.io/Logging_2021/kartor_geotiff/A 33898-2022 georefererad karta.tif", "A 33898-2022")</f>
        <v/>
      </c>
      <c r="Z35">
        <f>HYPERLINK("https://klasma.github.io/Logging_2021/knärot/A 33898-2022 karta knärot.png", "A 33898-2022")</f>
        <v/>
      </c>
      <c r="AA35">
        <f>HYPERLINK("https://klasma.github.io/Logging_2021/klagomål/A 33898-2022 FSC-klagomål.docx", "A 33898-2022")</f>
        <v/>
      </c>
      <c r="AB35">
        <f>HYPERLINK("https://klasma.github.io/Logging_2021/klagomålsmail/A 33898-2022 FSC-klagomål mail.docx", "A 33898-2022")</f>
        <v/>
      </c>
      <c r="AC35">
        <f>HYPERLINK("https://klasma.github.io/Logging_2021/tillsyn/A 33898-2022 tillsynsbegäran.docx", "A 33898-2022")</f>
        <v/>
      </c>
      <c r="AD35">
        <f>HYPERLINK("https://klasma.github.io/Logging_2021/tillsynsmail/A 33898-2022 tillsynsbegäran mail.docx", "A 33898-2022")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46322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1691-2026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46322</v>
      </c>
      <c r="F37" t="inlineStr">
        <is>
          <t>DALARNAS LÄN</t>
        </is>
      </c>
      <c r="G37" t="inlineStr">
        <is>
          <t>VANSBRO</t>
        </is>
      </c>
      <c r="I37" t="n">
        <v>6.3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Dropptaggsvamp
Motaggsvamp</t>
        </is>
      </c>
      <c r="W37">
        <f>HYPERLINK("https://klasma.github.io/Logging_2021/artfynd/A 1691-2026 artfynd.xlsx", "A 1691-2026")</f>
        <v/>
      </c>
      <c r="X37">
        <f>HYPERLINK("https://klasma.github.io/Logging_2021/kartor/A 1691-2026 karta.png", "A 1691-2026")</f>
        <v/>
      </c>
      <c r="Y37">
        <f>HYPERLINK("https://klasma.github.io/Logging_2021/kartor_geotiff/A 1691-2026 georefererad karta.tif", "A 1691-2026")</f>
        <v/>
      </c>
      <c r="AA37">
        <f>HYPERLINK("https://klasma.github.io/Logging_2021/klagomål/A 1691-2026 FSC-klagomål.docx", "A 1691-2026")</f>
        <v/>
      </c>
      <c r="AB37">
        <f>HYPERLINK("https://klasma.github.io/Logging_2021/klagomålsmail/A 1691-2026 FSC-klagomål mail.docx", "A 1691-2026")</f>
        <v/>
      </c>
      <c r="AC37">
        <f>HYPERLINK("https://klasma.github.io/Logging_2021/tillsyn/A 1691-2026 tillsynsbegäran.docx", "A 1691-2026")</f>
        <v/>
      </c>
      <c r="AD37">
        <f>HYPERLINK("https://klasma.github.io/Logging_2021/tillsynsmail/A 1691-2026 tillsynsbegäran mail.docx", "A 1691-2026")</f>
        <v/>
      </c>
    </row>
    <row r="38" ht="15" customHeight="1">
      <c r="A38" t="inlineStr">
        <is>
          <t>A 19656-2026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46322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18.2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Ängsblåvinge
Berggräsfjäril</t>
        </is>
      </c>
      <c r="W38">
        <f>HYPERLINK("https://klasma.github.io/Logging_2021/artfynd/A 19656-2026 artfynd.xlsx", "A 19656-2026")</f>
        <v/>
      </c>
      <c r="X38">
        <f>HYPERLINK("https://klasma.github.io/Logging_2021/kartor/A 19656-2026 karta.png", "A 19656-2026")</f>
        <v/>
      </c>
      <c r="Y38">
        <f>HYPERLINK("https://klasma.github.io/Logging_2021/kartor_geotiff/A 19656-2026 georefererad karta.tif", "A 19656-2026")</f>
        <v/>
      </c>
      <c r="AA38">
        <f>HYPERLINK("https://klasma.github.io/Logging_2021/klagomål/A 19656-2026 FSC-klagomål.docx", "A 19656-2026")</f>
        <v/>
      </c>
      <c r="AB38">
        <f>HYPERLINK("https://klasma.github.io/Logging_2021/klagomålsmail/A 19656-2026 FSC-klagomål mail.docx", "A 19656-2026")</f>
        <v/>
      </c>
      <c r="AC38">
        <f>HYPERLINK("https://klasma.github.io/Logging_2021/tillsyn/A 19656-2026 tillsynsbegäran.docx", "A 19656-2026")</f>
        <v/>
      </c>
      <c r="AD38">
        <f>HYPERLINK("https://klasma.github.io/Logging_2021/tillsynsmail/A 19656-2026 tillsynsbegäran mail.docx", "A 19656-2026")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46322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58009-2023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46322</v>
      </c>
      <c r="F40" t="inlineStr">
        <is>
          <t>DALARNAS LÄN</t>
        </is>
      </c>
      <c r="G40" t="inlineStr">
        <is>
          <t>VANSBRO</t>
        </is>
      </c>
      <c r="I40" t="n">
        <v>0.5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Sädesärla
Orre</t>
        </is>
      </c>
      <c r="W40">
        <f>HYPERLINK("https://klasma.github.io/Logging_2021/artfynd/A 58009-2023 artfynd.xlsx", "A 58009-2023")</f>
        <v/>
      </c>
      <c r="X40">
        <f>HYPERLINK("https://klasma.github.io/Logging_2021/kartor/A 58009-2023 karta.png", "A 58009-2023")</f>
        <v/>
      </c>
      <c r="Y40">
        <f>HYPERLINK("https://klasma.github.io/Logging_2021/kartor_geotiff/A 58009-2023 georefererad karta.tif", "A 58009-2023")</f>
        <v/>
      </c>
      <c r="AA40">
        <f>HYPERLINK("https://klasma.github.io/Logging_2021/klagomål/A 58009-2023 FSC-klagomål.docx", "A 58009-2023")</f>
        <v/>
      </c>
      <c r="AB40">
        <f>HYPERLINK("https://klasma.github.io/Logging_2021/klagomålsmail/A 58009-2023 FSC-klagomål mail.docx", "A 58009-2023")</f>
        <v/>
      </c>
      <c r="AC40">
        <f>HYPERLINK("https://klasma.github.io/Logging_2021/tillsyn/A 58009-2023 tillsynsbegäran.docx", "A 58009-2023")</f>
        <v/>
      </c>
      <c r="AD40">
        <f>HYPERLINK("https://klasma.github.io/Logging_2021/tillsynsmail/A 58009-2023 tillsynsbegäran mail.docx", "A 58009-2023")</f>
        <v/>
      </c>
      <c r="AE40">
        <f>HYPERLINK("https://klasma.github.io/Logging_2021/fåglar/A 58009-2023 prioriterade fågelarter.docx", "A 58009-2023")</f>
        <v/>
      </c>
    </row>
    <row r="41" ht="15" customHeight="1">
      <c r="A41" t="inlineStr">
        <is>
          <t>A 14475-2024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46322</v>
      </c>
      <c r="F41" t="inlineStr">
        <is>
          <t>DALARNAS LÄN</t>
        </is>
      </c>
      <c r="G41" t="inlineStr">
        <is>
          <t>VANSBRO</t>
        </is>
      </c>
      <c r="I41" t="n">
        <v>20.4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3</v>
      </c>
      <c r="V41" s="2" t="inlineStr">
        <is>
          <t>Garnlav
Dropptaggsvamp</t>
        </is>
      </c>
      <c r="W41">
        <f>HYPERLINK("https://klasma.github.io/Logging_2021/artfynd/A 14475-2024 artfynd.xlsx", "A 14475-2024")</f>
        <v/>
      </c>
      <c r="X41">
        <f>HYPERLINK("https://klasma.github.io/Logging_2021/kartor/A 14475-2024 karta.png", "A 14475-2024")</f>
        <v/>
      </c>
      <c r="Y41">
        <f>HYPERLINK("https://klasma.github.io/Logging_2021/kartor_geotiff/A 14475-2024 georefererad karta.tif", "A 14475-2024")</f>
        <v/>
      </c>
      <c r="AA41">
        <f>HYPERLINK("https://klasma.github.io/Logging_2021/klagomål/A 14475-2024 FSC-klagomål.docx", "A 14475-2024")</f>
        <v/>
      </c>
      <c r="AB41">
        <f>HYPERLINK("https://klasma.github.io/Logging_2021/klagomålsmail/A 14475-2024 FSC-klagomål mail.docx", "A 14475-2024")</f>
        <v/>
      </c>
      <c r="AC41">
        <f>HYPERLINK("https://klasma.github.io/Logging_2021/tillsyn/A 14475-2024 tillsynsbegäran.docx", "A 14475-2024")</f>
        <v/>
      </c>
      <c r="AD41">
        <f>HYPERLINK("https://klasma.github.io/Logging_2021/tillsynsmail/A 14475-2024 tillsynsbegäran mail.docx", "A 14475-2024")</f>
        <v/>
      </c>
    </row>
    <row r="42" ht="15" customHeight="1">
      <c r="A42" t="inlineStr">
        <is>
          <t>A 43753-2026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46316</v>
      </c>
      <c r="E42" s="1" t="n">
        <v>46322</v>
      </c>
      <c r="F42" t="inlineStr">
        <is>
          <t>DALARNAS LÄN</t>
        </is>
      </c>
      <c r="G42" t="inlineStr">
        <is>
          <t>VANSBRO</t>
        </is>
      </c>
      <c r="I42" t="n">
        <v>2.7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Kungsfågel</t>
        </is>
      </c>
      <c r="W42">
        <f>HYPERLINK("https://klasma.github.io/Logging_2021/artfynd/A 43753-2026 artfynd.xlsx", "A 43753-2026")</f>
        <v/>
      </c>
      <c r="X42">
        <f>HYPERLINK("https://klasma.github.io/Logging_2021/kartor/A 43753-2026 karta.png", "A 43753-2026")</f>
        <v/>
      </c>
      <c r="Y42">
        <f>HYPERLINK("https://klasma.github.io/Logging_2021/kartor_geotiff/A 43753-2026 georefererad karta.tif", "A 43753-2026")</f>
        <v/>
      </c>
      <c r="Z42">
        <f>HYPERLINK("https://klasma.github.io/Logging_2021/knärot/A 43753-2026 karta knärot.png", "A 43753-2026")</f>
        <v/>
      </c>
      <c r="AA42">
        <f>HYPERLINK("https://klasma.github.io/Logging_2021/klagomål/A 43753-2026 FSC-klagomål.docx", "A 43753-2026")</f>
        <v/>
      </c>
      <c r="AB42">
        <f>HYPERLINK("https://klasma.github.io/Logging_2021/klagomålsmail/A 43753-2026 FSC-klagomål mail.docx", "A 43753-2026")</f>
        <v/>
      </c>
      <c r="AC42">
        <f>HYPERLINK("https://klasma.github.io/Logging_2021/tillsyn/A 43753-2026 tillsynsbegäran.docx", "A 43753-2026")</f>
        <v/>
      </c>
      <c r="AD42">
        <f>HYPERLINK("https://klasma.github.io/Logging_2021/tillsynsmail/A 43753-2026 tillsynsbegäran mail.docx", "A 43753-2026")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46322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33250-2024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45518</v>
      </c>
      <c r="E44" s="1" t="n">
        <v>46322</v>
      </c>
      <c r="F44" t="inlineStr">
        <is>
          <t>DALARNAS LÄN</t>
        </is>
      </c>
      <c r="G44" t="inlineStr">
        <is>
          <t>VANSBRO</t>
        </is>
      </c>
      <c r="I44" t="n">
        <v>6.8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Reliktbock</t>
        </is>
      </c>
      <c r="W44">
        <f>HYPERLINK("https://klasma.github.io/Logging_2021/artfynd/A 33250-2024 artfynd.xlsx", "A 33250-2024")</f>
        <v/>
      </c>
      <c r="X44">
        <f>HYPERLINK("https://klasma.github.io/Logging_2021/kartor/A 33250-2024 karta.png", "A 33250-2024")</f>
        <v/>
      </c>
      <c r="Y44">
        <f>HYPERLINK("https://klasma.github.io/Logging_2021/kartor_geotiff/A 33250-2024 georefererad karta.tif", "A 33250-2024")</f>
        <v/>
      </c>
      <c r="AA44">
        <f>HYPERLINK("https://klasma.github.io/Logging_2021/klagomål/A 33250-2024 FSC-klagomål.docx", "A 33250-2024")</f>
        <v/>
      </c>
      <c r="AB44">
        <f>HYPERLINK("https://klasma.github.io/Logging_2021/klagomålsmail/A 33250-2024 FSC-klagomål mail.docx", "A 33250-2024")</f>
        <v/>
      </c>
      <c r="AC44">
        <f>HYPERLINK("https://klasma.github.io/Logging_2021/tillsyn/A 33250-2024 tillsynsbegäran.docx", "A 33250-2024")</f>
        <v/>
      </c>
      <c r="AD44">
        <f>HYPERLINK("https://klasma.github.io/Logging_2021/tillsynsmail/A 33250-2024 tillsynsbegäran mail.docx", "A 33250-2024")</f>
        <v/>
      </c>
    </row>
    <row r="45" ht="15" customHeight="1">
      <c r="A45" t="inlineStr">
        <is>
          <t>A 27052-2025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45811</v>
      </c>
      <c r="E45" s="1" t="n">
        <v>46322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HYPERLINK("https://klasma.github.io/Logging_2021/artfynd/A 27052-2025 artfynd.xlsx", "A 27052-2025")</f>
        <v/>
      </c>
      <c r="X45">
        <f>HYPERLINK("https://klasma.github.io/Logging_2021/kartor/A 27052-2025 karta.png", "A 27052-2025")</f>
        <v/>
      </c>
      <c r="Y45">
        <f>HYPERLINK("https://klasma.github.io/Logging_2021/kartor_geotiff/A 27052-2025 georefererad karta.tif", "A 27052-2025")</f>
        <v/>
      </c>
      <c r="AA45">
        <f>HYPERLINK("https://klasma.github.io/Logging_2021/klagomål/A 27052-2025 FSC-klagomål.docx", "A 27052-2025")</f>
        <v/>
      </c>
      <c r="AB45">
        <f>HYPERLINK("https://klasma.github.io/Logging_2021/klagomålsmail/A 27052-2025 FSC-klagomål mail.docx", "A 27052-2025")</f>
        <v/>
      </c>
      <c r="AC45">
        <f>HYPERLINK("https://klasma.github.io/Logging_2021/tillsyn/A 27052-2025 tillsynsbegäran.docx", "A 27052-2025")</f>
        <v/>
      </c>
      <c r="AD45">
        <f>HYPERLINK("https://klasma.github.io/Logging_2021/tillsynsmail/A 27052-2025 tillsynsbegäran mail.docx", "A 27052-2025")</f>
        <v/>
      </c>
      <c r="AE45">
        <f>HYPERLINK("https://klasma.github.io/Logging_2021/fåglar/A 27052-2025 prioriterade fågelarter.docx", "A 27052-2025")</f>
        <v/>
      </c>
    </row>
    <row r="46" ht="15" customHeight="1">
      <c r="A46" t="inlineStr">
        <is>
          <t>A 32917-2025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46322</v>
      </c>
      <c r="F46" t="inlineStr">
        <is>
          <t>DALARNAS LÄN</t>
        </is>
      </c>
      <c r="G46" t="inlineStr">
        <is>
          <t>VANSBRO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Garnlav</t>
        </is>
      </c>
      <c r="W46">
        <f>HYPERLINK("https://klasma.github.io/Logging_2021/artfynd/A 32917-2025 artfynd.xlsx", "A 32917-2025")</f>
        <v/>
      </c>
      <c r="X46">
        <f>HYPERLINK("https://klasma.github.io/Logging_2021/kartor/A 32917-2025 karta.png", "A 32917-2025")</f>
        <v/>
      </c>
      <c r="Y46">
        <f>HYPERLINK("https://klasma.github.io/Logging_2021/kartor_geotiff/A 32917-2025 georefererad karta.tif", "A 32917-2025")</f>
        <v/>
      </c>
      <c r="AA46">
        <f>HYPERLINK("https://klasma.github.io/Logging_2021/klagomål/A 32917-2025 FSC-klagomål.docx", "A 32917-2025")</f>
        <v/>
      </c>
      <c r="AB46">
        <f>HYPERLINK("https://klasma.github.io/Logging_2021/klagomålsmail/A 32917-2025 FSC-klagomål mail.docx", "A 32917-2025")</f>
        <v/>
      </c>
      <c r="AC46">
        <f>HYPERLINK("https://klasma.github.io/Logging_2021/tillsyn/A 32917-2025 tillsynsbegäran.docx", "A 32917-2025")</f>
        <v/>
      </c>
      <c r="AD46">
        <f>HYPERLINK("https://klasma.github.io/Logging_2021/tillsynsmail/A 32917-2025 tillsynsbegäran mail.docx", "A 32917-2025")</f>
        <v/>
      </c>
    </row>
    <row r="47" ht="15" customHeight="1">
      <c r="A47" t="inlineStr">
        <is>
          <t>A 3918-2026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46322</v>
      </c>
      <c r="F47" t="inlineStr">
        <is>
          <t>DALARNAS LÄN</t>
        </is>
      </c>
      <c r="G47" t="inlineStr">
        <is>
          <t>VANSBRO</t>
        </is>
      </c>
      <c r="I47" t="n">
        <v>6.2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Duvhök</t>
        </is>
      </c>
      <c r="W47">
        <f>HYPERLINK("https://klasma.github.io/Logging_2021/artfynd/A 3918-2026 artfynd.xlsx", "A 3918-2026")</f>
        <v/>
      </c>
      <c r="X47">
        <f>HYPERLINK("https://klasma.github.io/Logging_2021/kartor/A 3918-2026 karta.png", "A 3918-2026")</f>
        <v/>
      </c>
      <c r="Y47">
        <f>HYPERLINK("https://klasma.github.io/Logging_2021/kartor_geotiff/A 3918-2026 georefererad karta.tif", "A 3918-2026")</f>
        <v/>
      </c>
      <c r="AA47">
        <f>HYPERLINK("https://klasma.github.io/Logging_2021/klagomål/A 3918-2026 FSC-klagomål.docx", "A 3918-2026")</f>
        <v/>
      </c>
      <c r="AB47">
        <f>HYPERLINK("https://klasma.github.io/Logging_2021/klagomålsmail/A 3918-2026 FSC-klagomål mail.docx", "A 3918-2026")</f>
        <v/>
      </c>
      <c r="AC47">
        <f>HYPERLINK("https://klasma.github.io/Logging_2021/tillsyn/A 3918-2026 tillsynsbegäran.docx", "A 3918-2026")</f>
        <v/>
      </c>
      <c r="AD47">
        <f>HYPERLINK("https://klasma.github.io/Logging_2021/tillsynsmail/A 3918-2026 tillsynsbegäran mail.docx", "A 3918-2026")</f>
        <v/>
      </c>
      <c r="AE47">
        <f>HYPERLINK("https://klasma.github.io/Logging_2021/fåglar/A 3918-2026 prioriterade fågelarter.docx", "A 3918-2026")</f>
        <v/>
      </c>
    </row>
    <row r="48" ht="15" customHeight="1">
      <c r="A48" t="inlineStr">
        <is>
          <t>A 5659-2026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46322</v>
      </c>
      <c r="F48" t="inlineStr">
        <is>
          <t>DALARNAS LÄN</t>
        </is>
      </c>
      <c r="G48" t="inlineStr">
        <is>
          <t>VANSBRO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rörsvepemossa</t>
        </is>
      </c>
      <c r="W48">
        <f>HYPERLINK("https://klasma.github.io/Logging_2021/artfynd/A 5659-2026 artfynd.xlsx", "A 5659-2026")</f>
        <v/>
      </c>
      <c r="X48">
        <f>HYPERLINK("https://klasma.github.io/Logging_2021/kartor/A 5659-2026 karta.png", "A 5659-2026")</f>
        <v/>
      </c>
      <c r="Y48">
        <f>HYPERLINK("https://klasma.github.io/Logging_2021/kartor_geotiff/A 5659-2026 georefererad karta.tif", "A 5659-2026")</f>
        <v/>
      </c>
      <c r="Z48">
        <f>HYPERLINK("https://klasma.github.io/Logging_2021/knärot/A 5659-2026 karta knärot.png", "A 5659-2026")</f>
        <v/>
      </c>
      <c r="AA48">
        <f>HYPERLINK("https://klasma.github.io/Logging_2021/klagomål/A 5659-2026 FSC-klagomål.docx", "A 5659-2026")</f>
        <v/>
      </c>
      <c r="AB48">
        <f>HYPERLINK("https://klasma.github.io/Logging_2021/klagomålsmail/A 5659-2026 FSC-klagomål mail.docx", "A 5659-2026")</f>
        <v/>
      </c>
      <c r="AC48">
        <f>HYPERLINK("https://klasma.github.io/Logging_2021/tillsyn/A 5659-2026 tillsynsbegäran.docx", "A 5659-2026")</f>
        <v/>
      </c>
      <c r="AD48">
        <f>HYPERLINK("https://klasma.github.io/Logging_2021/tillsynsmail/A 5659-2026 tillsynsbegäran mail.docx", "A 5659-2026")</f>
        <v/>
      </c>
    </row>
    <row r="49" ht="15" customHeight="1">
      <c r="A49" t="inlineStr">
        <is>
          <t>A 52675-2025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45956</v>
      </c>
      <c r="E49" s="1" t="n">
        <v>46322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Motaggsvamp</t>
        </is>
      </c>
      <c r="W49">
        <f>HYPERLINK("https://klasma.github.io/Logging_2021/artfynd/A 52675-2025 artfynd.xlsx", "A 52675-2025")</f>
        <v/>
      </c>
      <c r="X49">
        <f>HYPERLINK("https://klasma.github.io/Logging_2021/kartor/A 52675-2025 karta.png", "A 52675-2025")</f>
        <v/>
      </c>
      <c r="Y49">
        <f>HYPERLINK("https://klasma.github.io/Logging_2021/kartor_geotiff/A 52675-2025 georefererad karta.tif", "A 52675-2025")</f>
        <v/>
      </c>
      <c r="AA49">
        <f>HYPERLINK("https://klasma.github.io/Logging_2021/klagomål/A 52675-2025 FSC-klagomål.docx", "A 52675-2025")</f>
        <v/>
      </c>
      <c r="AB49">
        <f>HYPERLINK("https://klasma.github.io/Logging_2021/klagomålsmail/A 52675-2025 FSC-klagomål mail.docx", "A 52675-2025")</f>
        <v/>
      </c>
      <c r="AC49">
        <f>HYPERLINK("https://klasma.github.io/Logging_2021/tillsyn/A 52675-2025 tillsynsbegäran.docx", "A 52675-2025")</f>
        <v/>
      </c>
      <c r="AD49">
        <f>HYPERLINK("https://klasma.github.io/Logging_2021/tillsynsmail/A 52675-2025 tillsynsbegäran mail.docx", "A 52675-2025")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46322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37219-2024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46322</v>
      </c>
      <c r="F51" t="inlineStr">
        <is>
          <t>DALARNAS LÄN</t>
        </is>
      </c>
      <c r="G51" t="inlineStr">
        <is>
          <t>VANSBRO</t>
        </is>
      </c>
      <c r="I51" t="n">
        <v>5.3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4</v>
      </c>
      <c r="V51" s="2" t="inlineStr">
        <is>
          <t>Tjäder</t>
        </is>
      </c>
      <c r="W51">
        <f>HYPERLINK("https://klasma.github.io/Logging_2021/artfynd/A 37219-2024 artfynd.xlsx", "A 37219-2024")</f>
        <v/>
      </c>
      <c r="X51">
        <f>HYPERLINK("https://klasma.github.io/Logging_2021/kartor/A 37219-2024 karta.png", "A 37219-2024")</f>
        <v/>
      </c>
      <c r="Y51">
        <f>HYPERLINK("https://klasma.github.io/Logging_2021/kartor_geotiff/A 37219-2024 georefererad karta.tif", "A 37219-2024")</f>
        <v/>
      </c>
      <c r="AA51">
        <f>HYPERLINK("https://klasma.github.io/Logging_2021/klagomål/A 37219-2024 FSC-klagomål.docx", "A 37219-2024")</f>
        <v/>
      </c>
      <c r="AB51">
        <f>HYPERLINK("https://klasma.github.io/Logging_2021/klagomålsmail/A 37219-2024 FSC-klagomål mail.docx", "A 37219-2024")</f>
        <v/>
      </c>
      <c r="AC51">
        <f>HYPERLINK("https://klasma.github.io/Logging_2021/tillsyn/A 37219-2024 tillsynsbegäran.docx", "A 37219-2024")</f>
        <v/>
      </c>
      <c r="AD51">
        <f>HYPERLINK("https://klasma.github.io/Logging_2021/tillsynsmail/A 37219-2024 tillsynsbegäran mail.docx", "A 37219-2024")</f>
        <v/>
      </c>
      <c r="AE51">
        <f>HYPERLINK("https://klasma.github.io/Logging_2021/fåglar/A 37219-2024 prioriterade fågelarter.docx", "A 37219-2024")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46322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26756-2026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46322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11.4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HYPERLINK("https://klasma.github.io/Logging_2021/artfynd/A 26756-2026 artfynd.xlsx", "A 26756-2026")</f>
        <v/>
      </c>
      <c r="X53">
        <f>HYPERLINK("https://klasma.github.io/Logging_2021/kartor/A 26756-2026 karta.png", "A 26756-2026")</f>
        <v/>
      </c>
      <c r="Y53">
        <f>HYPERLINK("https://klasma.github.io/Logging_2021/kartor_geotiff/A 26756-2026 georefererad karta.tif", "A 26756-2026")</f>
        <v/>
      </c>
      <c r="AA53">
        <f>HYPERLINK("https://klasma.github.io/Logging_2021/klagomål/A 26756-2026 FSC-klagomål.docx", "A 26756-2026")</f>
        <v/>
      </c>
      <c r="AB53">
        <f>HYPERLINK("https://klasma.github.io/Logging_2021/klagomålsmail/A 26756-2026 FSC-klagomål mail.docx", "A 26756-2026")</f>
        <v/>
      </c>
      <c r="AC53">
        <f>HYPERLINK("https://klasma.github.io/Logging_2021/tillsyn/A 26756-2026 tillsynsbegäran.docx", "A 26756-2026")</f>
        <v/>
      </c>
      <c r="AD53">
        <f>HYPERLINK("https://klasma.github.io/Logging_2021/tillsynsmail/A 26756-2026 tillsynsbegäran mail.docx", "A 26756-2026")</f>
        <v/>
      </c>
      <c r="AE53">
        <f>HYPERLINK("https://klasma.github.io/Logging_2021/fåglar/A 26756-2026 prioriterade fågelarter.docx", "A 26756-2026")</f>
        <v/>
      </c>
    </row>
    <row r="54" ht="15" customHeight="1">
      <c r="A54" t="inlineStr">
        <is>
          <t>A 35533-2026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46322</v>
      </c>
      <c r="F54" t="inlineStr">
        <is>
          <t>DALARNAS LÄN</t>
        </is>
      </c>
      <c r="G54" t="inlineStr">
        <is>
          <t>VANSBRO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HYPERLINK("https://klasma.github.io/Logging_2021/artfynd/A 35533-2026 artfynd.xlsx", "A 35533-2026")</f>
        <v/>
      </c>
      <c r="X54">
        <f>HYPERLINK("https://klasma.github.io/Logging_2021/kartor/A 35533-2026 karta.png", "A 35533-2026")</f>
        <v/>
      </c>
      <c r="Y54">
        <f>HYPERLINK("https://klasma.github.io/Logging_2021/kartor_geotiff/A 35533-2026 georefererad karta.tif", "A 35533-2026")</f>
        <v/>
      </c>
      <c r="Z54">
        <f>HYPERLINK("https://klasma.github.io/Logging_2021/knärot/A 35533-2026 karta knärot.png", "A 35533-2026")</f>
        <v/>
      </c>
      <c r="AA54">
        <f>HYPERLINK("https://klasma.github.io/Logging_2021/klagomål/A 35533-2026 FSC-klagomål.docx", "A 35533-2026")</f>
        <v/>
      </c>
      <c r="AB54">
        <f>HYPERLINK("https://klasma.github.io/Logging_2021/klagomålsmail/A 35533-2026 FSC-klagomål mail.docx", "A 35533-2026")</f>
        <v/>
      </c>
      <c r="AC54">
        <f>HYPERLINK("https://klasma.github.io/Logging_2021/tillsyn/A 35533-2026 tillsynsbegäran.docx", "A 35533-2026")</f>
        <v/>
      </c>
      <c r="AD54">
        <f>HYPERLINK("https://klasma.github.io/Logging_2021/tillsynsmail/A 35533-2026 tillsynsbegäran mail.docx", "A 35533-2026")</f>
        <v/>
      </c>
    </row>
    <row r="55" ht="15" customHeight="1">
      <c r="A55" t="inlineStr">
        <is>
          <t>A 57810-2023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46322</v>
      </c>
      <c r="F55" t="inlineStr">
        <is>
          <t>DALARNAS LÄN</t>
        </is>
      </c>
      <c r="G55" t="inlineStr">
        <is>
          <t>VANSBRO</t>
        </is>
      </c>
      <c r="I55" t="n">
        <v>0.6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Järnsparv</t>
        </is>
      </c>
      <c r="W55">
        <f>HYPERLINK("https://klasma.github.io/Logging_2021/artfynd/A 57810-2023 artfynd.xlsx", "A 57810-2023")</f>
        <v/>
      </c>
      <c r="X55">
        <f>HYPERLINK("https://klasma.github.io/Logging_2021/kartor/A 57810-2023 karta.png", "A 57810-2023")</f>
        <v/>
      </c>
      <c r="Y55">
        <f>HYPERLINK("https://klasma.github.io/Logging_2021/kartor_geotiff/A 57810-2023 georefererad karta.tif", "A 57810-2023")</f>
        <v/>
      </c>
      <c r="AA55">
        <f>HYPERLINK("https://klasma.github.io/Logging_2021/klagomål/A 57810-2023 FSC-klagomål.docx", "A 57810-2023")</f>
        <v/>
      </c>
      <c r="AB55">
        <f>HYPERLINK("https://klasma.github.io/Logging_2021/klagomålsmail/A 57810-2023 FSC-klagomål mail.docx", "A 57810-2023")</f>
        <v/>
      </c>
      <c r="AC55">
        <f>HYPERLINK("https://klasma.github.io/Logging_2021/tillsyn/A 57810-2023 tillsynsbegäran.docx", "A 57810-2023")</f>
        <v/>
      </c>
      <c r="AD55">
        <f>HYPERLINK("https://klasma.github.io/Logging_2021/tillsynsmail/A 57810-2023 tillsynsbegäran mail.docx", "A 57810-2023")</f>
        <v/>
      </c>
      <c r="AE55">
        <f>HYPERLINK("https://klasma.github.io/Logging_2021/fåglar/A 57810-2023 prioriterade fågelarter.docx", "A 57810-2023")</f>
        <v/>
      </c>
    </row>
    <row r="56" ht="15" customHeight="1">
      <c r="A56" t="inlineStr">
        <is>
          <t>S 146-2023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44942</v>
      </c>
      <c r="E56" s="1" t="n">
        <v>46322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8.9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HYPERLINK("https://klasma.github.io/Logging_2021/artfynd/S 146-2023 artfynd.xlsx", "S 146-2023")</f>
        <v/>
      </c>
      <c r="X56">
        <f>HYPERLINK("https://klasma.github.io/Logging_2021/kartor/S 146-2023 karta.png", "S 146-2023")</f>
        <v/>
      </c>
      <c r="Y56">
        <f>HYPERLINK("https://klasma.github.io/Logging_2021/kartor_geotiff/S 146-2023 georefererad karta.tif", "S 146-2023")</f>
        <v/>
      </c>
      <c r="AA56">
        <f>HYPERLINK("https://klasma.github.io/Logging_2021/klagomål/S 146-2023 FSC-klagomål.docx", "S 146-2023")</f>
        <v/>
      </c>
      <c r="AB56">
        <f>HYPERLINK("https://klasma.github.io/Logging_2021/klagomålsmail/S 146-2023 FSC-klagomål mail.docx", "S 146-2023")</f>
        <v/>
      </c>
      <c r="AC56">
        <f>HYPERLINK("https://klasma.github.io/Logging_2021/tillsyn/S 146-2023 tillsynsbegäran.docx", "S 146-2023")</f>
        <v/>
      </c>
      <c r="AD56">
        <f>HYPERLINK("https://klasma.github.io/Logging_2021/tillsynsmail/S 146-2023 tillsynsbegäran mail.docx", "S 146-2023")</f>
        <v/>
      </c>
    </row>
    <row r="57" ht="15" customHeight="1">
      <c r="A57" t="inlineStr">
        <is>
          <t>S 940-2024</t>
        </is>
      </c>
      <c r="B57" t="inlineStr">
        <is>
          <t>samrådsanmälan</t>
        </is>
      </c>
      <c r="C57" t="inlineStr">
        <is>
          <t>Skogsgödsling</t>
        </is>
      </c>
      <c r="D57" s="1" t="n">
        <v>45377</v>
      </c>
      <c r="E57" s="1" t="n">
        <v>46322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158.9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HYPERLINK("https://klasma.github.io/Logging_2021/artfynd/S 940-2024 artfynd.xlsx", "S 940-2024")</f>
        <v/>
      </c>
      <c r="X57">
        <f>HYPERLINK("https://klasma.github.io/Logging_2021/kartor/S 940-2024 karta.png", "S 940-2024")</f>
        <v/>
      </c>
      <c r="Y57">
        <f>HYPERLINK("https://klasma.github.io/Logging_2021/kartor_geotiff/S 940-2024 georefererad karta.tif", "S 940-2024")</f>
        <v/>
      </c>
      <c r="AA57">
        <f>HYPERLINK("https://klasma.github.io/Logging_2021/klagomål/S 940-2024 FSC-klagomål.docx", "S 940-2024")</f>
        <v/>
      </c>
      <c r="AB57">
        <f>HYPERLINK("https://klasma.github.io/Logging_2021/klagomålsmail/S 940-2024 FSC-klagomål mail.docx", "S 940-2024")</f>
        <v/>
      </c>
      <c r="AC57">
        <f>HYPERLINK("https://klasma.github.io/Logging_2021/tillsyn/S 940-2024 tillsynsbegäran.docx", "S 940-2024")</f>
        <v/>
      </c>
      <c r="AD57">
        <f>HYPERLINK("https://klasma.github.io/Logging_2021/tillsynsmail/S 940-2024 tillsynsbegäran mail.docx", "S 940-2024")</f>
        <v/>
      </c>
    </row>
    <row r="58" ht="15" customHeight="1">
      <c r="A58" t="inlineStr">
        <is>
          <t>A 54023-2022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46322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46322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46322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66705-2021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46322</v>
      </c>
      <c r="F61" t="inlineStr">
        <is>
          <t>DALARNAS LÄN</t>
        </is>
      </c>
      <c r="G61" t="inlineStr">
        <is>
          <t>VANSBRO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46322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46322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46322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46322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46322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46322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46322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46322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46322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46322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46322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46322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46322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46322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46322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46322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46322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46322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46322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46322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46322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46322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46322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45888</v>
      </c>
      <c r="E85" s="1" t="n">
        <v>46322</v>
      </c>
      <c r="F85" t="inlineStr">
        <is>
          <t>DALARNAS LÄN</t>
        </is>
      </c>
      <c r="G85" t="inlineStr">
        <is>
          <t>VANSBRO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45888</v>
      </c>
      <c r="E86" s="1" t="n">
        <v>46322</v>
      </c>
      <c r="F86" t="inlineStr">
        <is>
          <t>DALARNAS LÄN</t>
        </is>
      </c>
      <c r="G86" t="inlineStr">
        <is>
          <t>VANSBRO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45888</v>
      </c>
      <c r="E87" s="1" t="n">
        <v>46322</v>
      </c>
      <c r="F87" t="inlineStr">
        <is>
          <t>DALARNAS LÄN</t>
        </is>
      </c>
      <c r="G87" t="inlineStr">
        <is>
          <t>VANSBRO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46322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5420-2024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45331</v>
      </c>
      <c r="E89" s="1" t="n">
        <v>46322</v>
      </c>
      <c r="F89" t="inlineStr">
        <is>
          <t>DALARNAS LÄN</t>
        </is>
      </c>
      <c r="G89" t="inlineStr">
        <is>
          <t>VANSBRO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46322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46322</v>
      </c>
      <c r="F91" t="inlineStr">
        <is>
          <t>DALARNAS LÄN</t>
        </is>
      </c>
      <c r="G91" t="inlineStr">
        <is>
          <t>VANSBRO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46322</v>
      </c>
      <c r="F92" t="inlineStr">
        <is>
          <t>DALARNAS LÄN</t>
        </is>
      </c>
      <c r="G92" t="inlineStr">
        <is>
          <t>VANSBRO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46322</v>
      </c>
      <c r="F93" t="inlineStr">
        <is>
          <t>DALARNAS LÄN</t>
        </is>
      </c>
      <c r="G93" t="inlineStr">
        <is>
          <t>VANSBRO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44930</v>
      </c>
      <c r="E94" s="1" t="n">
        <v>46322</v>
      </c>
      <c r="F94" t="inlineStr">
        <is>
          <t>DALARNAS LÄN</t>
        </is>
      </c>
      <c r="G94" t="inlineStr">
        <is>
          <t>VANSBRO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45498</v>
      </c>
      <c r="E95" s="1" t="n">
        <v>46322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40884-2025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45897</v>
      </c>
      <c r="E96" s="1" t="n">
        <v>46322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46322</v>
      </c>
      <c r="F97" t="inlineStr">
        <is>
          <t>DALARNAS LÄN</t>
        </is>
      </c>
      <c r="G97" t="inlineStr">
        <is>
          <t>VANSBRO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38670-2025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45884</v>
      </c>
      <c r="E98" s="1" t="n">
        <v>46322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45141</v>
      </c>
      <c r="E99" s="1" t="n">
        <v>46322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46322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45631</v>
      </c>
      <c r="E101" s="1" t="n">
        <v>46322</v>
      </c>
      <c r="F101" t="inlineStr">
        <is>
          <t>DALARNAS LÄN</t>
        </is>
      </c>
      <c r="G101" t="inlineStr">
        <is>
          <t>VANSBRO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46322</v>
      </c>
      <c r="F102" t="inlineStr">
        <is>
          <t>DALARNAS LÄN</t>
        </is>
      </c>
      <c r="G102" t="inlineStr">
        <is>
          <t>VANSBRO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23899-2023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45078</v>
      </c>
      <c r="E103" s="1" t="n">
        <v>46322</v>
      </c>
      <c r="F103" t="inlineStr">
        <is>
          <t>DALARNAS LÄN</t>
        </is>
      </c>
      <c r="G103" t="inlineStr">
        <is>
          <t>VANSBRO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46322</v>
      </c>
      <c r="F104" t="inlineStr">
        <is>
          <t>DALARNAS LÄN</t>
        </is>
      </c>
      <c r="G104" t="inlineStr">
        <is>
          <t>VANSBRO</t>
        </is>
      </c>
      <c r="H104" t="inlineStr">
        <is>
          <t>Kommuner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46322</v>
      </c>
      <c r="F105" t="inlineStr">
        <is>
          <t>DALARNAS LÄN</t>
        </is>
      </c>
      <c r="G105" t="inlineStr">
        <is>
          <t>VANSBRO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11408-2025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45726</v>
      </c>
      <c r="E106" s="1" t="n">
        <v>46322</v>
      </c>
      <c r="F106" t="inlineStr">
        <is>
          <t>DALARNAS LÄN</t>
        </is>
      </c>
      <c r="G106" t="inlineStr">
        <is>
          <t>VANSBRO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46322</v>
      </c>
      <c r="F107" t="inlineStr">
        <is>
          <t>DALARNAS LÄN</t>
        </is>
      </c>
      <c r="G107" t="inlineStr">
        <is>
          <t>VANSBRO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44960</v>
      </c>
      <c r="E108" s="1" t="n">
        <v>46322</v>
      </c>
      <c r="F108" t="inlineStr">
        <is>
          <t>DALARNAS LÄN</t>
        </is>
      </c>
      <c r="G108" t="inlineStr">
        <is>
          <t>VANSBRO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46322</v>
      </c>
      <c r="F109" t="inlineStr">
        <is>
          <t>DALARNAS LÄN</t>
        </is>
      </c>
      <c r="G109" t="inlineStr">
        <is>
          <t>VANSBRO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46322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öst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44931</v>
      </c>
      <c r="E111" s="1" t="n">
        <v>46322</v>
      </c>
      <c r="F111" t="inlineStr">
        <is>
          <t>DALARNAS LÄN</t>
        </is>
      </c>
      <c r="G111" t="inlineStr">
        <is>
          <t>VANSBRO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44791</v>
      </c>
      <c r="E112" s="1" t="n">
        <v>46322</v>
      </c>
      <c r="F112" t="inlineStr">
        <is>
          <t>DALARNAS LÄN</t>
        </is>
      </c>
      <c r="G112" t="inlineStr">
        <is>
          <t>VANSBRO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46322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46188</v>
      </c>
      <c r="E114" s="1" t="n">
        <v>46322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46188</v>
      </c>
      <c r="E115" s="1" t="n">
        <v>46322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46322</v>
      </c>
      <c r="F116" t="inlineStr">
        <is>
          <t>DALARNAS LÄN</t>
        </is>
      </c>
      <c r="G116" t="inlineStr">
        <is>
          <t>VANSBRO</t>
        </is>
      </c>
      <c r="H116" t="inlineStr">
        <is>
          <t>Övriga statliga verk och myndigheter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45588</v>
      </c>
      <c r="E117" s="1" t="n">
        <v>46322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46322</v>
      </c>
      <c r="F118" t="inlineStr">
        <is>
          <t>DALARNAS LÄN</t>
        </is>
      </c>
      <c r="G118" t="inlineStr">
        <is>
          <t>VANSBRO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46322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45933</v>
      </c>
      <c r="E120" s="1" t="n">
        <v>46322</v>
      </c>
      <c r="F120" t="inlineStr">
        <is>
          <t>DALARNAS LÄN</t>
        </is>
      </c>
      <c r="G120" t="inlineStr">
        <is>
          <t>VANSBRO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44796</v>
      </c>
      <c r="E121" s="1" t="n">
        <v>46322</v>
      </c>
      <c r="F121" t="inlineStr">
        <is>
          <t>DALARNAS LÄN</t>
        </is>
      </c>
      <c r="G121" t="inlineStr">
        <is>
          <t>VANSBRO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46322</v>
      </c>
      <c r="F122" t="inlineStr">
        <is>
          <t>DALARNAS LÄN</t>
        </is>
      </c>
      <c r="G122" t="inlineStr">
        <is>
          <t>VANSBRO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45932</v>
      </c>
      <c r="E123" s="1" t="n">
        <v>46322</v>
      </c>
      <c r="F123" t="inlineStr">
        <is>
          <t>DALARNAS LÄN</t>
        </is>
      </c>
      <c r="G123" t="inlineStr">
        <is>
          <t>VANSBRO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45491</v>
      </c>
      <c r="E124" s="1" t="n">
        <v>46322</v>
      </c>
      <c r="F124" t="inlineStr">
        <is>
          <t>DALARNAS LÄN</t>
        </is>
      </c>
      <c r="G124" t="inlineStr">
        <is>
          <t>VANSBRO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46322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27344-2026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46322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48840-2025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45937</v>
      </c>
      <c r="E127" s="1" t="n">
        <v>46322</v>
      </c>
      <c r="F127" t="inlineStr">
        <is>
          <t>DALARNAS LÄN</t>
        </is>
      </c>
      <c r="G127" t="inlineStr">
        <is>
          <t>VANSBRO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46322</v>
      </c>
      <c r="F128" t="inlineStr">
        <is>
          <t>DALARNAS LÄN</t>
        </is>
      </c>
      <c r="G128" t="inlineStr">
        <is>
          <t>VANSBRO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49677-2025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46322</v>
      </c>
      <c r="F129" t="inlineStr">
        <is>
          <t>DALARNAS LÄN</t>
        </is>
      </c>
      <c r="G129" t="inlineStr">
        <is>
          <t>VANSBRO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46322</v>
      </c>
      <c r="F130" t="inlineStr">
        <is>
          <t>DALARNAS LÄN</t>
        </is>
      </c>
      <c r="G130" t="inlineStr">
        <is>
          <t>VANSBRO</t>
        </is>
      </c>
      <c r="I130" t="n">
        <v>15.5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49617-2025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45939</v>
      </c>
      <c r="E131" s="1" t="n">
        <v>46322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öst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45939</v>
      </c>
      <c r="E132" s="1" t="n">
        <v>46322</v>
      </c>
      <c r="F132" t="inlineStr">
        <is>
          <t>DALARNAS LÄN</t>
        </is>
      </c>
      <c r="G132" t="inlineStr">
        <is>
          <t>VANSBRO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46322</v>
      </c>
      <c r="F133" t="inlineStr">
        <is>
          <t>DALARNAS LÄN</t>
        </is>
      </c>
      <c r="G133" t="inlineStr">
        <is>
          <t>VANSBRO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46322</v>
      </c>
      <c r="F134" t="inlineStr">
        <is>
          <t>DALARNAS LÄN</t>
        </is>
      </c>
      <c r="G134" t="inlineStr">
        <is>
          <t>VANSBRO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46322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46322</v>
      </c>
      <c r="F136" t="inlineStr">
        <is>
          <t>DALARNAS LÄN</t>
        </is>
      </c>
      <c r="G136" t="inlineStr">
        <is>
          <t>VANSBRO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46190</v>
      </c>
      <c r="E137" s="1" t="n">
        <v>46322</v>
      </c>
      <c r="F137" t="inlineStr">
        <is>
          <t>DALARNAS LÄN</t>
        </is>
      </c>
      <c r="G137" t="inlineStr">
        <is>
          <t>VANSBRO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45689</v>
      </c>
      <c r="E138" s="1" t="n">
        <v>46322</v>
      </c>
      <c r="F138" t="inlineStr">
        <is>
          <t>DALARNAS LÄN</t>
        </is>
      </c>
      <c r="G138" t="inlineStr">
        <is>
          <t>VANSBRO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46322</v>
      </c>
      <c r="F139" t="inlineStr">
        <is>
          <t>DALARNAS LÄN</t>
        </is>
      </c>
      <c r="G139" t="inlineStr">
        <is>
          <t>VANSBRO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61515-2022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44916</v>
      </c>
      <c r="E140" s="1" t="n">
        <v>46322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45637</v>
      </c>
      <c r="E141" s="1" t="n">
        <v>46322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46322</v>
      </c>
      <c r="F142" t="inlineStr">
        <is>
          <t>DALARNAS LÄN</t>
        </is>
      </c>
      <c r="G142" t="inlineStr">
        <is>
          <t>VANSBRO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46322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46322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10.2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46322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46322</v>
      </c>
      <c r="F146" t="inlineStr">
        <is>
          <t>DALARNAS LÄN</t>
        </is>
      </c>
      <c r="G146" t="inlineStr">
        <is>
          <t>VANSBRO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46322</v>
      </c>
      <c r="F147" t="inlineStr">
        <is>
          <t>DALARNAS LÄN</t>
        </is>
      </c>
      <c r="G147" t="inlineStr">
        <is>
          <t>VANSBRO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45956</v>
      </c>
      <c r="E148" s="1" t="n">
        <v>46322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45956</v>
      </c>
      <c r="E149" s="1" t="n">
        <v>46322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46322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45959</v>
      </c>
      <c r="E151" s="1" t="n">
        <v>46322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46322</v>
      </c>
      <c r="F152" t="inlineStr">
        <is>
          <t>DALARNAS LÄN</t>
        </is>
      </c>
      <c r="G152" t="inlineStr">
        <is>
          <t>VANSBRO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46322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46322</v>
      </c>
      <c r="F154" t="inlineStr">
        <is>
          <t>DALARNAS LÄN</t>
        </is>
      </c>
      <c r="G154" t="inlineStr">
        <is>
          <t>VANSBRO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45783</v>
      </c>
      <c r="E155" s="1" t="n">
        <v>46322</v>
      </c>
      <c r="F155" t="inlineStr">
        <is>
          <t>DALARNAS LÄN</t>
        </is>
      </c>
      <c r="G155" t="inlineStr">
        <is>
          <t>VANSBRO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45674</v>
      </c>
      <c r="E156" s="1" t="n">
        <v>46322</v>
      </c>
      <c r="F156" t="inlineStr">
        <is>
          <t>DALARNAS LÄN</t>
        </is>
      </c>
      <c r="G156" t="inlineStr">
        <is>
          <t>VANSBRO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45512</v>
      </c>
      <c r="E157" s="1" t="n">
        <v>46322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45783</v>
      </c>
      <c r="E158" s="1" t="n">
        <v>46322</v>
      </c>
      <c r="F158" t="inlineStr">
        <is>
          <t>DALARNAS LÄN</t>
        </is>
      </c>
      <c r="G158" t="inlineStr">
        <is>
          <t>VANSBRO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46322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46322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45483</v>
      </c>
      <c r="E161" s="1" t="n">
        <v>46322</v>
      </c>
      <c r="F161" t="inlineStr">
        <is>
          <t>DALARNAS LÄN</t>
        </is>
      </c>
      <c r="G161" t="inlineStr">
        <is>
          <t>VANSBRO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46322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46322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46322</v>
      </c>
      <c r="F164" t="inlineStr">
        <is>
          <t>DALARNAS LÄN</t>
        </is>
      </c>
      <c r="G164" t="inlineStr">
        <is>
          <t>VANSBRO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46322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46322</v>
      </c>
      <c r="F166" t="inlineStr">
        <is>
          <t>DALARNAS LÄN</t>
        </is>
      </c>
      <c r="G166" t="inlineStr">
        <is>
          <t>VANSBRO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45492</v>
      </c>
      <c r="E167" s="1" t="n">
        <v>46322</v>
      </c>
      <c r="F167" t="inlineStr">
        <is>
          <t>DALARNAS LÄN</t>
        </is>
      </c>
      <c r="G167" t="inlineStr">
        <is>
          <t>VANSBRO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46322</v>
      </c>
      <c r="F168" t="inlineStr">
        <is>
          <t>DALARNAS LÄN</t>
        </is>
      </c>
      <c r="G168" t="inlineStr">
        <is>
          <t>VANSBRO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44719</v>
      </c>
      <c r="E169" s="1" t="n">
        <v>46322</v>
      </c>
      <c r="F169" t="inlineStr">
        <is>
          <t>DALARNAS LÄN</t>
        </is>
      </c>
      <c r="G169" t="inlineStr">
        <is>
          <t>VANSBRO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46322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46322</v>
      </c>
      <c r="F171" t="inlineStr">
        <is>
          <t>DALARNAS LÄN</t>
        </is>
      </c>
      <c r="G171" t="inlineStr">
        <is>
          <t>VANSBRO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45689</v>
      </c>
      <c r="E172" s="1" t="n">
        <v>46322</v>
      </c>
      <c r="F172" t="inlineStr">
        <is>
          <t>DALARNAS LÄN</t>
        </is>
      </c>
      <c r="G172" t="inlineStr">
        <is>
          <t>VANSBRO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35299-2024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45530</v>
      </c>
      <c r="E173" s="1" t="n">
        <v>46322</v>
      </c>
      <c r="F173" t="inlineStr">
        <is>
          <t>DALARNAS LÄN</t>
        </is>
      </c>
      <c r="G173" t="inlineStr">
        <is>
          <t>VANSBRO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44925</v>
      </c>
      <c r="E174" s="1" t="n">
        <v>46322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46322</v>
      </c>
      <c r="F175" t="inlineStr">
        <is>
          <t>DALARNAS LÄN</t>
        </is>
      </c>
      <c r="G175" t="inlineStr">
        <is>
          <t>VANSBRO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45688</v>
      </c>
      <c r="E176" s="1" t="n">
        <v>46322</v>
      </c>
      <c r="F176" t="inlineStr">
        <is>
          <t>DALARNAS LÄN</t>
        </is>
      </c>
      <c r="G176" t="inlineStr">
        <is>
          <t>VANSBRO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29411-2024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45483</v>
      </c>
      <c r="E177" s="1" t="n">
        <v>46322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28069-2026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46322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46322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45987</v>
      </c>
      <c r="E180" s="1" t="n">
        <v>46322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49565-2022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44862</v>
      </c>
      <c r="E181" s="1" t="n">
        <v>46322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46322</v>
      </c>
      <c r="F182" t="inlineStr">
        <is>
          <t>DALARNAS LÄN</t>
        </is>
      </c>
      <c r="G182" t="inlineStr">
        <is>
          <t>VANSBRO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46322</v>
      </c>
      <c r="F183" t="inlineStr">
        <is>
          <t>DALARNAS LÄN</t>
        </is>
      </c>
      <c r="G183" t="inlineStr">
        <is>
          <t>VANSBRO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46322</v>
      </c>
      <c r="F184" t="inlineStr">
        <is>
          <t>DALARNAS LÄN</t>
        </is>
      </c>
      <c r="G184" t="inlineStr">
        <is>
          <t>VANSBRO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46322</v>
      </c>
      <c r="F185" t="inlineStr">
        <is>
          <t>DALARNAS LÄN</t>
        </is>
      </c>
      <c r="G185" t="inlineStr">
        <is>
          <t>VANSBRO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46322</v>
      </c>
      <c r="F186" t="inlineStr">
        <is>
          <t>DALARNAS LÄN</t>
        </is>
      </c>
      <c r="G186" t="inlineStr">
        <is>
          <t>VANSBRO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46322</v>
      </c>
      <c r="F187" t="inlineStr">
        <is>
          <t>DALARNAS LÄN</t>
        </is>
      </c>
      <c r="G187" t="inlineStr">
        <is>
          <t>VANSBRO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46322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46322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öst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44728</v>
      </c>
      <c r="E190" s="1" t="n">
        <v>46322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öst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46322</v>
      </c>
      <c r="F191" t="inlineStr">
        <is>
          <t>DALARNAS LÄN</t>
        </is>
      </c>
      <c r="G191" t="inlineStr">
        <is>
          <t>VANSBRO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46322</v>
      </c>
      <c r="F192" t="inlineStr">
        <is>
          <t>DALARNAS LÄN</t>
        </is>
      </c>
      <c r="G192" t="inlineStr">
        <is>
          <t>VANSBRO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46322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46322</v>
      </c>
      <c r="F194" t="inlineStr">
        <is>
          <t>DALARNAS LÄN</t>
        </is>
      </c>
      <c r="G194" t="inlineStr">
        <is>
          <t>VANSBRO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46322</v>
      </c>
      <c r="F195" t="inlineStr">
        <is>
          <t>DALARNAS LÄN</t>
        </is>
      </c>
      <c r="G195" t="inlineStr">
        <is>
          <t>VANSBRO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46199</v>
      </c>
      <c r="E196" s="1" t="n">
        <v>46322</v>
      </c>
      <c r="F196" t="inlineStr">
        <is>
          <t>DALARNAS LÄN</t>
        </is>
      </c>
      <c r="G196" t="inlineStr">
        <is>
          <t>VANSBRO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46322</v>
      </c>
      <c r="F197" t="inlineStr">
        <is>
          <t>DALARNAS LÄN</t>
        </is>
      </c>
      <c r="G197" t="inlineStr">
        <is>
          <t>VANSBRO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46322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öst AB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46322</v>
      </c>
      <c r="F199" t="inlineStr">
        <is>
          <t>DALARNAS LÄN</t>
        </is>
      </c>
      <c r="G199" t="inlineStr">
        <is>
          <t>VANSBRO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46322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46322</v>
      </c>
      <c r="F201" t="inlineStr">
        <is>
          <t>DALARNAS LÄN</t>
        </is>
      </c>
      <c r="G201" t="inlineStr">
        <is>
          <t>VANSBRO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18859-2025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46322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46322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46322</v>
      </c>
      <c r="F204" t="inlineStr">
        <is>
          <t>DALARNAS LÄN</t>
        </is>
      </c>
      <c r="G204" t="inlineStr">
        <is>
          <t>VANSBRO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46322</v>
      </c>
      <c r="F205" t="inlineStr">
        <is>
          <t>DALARNAS LÄN</t>
        </is>
      </c>
      <c r="G205" t="inlineStr">
        <is>
          <t>VANSBRO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46322</v>
      </c>
      <c r="F206" t="inlineStr">
        <is>
          <t>DALARNAS LÄN</t>
        </is>
      </c>
      <c r="G206" t="inlineStr">
        <is>
          <t>VANSBRO</t>
        </is>
      </c>
      <c r="I206" t="n">
        <v>27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46322</v>
      </c>
      <c r="F207" t="inlineStr">
        <is>
          <t>DALARNAS LÄN</t>
        </is>
      </c>
      <c r="G207" t="inlineStr">
        <is>
          <t>VANSBRO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46322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46322</v>
      </c>
      <c r="F209" t="inlineStr">
        <is>
          <t>DALARNAS LÄN</t>
        </is>
      </c>
      <c r="G209" t="inlineStr">
        <is>
          <t>VANSBRO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46322</v>
      </c>
      <c r="F210" t="inlineStr">
        <is>
          <t>DALARNAS LÄN</t>
        </is>
      </c>
      <c r="G210" t="inlineStr">
        <is>
          <t>VANSBRO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45463</v>
      </c>
      <c r="E211" s="1" t="n">
        <v>46322</v>
      </c>
      <c r="F211" t="inlineStr">
        <is>
          <t>DALARNAS LÄN</t>
        </is>
      </c>
      <c r="G211" t="inlineStr">
        <is>
          <t>VANSBRO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46322</v>
      </c>
      <c r="F212" t="inlineStr">
        <is>
          <t>DALARNAS LÄN</t>
        </is>
      </c>
      <c r="G212" t="inlineStr">
        <is>
          <t>VANSBRO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33056-2025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46322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öst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46322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45666</v>
      </c>
      <c r="E215" s="1" t="n">
        <v>46322</v>
      </c>
      <c r="F215" t="inlineStr">
        <is>
          <t>DALARNAS LÄN</t>
        </is>
      </c>
      <c r="G215" t="inlineStr">
        <is>
          <t>VANSBRO</t>
        </is>
      </c>
      <c r="H215" t="inlineStr">
        <is>
          <t>Övriga statliga verk och myndigheter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29174-2026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46202</v>
      </c>
      <c r="E216" s="1" t="n">
        <v>46322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46322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46322</v>
      </c>
      <c r="F218" t="inlineStr">
        <is>
          <t>DALARNAS LÄN</t>
        </is>
      </c>
      <c r="G218" t="inlineStr">
        <is>
          <t>VANSBRO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46033</v>
      </c>
      <c r="E219" s="1" t="n">
        <v>46322</v>
      </c>
      <c r="F219" t="inlineStr">
        <is>
          <t>DALARNAS LÄN</t>
        </is>
      </c>
      <c r="G219" t="inlineStr">
        <is>
          <t>VANSBRO</t>
        </is>
      </c>
      <c r="I219" t="n">
        <v>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46322</v>
      </c>
      <c r="F220" t="inlineStr">
        <is>
          <t>DALARNAS LÄN</t>
        </is>
      </c>
      <c r="G220" t="inlineStr">
        <is>
          <t>VANSBRO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46204</v>
      </c>
      <c r="E221" s="1" t="n">
        <v>46322</v>
      </c>
      <c r="F221" t="inlineStr">
        <is>
          <t>DALARNAS LÄN</t>
        </is>
      </c>
      <c r="G221" t="inlineStr">
        <is>
          <t>VANSBRO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46322</v>
      </c>
      <c r="F222" t="inlineStr">
        <is>
          <t>DALARNAS LÄN</t>
        </is>
      </c>
      <c r="G222" t="inlineStr">
        <is>
          <t>VANSBRO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45854</v>
      </c>
      <c r="E223" s="1" t="n">
        <v>46322</v>
      </c>
      <c r="F223" t="inlineStr">
        <is>
          <t>DALARNAS LÄN</t>
        </is>
      </c>
      <c r="G223" t="inlineStr">
        <is>
          <t>VANSBRO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45756</v>
      </c>
      <c r="E224" s="1" t="n">
        <v>46322</v>
      </c>
      <c r="F224" t="inlineStr">
        <is>
          <t>DALARNAS LÄN</t>
        </is>
      </c>
      <c r="G224" t="inlineStr">
        <is>
          <t>VANSBRO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46322</v>
      </c>
      <c r="F225" t="inlineStr">
        <is>
          <t>DALARNAS LÄN</t>
        </is>
      </c>
      <c r="G225" t="inlineStr">
        <is>
          <t>VANSBRO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46322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öst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46322</v>
      </c>
      <c r="F227" t="inlineStr">
        <is>
          <t>DALARNAS LÄN</t>
        </is>
      </c>
      <c r="G227" t="inlineStr">
        <is>
          <t>VANSBRO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46322</v>
      </c>
      <c r="F228" t="inlineStr">
        <is>
          <t>DALARNAS LÄN</t>
        </is>
      </c>
      <c r="G228" t="inlineStr">
        <is>
          <t>VANSBRO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46322</v>
      </c>
      <c r="F229" t="inlineStr">
        <is>
          <t>DALARNAS LÄN</t>
        </is>
      </c>
      <c r="G229" t="inlineStr">
        <is>
          <t>VANSBRO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44811</v>
      </c>
      <c r="E230" s="1" t="n">
        <v>46322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45868</v>
      </c>
      <c r="E231" s="1" t="n">
        <v>46322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46322</v>
      </c>
      <c r="F232" t="inlineStr">
        <is>
          <t>DALARNAS LÄN</t>
        </is>
      </c>
      <c r="G232" t="inlineStr">
        <is>
          <t>VANSBRO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45254</v>
      </c>
      <c r="E233" s="1" t="n">
        <v>46322</v>
      </c>
      <c r="F233" t="inlineStr">
        <is>
          <t>DALARNAS LÄN</t>
        </is>
      </c>
      <c r="G233" t="inlineStr">
        <is>
          <t>VANSBRO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29687-2026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46322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46203</v>
      </c>
      <c r="E235" s="1" t="n">
        <v>46322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46203</v>
      </c>
      <c r="E236" s="1" t="n">
        <v>46322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46204</v>
      </c>
      <c r="E237" s="1" t="n">
        <v>46322</v>
      </c>
      <c r="F237" t="inlineStr">
        <is>
          <t>DALARNAS LÄN</t>
        </is>
      </c>
      <c r="G237" t="inlineStr">
        <is>
          <t>VANSBRO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46322</v>
      </c>
      <c r="F238" t="inlineStr">
        <is>
          <t>DALARNAS LÄN</t>
        </is>
      </c>
      <c r="G238" t="inlineStr">
        <is>
          <t>VANSBRO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46322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öst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45691</v>
      </c>
      <c r="E240" s="1" t="n">
        <v>46322</v>
      </c>
      <c r="F240" t="inlineStr">
        <is>
          <t>DALARNAS LÄN</t>
        </is>
      </c>
      <c r="G240" t="inlineStr">
        <is>
          <t>VANSBRO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46322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46322</v>
      </c>
      <c r="F242" t="inlineStr">
        <is>
          <t>DALARNAS LÄN</t>
        </is>
      </c>
      <c r="G242" t="inlineStr">
        <is>
          <t>VANSBRO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46322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53839-2022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44880</v>
      </c>
      <c r="E244" s="1" t="n">
        <v>46322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46322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46322</v>
      </c>
      <c r="F246" t="inlineStr">
        <is>
          <t>DALARNAS LÄN</t>
        </is>
      </c>
      <c r="G246" t="inlineStr">
        <is>
          <t>VANSBRO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45876</v>
      </c>
      <c r="E247" s="1" t="n">
        <v>46322</v>
      </c>
      <c r="F247" t="inlineStr">
        <is>
          <t>DALARNAS LÄN</t>
        </is>
      </c>
      <c r="G247" t="inlineStr">
        <is>
          <t>VANSBRO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45876</v>
      </c>
      <c r="E248" s="1" t="n">
        <v>46322</v>
      </c>
      <c r="F248" t="inlineStr">
        <is>
          <t>DALARNAS LÄN</t>
        </is>
      </c>
      <c r="G248" t="inlineStr">
        <is>
          <t>VANSBRO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46322</v>
      </c>
      <c r="F249" t="inlineStr">
        <is>
          <t>DALARNAS LÄN</t>
        </is>
      </c>
      <c r="G249" t="inlineStr">
        <is>
          <t>VANSBRO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46322</v>
      </c>
      <c r="F250" t="inlineStr">
        <is>
          <t>DALARNAS LÄN</t>
        </is>
      </c>
      <c r="G250" t="inlineStr">
        <is>
          <t>VANSBRO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46322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35780-2024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45532</v>
      </c>
      <c r="E252" s="1" t="n">
        <v>46322</v>
      </c>
      <c r="F252" t="inlineStr">
        <is>
          <t>DALARNAS LÄN</t>
        </is>
      </c>
      <c r="G252" t="inlineStr">
        <is>
          <t>VANSBRO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45689</v>
      </c>
      <c r="E253" s="1" t="n">
        <v>46322</v>
      </c>
      <c r="F253" t="inlineStr">
        <is>
          <t>DALARNAS LÄN</t>
        </is>
      </c>
      <c r="G253" t="inlineStr">
        <is>
          <t>VANSBRO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46322</v>
      </c>
      <c r="F254" t="inlineStr">
        <is>
          <t>DALARNAS LÄN</t>
        </is>
      </c>
      <c r="G254" t="inlineStr">
        <is>
          <t>VANSBRO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46322</v>
      </c>
      <c r="F255" t="inlineStr">
        <is>
          <t>DALARNAS LÄN</t>
        </is>
      </c>
      <c r="G255" t="inlineStr">
        <is>
          <t>VANSBRO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45582</v>
      </c>
      <c r="E256" s="1" t="n">
        <v>46322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46322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7779-2026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46322</v>
      </c>
      <c r="F258" t="inlineStr">
        <is>
          <t>DALARNAS LÄN</t>
        </is>
      </c>
      <c r="G258" t="inlineStr">
        <is>
          <t>VANSBRO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45516</v>
      </c>
      <c r="E259" s="1" t="n">
        <v>46322</v>
      </c>
      <c r="F259" t="inlineStr">
        <is>
          <t>DALARNAS LÄN</t>
        </is>
      </c>
      <c r="G259" t="inlineStr">
        <is>
          <t>VANSBRO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35365-2022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46322</v>
      </c>
      <c r="F260" t="inlineStr">
        <is>
          <t>DALARNAS LÄN</t>
        </is>
      </c>
      <c r="G260" t="inlineStr">
        <is>
          <t>VANSBRO</t>
        </is>
      </c>
      <c r="H260" t="inlineStr">
        <is>
          <t>Kommuner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46210</v>
      </c>
      <c r="E261" s="1" t="n">
        <v>46322</v>
      </c>
      <c r="F261" t="inlineStr">
        <is>
          <t>DALARNAS LÄN</t>
        </is>
      </c>
      <c r="G261" t="inlineStr">
        <is>
          <t>VANSBRO</t>
        </is>
      </c>
      <c r="H261" t="inlineStr">
        <is>
          <t>Övriga statliga verk och myndigheter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46322</v>
      </c>
      <c r="F262" t="inlineStr">
        <is>
          <t>DALARNAS LÄN</t>
        </is>
      </c>
      <c r="G262" t="inlineStr">
        <is>
          <t>VANSBRO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46322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45666</v>
      </c>
      <c r="E264" s="1" t="n">
        <v>46322</v>
      </c>
      <c r="F264" t="inlineStr">
        <is>
          <t>DALARNAS LÄN</t>
        </is>
      </c>
      <c r="G264" t="inlineStr">
        <is>
          <t>VANSBRO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46212</v>
      </c>
      <c r="E265" s="1" t="n">
        <v>46322</v>
      </c>
      <c r="F265" t="inlineStr">
        <is>
          <t>DALARNAS LÄN</t>
        </is>
      </c>
      <c r="G265" t="inlineStr">
        <is>
          <t>VANSBRO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64072-2025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46021</v>
      </c>
      <c r="E266" s="1" t="n">
        <v>46322</v>
      </c>
      <c r="F266" t="inlineStr">
        <is>
          <t>DALARNAS LÄN</t>
        </is>
      </c>
      <c r="G266" t="inlineStr">
        <is>
          <t>VANSBRO</t>
        </is>
      </c>
      <c r="I266" t="n">
        <v>19.1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45214</v>
      </c>
      <c r="E267" s="1" t="n">
        <v>46322</v>
      </c>
      <c r="F267" t="inlineStr">
        <is>
          <t>DALARNAS LÄN</t>
        </is>
      </c>
      <c r="G267" t="inlineStr">
        <is>
          <t>VANSBRO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45240</v>
      </c>
      <c r="E268" s="1" t="n">
        <v>46322</v>
      </c>
      <c r="F268" t="inlineStr">
        <is>
          <t>DALARNAS LÄN</t>
        </is>
      </c>
      <c r="G268" t="inlineStr">
        <is>
          <t>VANSBRO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46212</v>
      </c>
      <c r="E269" s="1" t="n">
        <v>46322</v>
      </c>
      <c r="F269" t="inlineStr">
        <is>
          <t>DALARNAS LÄN</t>
        </is>
      </c>
      <c r="G269" t="inlineStr">
        <is>
          <t>VANSBRO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46322</v>
      </c>
      <c r="F270" t="inlineStr">
        <is>
          <t>DALARNAS LÄN</t>
        </is>
      </c>
      <c r="G270" t="inlineStr">
        <is>
          <t>VANSBRO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45673</v>
      </c>
      <c r="E271" s="1" t="n">
        <v>46322</v>
      </c>
      <c r="F271" t="inlineStr">
        <is>
          <t>DALARNAS LÄN</t>
        </is>
      </c>
      <c r="G271" t="inlineStr">
        <is>
          <t>VANSBRO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46322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44734</v>
      </c>
      <c r="E273" s="1" t="n">
        <v>46322</v>
      </c>
      <c r="F273" t="inlineStr">
        <is>
          <t>DALARNAS LÄN</t>
        </is>
      </c>
      <c r="G273" t="inlineStr">
        <is>
          <t>VANSBRO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46322</v>
      </c>
      <c r="F274" t="inlineStr">
        <is>
          <t>DALARNAS LÄN</t>
        </is>
      </c>
      <c r="G274" t="inlineStr">
        <is>
          <t>VANSBRO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44881</v>
      </c>
      <c r="E275" s="1" t="n">
        <v>46322</v>
      </c>
      <c r="F275" t="inlineStr">
        <is>
          <t>DALARNAS LÄN</t>
        </is>
      </c>
      <c r="G275" t="inlineStr">
        <is>
          <t>VANSBRO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46322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45.8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46322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45533</v>
      </c>
      <c r="E278" s="1" t="n">
        <v>46322</v>
      </c>
      <c r="F278" t="inlineStr">
        <is>
          <t>DALARNAS LÄN</t>
        </is>
      </c>
      <c r="G278" t="inlineStr">
        <is>
          <t>VANSBRO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46322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46322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46082</v>
      </c>
      <c r="E281" s="1" t="n">
        <v>46322</v>
      </c>
      <c r="F281" t="inlineStr">
        <is>
          <t>DALARNAS LÄN</t>
        </is>
      </c>
      <c r="G281" t="inlineStr">
        <is>
          <t>VANSBRO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46082</v>
      </c>
      <c r="E282" s="1" t="n">
        <v>46322</v>
      </c>
      <c r="F282" t="inlineStr">
        <is>
          <t>DALARNAS LÄN</t>
        </is>
      </c>
      <c r="G282" t="inlineStr">
        <is>
          <t>VANSBRO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921-2025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45665</v>
      </c>
      <c r="E283" s="1" t="n">
        <v>46322</v>
      </c>
      <c r="F283" t="inlineStr">
        <is>
          <t>DALARNAS LÄN</t>
        </is>
      </c>
      <c r="G283" t="inlineStr">
        <is>
          <t>VANSBRO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44980</v>
      </c>
      <c r="E284" s="1" t="n">
        <v>46322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45453</v>
      </c>
      <c r="E285" s="1" t="n">
        <v>46322</v>
      </c>
      <c r="F285" t="inlineStr">
        <is>
          <t>DALARNAS LÄN</t>
        </is>
      </c>
      <c r="G285" t="inlineStr">
        <is>
          <t>VANSBRO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46322</v>
      </c>
      <c r="F286" t="inlineStr">
        <is>
          <t>DALARNAS LÄN</t>
        </is>
      </c>
      <c r="G286" t="inlineStr">
        <is>
          <t>VANSBRO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46231</v>
      </c>
      <c r="E287" s="1" t="n">
        <v>46322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20.2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46322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46322</v>
      </c>
      <c r="F289" t="inlineStr">
        <is>
          <t>DALARNAS LÄN</t>
        </is>
      </c>
      <c r="G289" t="inlineStr">
        <is>
          <t>VANSBRO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46322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46322</v>
      </c>
      <c r="F291" t="inlineStr">
        <is>
          <t>DALARNAS LÄN</t>
        </is>
      </c>
      <c r="G291" t="inlineStr">
        <is>
          <t>VANSBRO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45238</v>
      </c>
      <c r="E292" s="1" t="n">
        <v>46322</v>
      </c>
      <c r="F292" t="inlineStr">
        <is>
          <t>DALARNAS LÄN</t>
        </is>
      </c>
      <c r="G292" t="inlineStr">
        <is>
          <t>VANSBRO</t>
        </is>
      </c>
      <c r="H292" t="inlineStr">
        <is>
          <t>Övriga statliga verk och myndigheter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46322</v>
      </c>
      <c r="F293" t="inlineStr">
        <is>
          <t>DALARNAS LÄN</t>
        </is>
      </c>
      <c r="G293" t="inlineStr">
        <is>
          <t>VANSBRO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38253-2026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46281</v>
      </c>
      <c r="E294" s="1" t="n">
        <v>46322</v>
      </c>
      <c r="F294" t="inlineStr">
        <is>
          <t>DALARNAS LÄN</t>
        </is>
      </c>
      <c r="G294" t="inlineStr">
        <is>
          <t>VANSBRO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45772</v>
      </c>
      <c r="E295" s="1" t="n">
        <v>46322</v>
      </c>
      <c r="F295" t="inlineStr">
        <is>
          <t>DALARNAS LÄN</t>
        </is>
      </c>
      <c r="G295" t="inlineStr">
        <is>
          <t>VANSBRO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37964-2026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46280</v>
      </c>
      <c r="E296" s="1" t="n">
        <v>46322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46322</v>
      </c>
      <c r="F297" t="inlineStr">
        <is>
          <t>DALARNAS LÄN</t>
        </is>
      </c>
      <c r="G297" t="inlineStr">
        <is>
          <t>VANSBRO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61663-2024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46322</v>
      </c>
      <c r="F298" t="inlineStr">
        <is>
          <t>DALARNAS LÄN</t>
        </is>
      </c>
      <c r="G298" t="inlineStr">
        <is>
          <t>VANSBRO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37960-2026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46280</v>
      </c>
      <c r="E299" s="1" t="n">
        <v>46322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46280</v>
      </c>
      <c r="E300" s="1" t="n">
        <v>46322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44972</v>
      </c>
      <c r="E301" s="1" t="n">
        <v>46322</v>
      </c>
      <c r="F301" t="inlineStr">
        <is>
          <t>DALARNAS LÄN</t>
        </is>
      </c>
      <c r="G301" t="inlineStr">
        <is>
          <t>VANSBRO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46280</v>
      </c>
      <c r="E302" s="1" t="n">
        <v>46322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46238</v>
      </c>
      <c r="E303" s="1" t="n">
        <v>46322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46322</v>
      </c>
      <c r="F304" t="inlineStr">
        <is>
          <t>DALARNAS LÄN</t>
        </is>
      </c>
      <c r="G304" t="inlineStr">
        <is>
          <t>VANSBRO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46281</v>
      </c>
      <c r="E305" s="1" t="n">
        <v>46322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46108</v>
      </c>
      <c r="E306" s="1" t="n">
        <v>46322</v>
      </c>
      <c r="F306" t="inlineStr">
        <is>
          <t>DALARNAS LÄN</t>
        </is>
      </c>
      <c r="G306" t="inlineStr">
        <is>
          <t>VANSBRO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46322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20185-2025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45772</v>
      </c>
      <c r="E308" s="1" t="n">
        <v>46322</v>
      </c>
      <c r="F308" t="inlineStr">
        <is>
          <t>DALARNAS LÄN</t>
        </is>
      </c>
      <c r="G308" t="inlineStr">
        <is>
          <t>VANSBRO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45520</v>
      </c>
      <c r="E309" s="1" t="n">
        <v>46322</v>
      </c>
      <c r="F309" t="inlineStr">
        <is>
          <t>DALARNAS LÄN</t>
        </is>
      </c>
      <c r="G309" t="inlineStr">
        <is>
          <t>VANSBRO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46114</v>
      </c>
      <c r="E310" s="1" t="n">
        <v>46322</v>
      </c>
      <c r="F310" t="inlineStr">
        <is>
          <t>DALARNAS LÄN</t>
        </is>
      </c>
      <c r="G310" t="inlineStr">
        <is>
          <t>VANSBRO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46322</v>
      </c>
      <c r="F311" t="inlineStr">
        <is>
          <t>DALARNAS LÄN</t>
        </is>
      </c>
      <c r="G311" t="inlineStr">
        <is>
          <t>VANSBRO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45601</v>
      </c>
      <c r="E312" s="1" t="n">
        <v>46322</v>
      </c>
      <c r="F312" t="inlineStr">
        <is>
          <t>DALARNAS LÄN</t>
        </is>
      </c>
      <c r="G312" t="inlineStr">
        <is>
          <t>VANSBRO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46322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46281</v>
      </c>
      <c r="E314" s="1" t="n">
        <v>46322</v>
      </c>
      <c r="F314" t="inlineStr">
        <is>
          <t>DALARNAS LÄN</t>
        </is>
      </c>
      <c r="G314" t="inlineStr">
        <is>
          <t>VANSBRO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46281</v>
      </c>
      <c r="E315" s="1" t="n">
        <v>46322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46322</v>
      </c>
      <c r="F316" t="inlineStr">
        <is>
          <t>DALARNAS LÄN</t>
        </is>
      </c>
      <c r="G316" t="inlineStr">
        <is>
          <t>VANSBRO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46120</v>
      </c>
      <c r="E317" s="1" t="n">
        <v>46322</v>
      </c>
      <c r="F317" t="inlineStr">
        <is>
          <t>DALARNAS LÄN</t>
        </is>
      </c>
      <c r="G317" t="inlineStr">
        <is>
          <t>VANSBRO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46322</v>
      </c>
      <c r="F318" t="inlineStr">
        <is>
          <t>DALARNAS LÄN</t>
        </is>
      </c>
      <c r="G318" t="inlineStr">
        <is>
          <t>VANSBRO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46322</v>
      </c>
      <c r="F319" t="inlineStr">
        <is>
          <t>DALARNAS LÄN</t>
        </is>
      </c>
      <c r="G319" t="inlineStr">
        <is>
          <t>VANSBRO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17609-2026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46322</v>
      </c>
      <c r="F320" t="inlineStr">
        <is>
          <t>DALARNAS LÄN</t>
        </is>
      </c>
      <c r="G320" t="inlineStr">
        <is>
          <t>VANSBRO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46322</v>
      </c>
      <c r="F321" t="inlineStr">
        <is>
          <t>DALARNAS LÄN</t>
        </is>
      </c>
      <c r="G321" t="inlineStr">
        <is>
          <t>VANSBRO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44980</v>
      </c>
      <c r="E322" s="1" t="n">
        <v>46322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46124</v>
      </c>
      <c r="E323" s="1" t="n">
        <v>46322</v>
      </c>
      <c r="F323" t="inlineStr">
        <is>
          <t>DALARNAS LÄN</t>
        </is>
      </c>
      <c r="G323" t="inlineStr">
        <is>
          <t>VANSBRO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46322</v>
      </c>
      <c r="F324" t="inlineStr">
        <is>
          <t>DALARNAS LÄN</t>
        </is>
      </c>
      <c r="G324" t="inlineStr">
        <is>
          <t>VANSBRO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8447-2022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44612</v>
      </c>
      <c r="E325" s="1" t="n">
        <v>46322</v>
      </c>
      <c r="F325" t="inlineStr">
        <is>
          <t>DALARNAS LÄN</t>
        </is>
      </c>
      <c r="G325" t="inlineStr">
        <is>
          <t>VANSBRO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46128</v>
      </c>
      <c r="E326" s="1" t="n">
        <v>46322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46128</v>
      </c>
      <c r="E327" s="1" t="n">
        <v>46322</v>
      </c>
      <c r="F327" t="inlineStr">
        <is>
          <t>DALARNAS LÄN</t>
        </is>
      </c>
      <c r="G327" t="inlineStr">
        <is>
          <t>VANSBRO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45691</v>
      </c>
      <c r="E328" s="1" t="n">
        <v>46322</v>
      </c>
      <c r="F328" t="inlineStr">
        <is>
          <t>DALARNAS LÄN</t>
        </is>
      </c>
      <c r="G328" t="inlineStr">
        <is>
          <t>VANSBRO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46127</v>
      </c>
      <c r="E329" s="1" t="n">
        <v>46322</v>
      </c>
      <c r="F329" t="inlineStr">
        <is>
          <t>DALARNAS LÄN</t>
        </is>
      </c>
      <c r="G329" t="inlineStr">
        <is>
          <t>VANSBRO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46322</v>
      </c>
      <c r="F330" t="inlineStr">
        <is>
          <t>DALARNAS LÄN</t>
        </is>
      </c>
      <c r="G330" t="inlineStr">
        <is>
          <t>VANSBRO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46322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46127</v>
      </c>
      <c r="E332" s="1" t="n">
        <v>46322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46322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13.1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46322</v>
      </c>
      <c r="F334" t="inlineStr">
        <is>
          <t>DALARNAS LÄN</t>
        </is>
      </c>
      <c r="G334" t="inlineStr">
        <is>
          <t>VANSBRO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46283</v>
      </c>
      <c r="E335" s="1" t="n">
        <v>46322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45322</v>
      </c>
      <c r="E336" s="1" t="n">
        <v>46322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46322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46322</v>
      </c>
      <c r="F338" t="inlineStr">
        <is>
          <t>DALARNAS LÄN</t>
        </is>
      </c>
      <c r="G338" t="inlineStr">
        <is>
          <t>VANSBRO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2086-2024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45309</v>
      </c>
      <c r="E339" s="1" t="n">
        <v>46322</v>
      </c>
      <c r="F339" t="inlineStr">
        <is>
          <t>DALARNAS LÄN</t>
        </is>
      </c>
      <c r="G339" t="inlineStr">
        <is>
          <t>VANSBRO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46322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46322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46322</v>
      </c>
      <c r="F342" t="inlineStr">
        <is>
          <t>DALARNAS LÄN</t>
        </is>
      </c>
      <c r="G342" t="inlineStr">
        <is>
          <t>VANSBRO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46322</v>
      </c>
      <c r="F343" t="inlineStr">
        <is>
          <t>DALARNAS LÄN</t>
        </is>
      </c>
      <c r="G343" t="inlineStr">
        <is>
          <t>VANSBRO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45471</v>
      </c>
      <c r="E344" s="1" t="n">
        <v>46322</v>
      </c>
      <c r="F344" t="inlineStr">
        <is>
          <t>DALARNAS LÄN</t>
        </is>
      </c>
      <c r="G344" t="inlineStr">
        <is>
          <t>VANSBRO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46322</v>
      </c>
      <c r="F345" t="inlineStr">
        <is>
          <t>DALARNAS LÄN</t>
        </is>
      </c>
      <c r="G345" t="inlineStr">
        <is>
          <t>VANSBRO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63816-2021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44509</v>
      </c>
      <c r="E346" s="1" t="n">
        <v>46322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17.6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46322</v>
      </c>
      <c r="F347" t="inlineStr">
        <is>
          <t>DALARNAS LÄN</t>
        </is>
      </c>
      <c r="G347" t="inlineStr">
        <is>
          <t>VANSBRO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45727</v>
      </c>
      <c r="E348" s="1" t="n">
        <v>46322</v>
      </c>
      <c r="F348" t="inlineStr">
        <is>
          <t>DALARNAS LÄN</t>
        </is>
      </c>
      <c r="G348" t="inlineStr">
        <is>
          <t>VANSBRO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46286</v>
      </c>
      <c r="E349" s="1" t="n">
        <v>46322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46322</v>
      </c>
      <c r="F350" t="inlineStr">
        <is>
          <t>DALARNAS LÄN</t>
        </is>
      </c>
      <c r="G350" t="inlineStr">
        <is>
          <t>VANSBRO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51400-2024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46322</v>
      </c>
      <c r="F351" t="inlineStr">
        <is>
          <t>DALARNAS LÄN</t>
        </is>
      </c>
      <c r="G351" t="inlineStr">
        <is>
          <t>VANSBRO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45776</v>
      </c>
      <c r="E352" s="1" t="n">
        <v>46322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46322</v>
      </c>
      <c r="F353" t="inlineStr">
        <is>
          <t>DALARNAS LÄN</t>
        </is>
      </c>
      <c r="G353" t="inlineStr">
        <is>
          <t>VANSBRO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45806</v>
      </c>
      <c r="E354" s="1" t="n">
        <v>46322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45481</v>
      </c>
      <c r="E355" s="1" t="n">
        <v>46322</v>
      </c>
      <c r="F355" t="inlineStr">
        <is>
          <t>DALARNAS LÄN</t>
        </is>
      </c>
      <c r="G355" t="inlineStr">
        <is>
          <t>VANSBRO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46322</v>
      </c>
      <c r="F356" t="inlineStr">
        <is>
          <t>DALARNAS LÄN</t>
        </is>
      </c>
      <c r="G356" t="inlineStr">
        <is>
          <t>VANSBRO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46322</v>
      </c>
      <c r="F357" t="inlineStr">
        <is>
          <t>DALARNAS LÄN</t>
        </is>
      </c>
      <c r="G357" t="inlineStr">
        <is>
          <t>VANSBRO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45457</v>
      </c>
      <c r="E358" s="1" t="n">
        <v>46322</v>
      </c>
      <c r="F358" t="inlineStr">
        <is>
          <t>DALARNAS LÄN</t>
        </is>
      </c>
      <c r="G358" t="inlineStr">
        <is>
          <t>VANSBRO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13062-2023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45002</v>
      </c>
      <c r="E359" s="1" t="n">
        <v>46322</v>
      </c>
      <c r="F359" t="inlineStr">
        <is>
          <t>DALARNAS LÄN</t>
        </is>
      </c>
      <c r="G359" t="inlineStr">
        <is>
          <t>VANSBRO</t>
        </is>
      </c>
      <c r="H359" t="inlineStr">
        <is>
          <t>Övriga statliga verk och myndigheter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46322</v>
      </c>
      <c r="F360" t="inlineStr">
        <is>
          <t>DALARNAS LÄN</t>
        </is>
      </c>
      <c r="G360" t="inlineStr">
        <is>
          <t>VANSBRO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46289</v>
      </c>
      <c r="E361" s="1" t="n">
        <v>46322</v>
      </c>
      <c r="F361" t="inlineStr">
        <is>
          <t>DALARNAS LÄN</t>
        </is>
      </c>
      <c r="G361" t="inlineStr">
        <is>
          <t>VANSBRO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53498-2024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46322</v>
      </c>
      <c r="F362" t="inlineStr">
        <is>
          <t>DALARNAS LÄN</t>
        </is>
      </c>
      <c r="G362" t="inlineStr">
        <is>
          <t>VANSBRO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46322</v>
      </c>
      <c r="F363" t="inlineStr">
        <is>
          <t>DALARNAS LÄN</t>
        </is>
      </c>
      <c r="G363" t="inlineStr">
        <is>
          <t>VANSBRO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46322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45363</v>
      </c>
      <c r="E365" s="1" t="n">
        <v>46322</v>
      </c>
      <c r="F365" t="inlineStr">
        <is>
          <t>DALARNAS LÄN</t>
        </is>
      </c>
      <c r="G365" t="inlineStr">
        <is>
          <t>VANSBRO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62398-2021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44503</v>
      </c>
      <c r="E366" s="1" t="n">
        <v>46322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22.1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45817</v>
      </c>
      <c r="E367" s="1" t="n">
        <v>46322</v>
      </c>
      <c r="F367" t="inlineStr">
        <is>
          <t>DALARNAS LÄN</t>
        </is>
      </c>
      <c r="G367" t="inlineStr">
        <is>
          <t>VANSBRO</t>
        </is>
      </c>
      <c r="I367" t="n">
        <v>15.8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46322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46322</v>
      </c>
      <c r="F369" t="inlineStr">
        <is>
          <t>DALARNAS LÄN</t>
        </is>
      </c>
      <c r="G369" t="inlineStr">
        <is>
          <t>VANSBRO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46322</v>
      </c>
      <c r="F370" t="inlineStr">
        <is>
          <t>DALARNAS LÄN</t>
        </is>
      </c>
      <c r="G370" t="inlineStr">
        <is>
          <t>VANSBRO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48111-2024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45589</v>
      </c>
      <c r="E371" s="1" t="n">
        <v>46322</v>
      </c>
      <c r="F371" t="inlineStr">
        <is>
          <t>DALARNAS LÄN</t>
        </is>
      </c>
      <c r="G371" t="inlineStr">
        <is>
          <t>VANSBRO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46322</v>
      </c>
      <c r="F372" t="inlineStr">
        <is>
          <t>DALARNAS LÄN</t>
        </is>
      </c>
      <c r="G372" t="inlineStr">
        <is>
          <t>VANSBRO</t>
        </is>
      </c>
      <c r="H372" t="inlineStr">
        <is>
          <t>Övriga statliga verk och myndigheter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46322</v>
      </c>
      <c r="F373" t="inlineStr">
        <is>
          <t>DALARNAS LÄN</t>
        </is>
      </c>
      <c r="G373" t="inlineStr">
        <is>
          <t>VANSBRO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46290</v>
      </c>
      <c r="E374" s="1" t="n">
        <v>46322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46322</v>
      </c>
      <c r="F375" t="inlineStr">
        <is>
          <t>DALARNAS LÄN</t>
        </is>
      </c>
      <c r="G375" t="inlineStr">
        <is>
          <t>VANSBRO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21744-2026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46322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46322</v>
      </c>
      <c r="F377" t="inlineStr">
        <is>
          <t>DALARNAS LÄN</t>
        </is>
      </c>
      <c r="G377" t="inlineStr">
        <is>
          <t>VANSBRO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46293</v>
      </c>
      <c r="E378" s="1" t="n">
        <v>46322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46322</v>
      </c>
      <c r="F379" t="inlineStr">
        <is>
          <t>DALARNAS LÄN</t>
        </is>
      </c>
      <c r="G379" t="inlineStr">
        <is>
          <t>VANSBRO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46154</v>
      </c>
      <c r="E380" s="1" t="n">
        <v>46322</v>
      </c>
      <c r="F380" t="inlineStr">
        <is>
          <t>DALARNAS LÄN</t>
        </is>
      </c>
      <c r="G380" t="inlineStr">
        <is>
          <t>VANSBRO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46322</v>
      </c>
      <c r="F381" t="inlineStr">
        <is>
          <t>DALARNAS LÄN</t>
        </is>
      </c>
      <c r="G381" t="inlineStr">
        <is>
          <t>VANSBRO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46322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23059-2026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46322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46252</v>
      </c>
      <c r="E384" s="1" t="n">
        <v>46322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46322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46294</v>
      </c>
      <c r="E386" s="1" t="n">
        <v>46322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46294</v>
      </c>
      <c r="E387" s="1" t="n">
        <v>46322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46322</v>
      </c>
      <c r="F388" t="inlineStr">
        <is>
          <t>DALARNAS LÄN</t>
        </is>
      </c>
      <c r="G388" t="inlineStr">
        <is>
          <t>VANSBRO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72635-2021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44546</v>
      </c>
      <c r="E389" s="1" t="n">
        <v>46322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46322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46322</v>
      </c>
      <c r="F391" t="inlineStr">
        <is>
          <t>DALARNAS LÄN</t>
        </is>
      </c>
      <c r="G391" t="inlineStr">
        <is>
          <t>VANSBRO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46322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33949-2026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46252</v>
      </c>
      <c r="E393" s="1" t="n">
        <v>46322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40424-2026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46294</v>
      </c>
      <c r="E394" s="1" t="n">
        <v>46322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46164</v>
      </c>
      <c r="E395" s="1" t="n">
        <v>46322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45187</v>
      </c>
      <c r="E396" s="1" t="n">
        <v>46322</v>
      </c>
      <c r="F396" t="inlineStr">
        <is>
          <t>DALARNAS LÄN</t>
        </is>
      </c>
      <c r="G396" t="inlineStr">
        <is>
          <t>VANSBRO</t>
        </is>
      </c>
      <c r="I396" t="n">
        <v>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46322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40391-2026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46294</v>
      </c>
      <c r="E398" s="1" t="n">
        <v>46322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46322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40996-2026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46322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46322</v>
      </c>
      <c r="F401" t="inlineStr">
        <is>
          <t>DALARNAS LÄN</t>
        </is>
      </c>
      <c r="G401" t="inlineStr">
        <is>
          <t>VANSBRO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46322</v>
      </c>
      <c r="F402" t="inlineStr">
        <is>
          <t>DALARNAS LÄN</t>
        </is>
      </c>
      <c r="G402" t="inlineStr">
        <is>
          <t>VANSBRO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46322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34374-2026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46322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41290-2023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46322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26658-2022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44739</v>
      </c>
      <c r="E406" s="1" t="n">
        <v>46322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46322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45363</v>
      </c>
      <c r="E408" s="1" t="n">
        <v>46322</v>
      </c>
      <c r="F408" t="inlineStr">
        <is>
          <t>DALARNAS LÄN</t>
        </is>
      </c>
      <c r="G408" t="inlineStr">
        <is>
          <t>VANSBRO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46322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46322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46322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51396-2022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44869</v>
      </c>
      <c r="E412" s="1" t="n">
        <v>46322</v>
      </c>
      <c r="F412" t="inlineStr">
        <is>
          <t>DALARNAS LÄN</t>
        </is>
      </c>
      <c r="G412" t="inlineStr">
        <is>
          <t>VANSBRO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46297</v>
      </c>
      <c r="E413" s="1" t="n">
        <v>46322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45749</v>
      </c>
      <c r="E414" s="1" t="n">
        <v>46322</v>
      </c>
      <c r="F414" t="inlineStr">
        <is>
          <t>DALARNAS LÄN</t>
        </is>
      </c>
      <c r="G414" t="inlineStr">
        <is>
          <t>VANSBRO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46322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18.9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36855-2022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46322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46253</v>
      </c>
      <c r="E417" s="1" t="n">
        <v>46322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46322</v>
      </c>
      <c r="F418" t="inlineStr">
        <is>
          <t>DALARNAS LÄN</t>
        </is>
      </c>
      <c r="G418" t="inlineStr">
        <is>
          <t>VANSBRO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45689</v>
      </c>
      <c r="E419" s="1" t="n">
        <v>46322</v>
      </c>
      <c r="F419" t="inlineStr">
        <is>
          <t>DALARNAS LÄN</t>
        </is>
      </c>
      <c r="G419" t="inlineStr">
        <is>
          <t>VANSBRO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45689</v>
      </c>
      <c r="E420" s="1" t="n">
        <v>46322</v>
      </c>
      <c r="F420" t="inlineStr">
        <is>
          <t>DALARNAS LÄN</t>
        </is>
      </c>
      <c r="G420" t="inlineStr">
        <is>
          <t>VANSBRO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45631</v>
      </c>
      <c r="E421" s="1" t="n">
        <v>46322</v>
      </c>
      <c r="F421" t="inlineStr">
        <is>
          <t>DALARNAS LÄN</t>
        </is>
      </c>
      <c r="G421" t="inlineStr">
        <is>
          <t>VANSBRO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56988-2023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46322</v>
      </c>
      <c r="F422" t="inlineStr">
        <is>
          <t>DALARNAS LÄN</t>
        </is>
      </c>
      <c r="G422" t="inlineStr">
        <is>
          <t>VANSBRO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46322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46191</v>
      </c>
      <c r="E424" s="1" t="n">
        <v>46322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46322</v>
      </c>
      <c r="F425" t="inlineStr">
        <is>
          <t>DALARNAS LÄN</t>
        </is>
      </c>
      <c r="G425" t="inlineStr">
        <is>
          <t>VANSBRO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46300</v>
      </c>
      <c r="E426" s="1" t="n">
        <v>46322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46322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46300</v>
      </c>
      <c r="E428" s="1" t="n">
        <v>46322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7764-2026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46322</v>
      </c>
      <c r="F429" t="inlineStr">
        <is>
          <t>DALARNAS LÄN</t>
        </is>
      </c>
      <c r="G429" t="inlineStr">
        <is>
          <t>VANSBRO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52572-2023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46322</v>
      </c>
      <c r="F430" t="inlineStr">
        <is>
          <t>DALARNAS LÄN</t>
        </is>
      </c>
      <c r="G430" t="inlineStr">
        <is>
          <t>VANSBRO</t>
        </is>
      </c>
      <c r="H430" t="inlineStr">
        <is>
          <t>Övriga statliga verk och myndigheter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46300</v>
      </c>
      <c r="E431" s="1" t="n">
        <v>46322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19.7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46322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40290-2023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46322</v>
      </c>
      <c r="F433" t="inlineStr">
        <is>
          <t>DALARNAS LÄN</t>
        </is>
      </c>
      <c r="G433" t="inlineStr">
        <is>
          <t>VANSBRO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41279-2026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46300</v>
      </c>
      <c r="E434" s="1" t="n">
        <v>46322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20931-2022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44701</v>
      </c>
      <c r="E435" s="1" t="n">
        <v>46322</v>
      </c>
      <c r="F435" t="inlineStr">
        <is>
          <t>DALARNAS LÄN</t>
        </is>
      </c>
      <c r="G435" t="inlineStr">
        <is>
          <t>VANSBRO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46322</v>
      </c>
      <c r="F436" t="inlineStr">
        <is>
          <t>DALARNAS LÄN</t>
        </is>
      </c>
      <c r="G436" t="inlineStr">
        <is>
          <t>VANSBRO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45775</v>
      </c>
      <c r="E437" s="1" t="n">
        <v>46322</v>
      </c>
      <c r="F437" t="inlineStr">
        <is>
          <t>DALARNAS LÄN</t>
        </is>
      </c>
      <c r="G437" t="inlineStr">
        <is>
          <t>VANSBRO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41858-2026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46303</v>
      </c>
      <c r="E438" s="1" t="n">
        <v>46322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öst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46259</v>
      </c>
      <c r="E439" s="1" t="n">
        <v>46322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41606-2026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46302</v>
      </c>
      <c r="E440" s="1" t="n">
        <v>46322</v>
      </c>
      <c r="F440" t="inlineStr">
        <is>
          <t>DALARNAS LÄN</t>
        </is>
      </c>
      <c r="G440" t="inlineStr">
        <is>
          <t>VANSBRO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45008</v>
      </c>
      <c r="E441" s="1" t="n">
        <v>46322</v>
      </c>
      <c r="F441" t="inlineStr">
        <is>
          <t>DALARNAS LÄN</t>
        </is>
      </c>
      <c r="G441" t="inlineStr">
        <is>
          <t>VANSBRO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41921-2026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46303</v>
      </c>
      <c r="E442" s="1" t="n">
        <v>46322</v>
      </c>
      <c r="F442" t="inlineStr">
        <is>
          <t>DALARNAS LÄN</t>
        </is>
      </c>
      <c r="G442" t="inlineStr">
        <is>
          <t>VANSBRO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45448</v>
      </c>
      <c r="E443" s="1" t="n">
        <v>46322</v>
      </c>
      <c r="F443" t="inlineStr">
        <is>
          <t>DALARNAS LÄN</t>
        </is>
      </c>
      <c r="G443" t="inlineStr">
        <is>
          <t>VANSBRO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41742-2026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46302</v>
      </c>
      <c r="E444" s="1" t="n">
        <v>46322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46322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46307</v>
      </c>
      <c r="E446" s="1" t="n">
        <v>46322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35579-2026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46262</v>
      </c>
      <c r="E447" s="1" t="n">
        <v>46322</v>
      </c>
      <c r="F447" t="inlineStr">
        <is>
          <t>DALARNAS LÄN</t>
        </is>
      </c>
      <c r="G447" t="inlineStr">
        <is>
          <t>VANSBRO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46322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46322</v>
      </c>
      <c r="F449" t="inlineStr">
        <is>
          <t>DALARNAS LÄN</t>
        </is>
      </c>
      <c r="G449" t="inlineStr">
        <is>
          <t>VANSBRO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45265</v>
      </c>
      <c r="E450" s="1" t="n">
        <v>46322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42026-2026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46304</v>
      </c>
      <c r="E451" s="1" t="n">
        <v>46322</v>
      </c>
      <c r="F451" t="inlineStr">
        <is>
          <t>DALARNAS LÄN</t>
        </is>
      </c>
      <c r="G451" t="inlineStr">
        <is>
          <t>VANSBRO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46322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45471</v>
      </c>
      <c r="E453" s="1" t="n">
        <v>46322</v>
      </c>
      <c r="F453" t="inlineStr">
        <is>
          <t>DALARNAS LÄN</t>
        </is>
      </c>
      <c r="G453" t="inlineStr">
        <is>
          <t>VANSBRO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46322</v>
      </c>
      <c r="F454" t="inlineStr">
        <is>
          <t>DALARNAS LÄN</t>
        </is>
      </c>
      <c r="G454" t="inlineStr">
        <is>
          <t>VANSBRO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42482-2026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46308</v>
      </c>
      <c r="E455" s="1" t="n">
        <v>46322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46266</v>
      </c>
      <c r="E456" s="1" t="n">
        <v>46322</v>
      </c>
      <c r="F456" t="inlineStr">
        <is>
          <t>DALARNAS LÄN</t>
        </is>
      </c>
      <c r="G456" t="inlineStr">
        <is>
          <t>VANSBRO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46309</v>
      </c>
      <c r="E457" s="1" t="n">
        <v>46322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42668-2026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46309</v>
      </c>
      <c r="E458" s="1" t="n">
        <v>46322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42424-2026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46308</v>
      </c>
      <c r="E459" s="1" t="n">
        <v>46322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11485-2024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45372</v>
      </c>
      <c r="E460" s="1" t="n">
        <v>46322</v>
      </c>
      <c r="F460" t="inlineStr">
        <is>
          <t>DALARNAS LÄN</t>
        </is>
      </c>
      <c r="G460" t="inlineStr">
        <is>
          <t>VANSBRO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42479-2026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46308</v>
      </c>
      <c r="E461" s="1" t="n">
        <v>46322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46322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öst AB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46322</v>
      </c>
      <c r="F463" t="inlineStr">
        <is>
          <t>DALARNAS LÄN</t>
        </is>
      </c>
      <c r="G463" t="inlineStr">
        <is>
          <t>VANSBRO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45082</v>
      </c>
      <c r="E464" s="1" t="n">
        <v>46322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46268</v>
      </c>
      <c r="E465" s="1" t="n">
        <v>46322</v>
      </c>
      <c r="F465" t="inlineStr">
        <is>
          <t>DALARNAS LÄN</t>
        </is>
      </c>
      <c r="G465" t="inlineStr">
        <is>
          <t>VANSBRO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46322</v>
      </c>
      <c r="F466" t="inlineStr">
        <is>
          <t>DALARNAS LÄN</t>
        </is>
      </c>
      <c r="G466" t="inlineStr">
        <is>
          <t>VANSBRO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43589-2022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44837</v>
      </c>
      <c r="E467" s="1" t="n">
        <v>46322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46268</v>
      </c>
      <c r="E468" s="1" t="n">
        <v>46322</v>
      </c>
      <c r="F468" t="inlineStr">
        <is>
          <t>DALARNAS LÄN</t>
        </is>
      </c>
      <c r="G468" t="inlineStr">
        <is>
          <t>VANSBRO</t>
        </is>
      </c>
      <c r="H468" t="inlineStr">
        <is>
          <t>Kyrkan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46322</v>
      </c>
      <c r="F469" t="inlineStr">
        <is>
          <t>DALARNAS LÄN</t>
        </is>
      </c>
      <c r="G469" t="inlineStr">
        <is>
          <t>VANSBRO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17807-2022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44673</v>
      </c>
      <c r="E470" s="1" t="n">
        <v>46322</v>
      </c>
      <c r="F470" t="inlineStr">
        <is>
          <t>DALARNAS LÄN</t>
        </is>
      </c>
      <c r="G470" t="inlineStr">
        <is>
          <t>VANSBRO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45240</v>
      </c>
      <c r="E471" s="1" t="n">
        <v>46322</v>
      </c>
      <c r="F471" t="inlineStr">
        <is>
          <t>DALARNAS LÄN</t>
        </is>
      </c>
      <c r="G471" t="inlineStr">
        <is>
          <t>VANSBRO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46322</v>
      </c>
      <c r="F472" t="inlineStr">
        <is>
          <t>DALARNAS LÄN</t>
        </is>
      </c>
      <c r="G472" t="inlineStr">
        <is>
          <t>VANSBRO</t>
        </is>
      </c>
      <c r="H472" t="inlineStr">
        <is>
          <t>Kyrkan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33520-2024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45519</v>
      </c>
      <c r="E473" s="1" t="n">
        <v>46322</v>
      </c>
      <c r="F473" t="inlineStr">
        <is>
          <t>DALARNAS LÄN</t>
        </is>
      </c>
      <c r="G473" t="inlineStr">
        <is>
          <t>VANSBRO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46322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46322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44855</v>
      </c>
      <c r="E476" s="1" t="n">
        <v>46322</v>
      </c>
      <c r="F476" t="inlineStr">
        <is>
          <t>DALARNAS LÄN</t>
        </is>
      </c>
      <c r="G476" t="inlineStr">
        <is>
          <t>VANSBRO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46315</v>
      </c>
      <c r="E477" s="1" t="n">
        <v>46322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46272</v>
      </c>
      <c r="E478" s="1" t="n">
        <v>46322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56773-2023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45244</v>
      </c>
      <c r="E479" s="1" t="n">
        <v>46322</v>
      </c>
      <c r="F479" t="inlineStr">
        <is>
          <t>DALARNAS LÄN</t>
        </is>
      </c>
      <c r="G479" t="inlineStr">
        <is>
          <t>VANSBRO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46322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60031-2022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44909</v>
      </c>
      <c r="E481" s="1" t="n">
        <v>46322</v>
      </c>
      <c r="F481" t="inlineStr">
        <is>
          <t>DALARNAS LÄN</t>
        </is>
      </c>
      <c r="G481" t="inlineStr">
        <is>
          <t>VANSBRO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37247-2026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46322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46318</v>
      </c>
      <c r="E483" s="1" t="n">
        <v>46322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46322</v>
      </c>
      <c r="F484" t="inlineStr">
        <is>
          <t>DALARNAS LÄN</t>
        </is>
      </c>
      <c r="G484" t="inlineStr">
        <is>
          <t>VANSBRO</t>
        </is>
      </c>
      <c r="H484" t="inlineStr">
        <is>
          <t>Kyrkan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57716-2025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46322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46275</v>
      </c>
      <c r="E486" s="1" t="n">
        <v>46322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44196-2026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46318</v>
      </c>
      <c r="E487" s="1" t="n">
        <v>46322</v>
      </c>
      <c r="F487" t="inlineStr">
        <is>
          <t>DALARNAS LÄN</t>
        </is>
      </c>
      <c r="G487" t="inlineStr">
        <is>
          <t>VANSBRO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46318</v>
      </c>
      <c r="E488" s="1" t="n">
        <v>46322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46275</v>
      </c>
      <c r="E489" s="1" t="n">
        <v>46322</v>
      </c>
      <c r="F489" t="inlineStr">
        <is>
          <t>DALARNAS LÄN</t>
        </is>
      </c>
      <c r="G489" t="inlineStr">
        <is>
          <t>VANSBRO</t>
        </is>
      </c>
      <c r="H489" t="inlineStr">
        <is>
          <t>Kommuner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37593-2026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46276</v>
      </c>
      <c r="E490" s="1" t="n">
        <v>46322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46276</v>
      </c>
      <c r="E491" s="1" t="n">
        <v>46322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4680-2023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44957</v>
      </c>
      <c r="E492" s="1" t="n">
        <v>46322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öst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46322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44398-2026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46321</v>
      </c>
      <c r="E494" s="1" t="n">
        <v>46322</v>
      </c>
      <c r="F494" t="inlineStr">
        <is>
          <t>DALARNAS LÄN</t>
        </is>
      </c>
      <c r="G494" t="inlineStr">
        <is>
          <t>VANSBRO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1286-2024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45401</v>
      </c>
      <c r="E495" s="1" t="n">
        <v>46322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220.8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4782-2022</t>
        </is>
      </c>
      <c r="B496" t="inlineStr">
        <is>
          <t>samrådsanmälan</t>
        </is>
      </c>
      <c r="C496" t="inlineStr">
        <is>
          <t>Skogsbilväg</t>
        </is>
      </c>
      <c r="D496" s="1" t="n">
        <v>44802</v>
      </c>
      <c r="E496" s="1" t="n">
        <v>46322</v>
      </c>
      <c r="F496" t="inlineStr">
        <is>
          <t>DALARNAS LÄN</t>
        </is>
      </c>
      <c r="G496" t="inlineStr">
        <is>
          <t>VANSBRO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3514-2023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45208</v>
      </c>
      <c r="E497" s="1" t="n">
        <v>46322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väst AB</t>
        </is>
      </c>
      <c r="I497" t="n">
        <v>37.8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409-2025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45699</v>
      </c>
      <c r="E498" s="1" t="n">
        <v>46322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öst AB</t>
        </is>
      </c>
      <c r="I498" t="n">
        <v>277.1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91-2026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46035</v>
      </c>
      <c r="E499" s="1" t="n">
        <v>46322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väst AB</t>
        </is>
      </c>
      <c r="I499" t="n">
        <v>153.5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747-2026</t>
        </is>
      </c>
      <c r="B500" t="inlineStr">
        <is>
          <t>samrådsanmälan</t>
        </is>
      </c>
      <c r="C500" t="inlineStr">
        <is>
          <t>Skogsgödsling</t>
        </is>
      </c>
      <c r="D500" s="1" t="n">
        <v>46089</v>
      </c>
      <c r="E500" s="1" t="n">
        <v>46322</v>
      </c>
      <c r="F500" t="inlineStr">
        <is>
          <t>DALARNAS LÄN</t>
        </is>
      </c>
      <c r="G500" t="inlineStr">
        <is>
          <t>VANSBRO</t>
        </is>
      </c>
      <c r="H500" t="inlineStr">
        <is>
          <t>Bergvik skog öst AB</t>
        </is>
      </c>
      <c r="I500" t="n">
        <v>82.40000000000001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2026-10-27T03:07:41Z</dcterms:created>
  <dcterms:modified xmlns:dcterms="http://purl.org/dc/terms/" xmlns:xsi="http://www.w3.org/2001/XMLSchema-instance" xsi:type="dcterms:W3CDTF">2026-10-27T03:07:42Z</dcterms:modified>
</cp:coreProperties>
</file>