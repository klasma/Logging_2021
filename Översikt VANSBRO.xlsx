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45358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45358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31917-2021</t>
        </is>
      </c>
      <c r="B4" s="1" t="n">
        <v>44370</v>
      </c>
      <c r="C4" s="1" t="n">
        <v>45358</v>
      </c>
      <c r="D4" t="inlineStr">
        <is>
          <t>DALARNAS LÄN</t>
        </is>
      </c>
      <c r="E4" t="inlineStr">
        <is>
          <t>VANSBRO</t>
        </is>
      </c>
      <c r="G4" t="n">
        <v>7.6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Garnlav
Dropptaggsvamp
Mindre märgborre</t>
        </is>
      </c>
      <c r="S4">
        <f>HYPERLINK("https://klasma.github.io/Logging_2021/artfynd/A 31917-2021 artfynd.xlsx", "A 31917-2021")</f>
        <v/>
      </c>
      <c r="T4">
        <f>HYPERLINK("https://klasma.github.io/Logging_2021/kartor/A 31917-2021 karta.png", "A 31917-2021")</f>
        <v/>
      </c>
      <c r="V4">
        <f>HYPERLINK("https://klasma.github.io/Logging_2021/klagomål/A 31917-2021 FSC-klagomål.docx", "A 31917-2021")</f>
        <v/>
      </c>
      <c r="W4">
        <f>HYPERLINK("https://klasma.github.io/Logging_2021/klagomålsmail/A 31917-2021 FSC-klagomål mail.docx", "A 31917-2021")</f>
        <v/>
      </c>
      <c r="X4">
        <f>HYPERLINK("https://klasma.github.io/Logging_2021/tillsyn/A 31917-2021 tillsynsbegäran.docx", "A 31917-2021")</f>
        <v/>
      </c>
      <c r="Y4">
        <f>HYPERLINK("https://klasma.github.io/Logging_2021/tillsynsmail/A 31917-2021 tillsynsbegäran mail.docx", "A 31917-2021")</f>
        <v/>
      </c>
    </row>
    <row r="5" ht="15" customHeight="1">
      <c r="A5" t="inlineStr">
        <is>
          <t>A 46316-2021</t>
        </is>
      </c>
      <c r="B5" s="1" t="n">
        <v>44442</v>
      </c>
      <c r="C5" s="1" t="n">
        <v>45358</v>
      </c>
      <c r="D5" t="inlineStr">
        <is>
          <t>DALARNAS LÄN</t>
        </is>
      </c>
      <c r="E5" t="inlineStr">
        <is>
          <t>VANSBRO</t>
        </is>
      </c>
      <c r="G5" t="n">
        <v>1.4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Mjölig dropplav
Kattfotslav</t>
        </is>
      </c>
      <c r="S5">
        <f>HYPERLINK("https://klasma.github.io/Logging_2021/artfynd/A 46316-2021 artfynd.xlsx", "A 46316-2021")</f>
        <v/>
      </c>
      <c r="T5">
        <f>HYPERLINK("https://klasma.github.io/Logging_2021/kartor/A 46316-2021 karta.png", "A 46316-2021")</f>
        <v/>
      </c>
      <c r="V5">
        <f>HYPERLINK("https://klasma.github.io/Logging_2021/klagomål/A 46316-2021 FSC-klagomål.docx", "A 46316-2021")</f>
        <v/>
      </c>
      <c r="W5">
        <f>HYPERLINK("https://klasma.github.io/Logging_2021/klagomålsmail/A 46316-2021 FSC-klagomål mail.docx", "A 46316-2021")</f>
        <v/>
      </c>
      <c r="X5">
        <f>HYPERLINK("https://klasma.github.io/Logging_2021/tillsyn/A 46316-2021 tillsynsbegäran.docx", "A 46316-2021")</f>
        <v/>
      </c>
      <c r="Y5">
        <f>HYPERLINK("https://klasma.github.io/Logging_2021/tillsynsmail/A 46316-2021 tillsynsbegäran mail.docx", "A 46316-2021")</f>
        <v/>
      </c>
    </row>
    <row r="6" ht="15" customHeight="1">
      <c r="A6" t="inlineStr">
        <is>
          <t>A 45628-2023</t>
        </is>
      </c>
      <c r="B6" s="1" t="n">
        <v>45194</v>
      </c>
      <c r="C6" s="1" t="n">
        <v>45358</v>
      </c>
      <c r="D6" t="inlineStr">
        <is>
          <t>DALARNAS LÄN</t>
        </is>
      </c>
      <c r="E6" t="inlineStr">
        <is>
          <t>VANSBRO</t>
        </is>
      </c>
      <c r="G6" t="n">
        <v>0.9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Mindre märgborre
Skuggblåslav</t>
        </is>
      </c>
      <c r="S6">
        <f>HYPERLINK("https://klasma.github.io/Logging_2021/artfynd/A 45628-2023 artfynd.xlsx", "A 45628-2023")</f>
        <v/>
      </c>
      <c r="T6">
        <f>HYPERLINK("https://klasma.github.io/Logging_2021/kartor/A 45628-2023 karta.png", "A 45628-2023")</f>
        <v/>
      </c>
      <c r="V6">
        <f>HYPERLINK("https://klasma.github.io/Logging_2021/klagomål/A 45628-2023 FSC-klagomål.docx", "A 45628-2023")</f>
        <v/>
      </c>
      <c r="W6">
        <f>HYPERLINK("https://klasma.github.io/Logging_2021/klagomålsmail/A 45628-2023 FSC-klagomål mail.docx", "A 45628-2023")</f>
        <v/>
      </c>
      <c r="X6">
        <f>HYPERLINK("https://klasma.github.io/Logging_2021/tillsyn/A 45628-2023 tillsynsbegäran.docx", "A 45628-2023")</f>
        <v/>
      </c>
      <c r="Y6">
        <f>HYPERLINK("https://klasma.github.io/Logging_2021/tillsynsmail/A 45628-2023 tillsynsbegäran mail.docx", "A 45628-2023")</f>
        <v/>
      </c>
    </row>
    <row r="7" ht="15" customHeight="1">
      <c r="A7" t="inlineStr">
        <is>
          <t>A 16524-2019</t>
        </is>
      </c>
      <c r="B7" s="1" t="n">
        <v>43546</v>
      </c>
      <c r="C7" s="1" t="n">
        <v>45358</v>
      </c>
      <c r="D7" t="inlineStr">
        <is>
          <t>DALARNAS LÄN</t>
        </is>
      </c>
      <c r="E7" t="inlineStr">
        <is>
          <t>VANSBRO</t>
        </is>
      </c>
      <c r="G7" t="n">
        <v>4.6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Gammelgransskål
Barkkornlav</t>
        </is>
      </c>
      <c r="S7">
        <f>HYPERLINK("https://klasma.github.io/Logging_2021/artfynd/A 16524-2019 artfynd.xlsx", "A 16524-2019")</f>
        <v/>
      </c>
      <c r="T7">
        <f>HYPERLINK("https://klasma.github.io/Logging_2021/kartor/A 16524-2019 karta.png", "A 16524-2019")</f>
        <v/>
      </c>
      <c r="V7">
        <f>HYPERLINK("https://klasma.github.io/Logging_2021/klagomål/A 16524-2019 FSC-klagomål.docx", "A 16524-2019")</f>
        <v/>
      </c>
      <c r="W7">
        <f>HYPERLINK("https://klasma.github.io/Logging_2021/klagomålsmail/A 16524-2019 FSC-klagomål mail.docx", "A 16524-2019")</f>
        <v/>
      </c>
      <c r="X7">
        <f>HYPERLINK("https://klasma.github.io/Logging_2021/tillsyn/A 16524-2019 tillsynsbegäran.docx", "A 16524-2019")</f>
        <v/>
      </c>
      <c r="Y7">
        <f>HYPERLINK("https://klasma.github.io/Logging_2021/tillsynsmail/A 16524-2019 tillsynsbegäran mail.docx", "A 16524-2019")</f>
        <v/>
      </c>
    </row>
    <row r="8" ht="15" customHeight="1">
      <c r="A8" t="inlineStr">
        <is>
          <t>A 23406-2020</t>
        </is>
      </c>
      <c r="B8" s="1" t="n">
        <v>43969</v>
      </c>
      <c r="C8" s="1" t="n">
        <v>45358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Dropptaggsvamp</t>
        </is>
      </c>
      <c r="S8">
        <f>HYPERLINK("https://klasma.github.io/Logging_2021/artfynd/A 23406-2020 artfynd.xlsx", "A 23406-2020")</f>
        <v/>
      </c>
      <c r="T8">
        <f>HYPERLINK("https://klasma.github.io/Logging_2021/kartor/A 23406-2020 karta.png", "A 23406-2020")</f>
        <v/>
      </c>
      <c r="U8">
        <f>HYPERLINK("https://klasma.github.io/Logging_2021/knärot/A 23406-2020 karta knärot.png", "A 23406-2020")</f>
        <v/>
      </c>
      <c r="V8">
        <f>HYPERLINK("https://klasma.github.io/Logging_2021/klagomål/A 23406-2020 FSC-klagomål.docx", "A 23406-2020")</f>
        <v/>
      </c>
      <c r="W8">
        <f>HYPERLINK("https://klasma.github.io/Logging_2021/klagomålsmail/A 23406-2020 FSC-klagomål mail.docx", "A 23406-2020")</f>
        <v/>
      </c>
      <c r="X8">
        <f>HYPERLINK("https://klasma.github.io/Logging_2021/tillsyn/A 23406-2020 tillsynsbegäran.docx", "A 23406-2020")</f>
        <v/>
      </c>
      <c r="Y8">
        <f>HYPERLINK("https://klasma.github.io/Logging_2021/tillsynsmail/A 23406-2020 tillsynsbegäran mail.docx", "A 23406-2020")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45358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21877-2019</t>
        </is>
      </c>
      <c r="B10" s="1" t="n">
        <v>43584</v>
      </c>
      <c r="C10" s="1" t="n">
        <v>45358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HYPERLINK("https://klasma.github.io/Logging_2021/artfynd/A 21877-2019 artfynd.xlsx", "A 21877-2019")</f>
        <v/>
      </c>
      <c r="T10">
        <f>HYPERLINK("https://klasma.github.io/Logging_2021/kartor/A 21877-2019 karta.png", "A 21877-2019")</f>
        <v/>
      </c>
      <c r="V10">
        <f>HYPERLINK("https://klasma.github.io/Logging_2021/klagomål/A 21877-2019 FSC-klagomål.docx", "A 21877-2019")</f>
        <v/>
      </c>
      <c r="W10">
        <f>HYPERLINK("https://klasma.github.io/Logging_2021/klagomålsmail/A 21877-2019 FSC-klagomål mail.docx", "A 21877-2019")</f>
        <v/>
      </c>
      <c r="X10">
        <f>HYPERLINK("https://klasma.github.io/Logging_2021/tillsyn/A 21877-2019 tillsynsbegäran.docx", "A 21877-2019")</f>
        <v/>
      </c>
      <c r="Y10">
        <f>HYPERLINK("https://klasma.github.io/Logging_2021/tillsynsmail/A 21877-2019 tillsynsbegäran mail.docx", "A 21877-2019")</f>
        <v/>
      </c>
    </row>
    <row r="11" ht="15" customHeight="1">
      <c r="A11" t="inlineStr">
        <is>
          <t>A 18834-2021</t>
        </is>
      </c>
      <c r="B11" s="1" t="n">
        <v>44307</v>
      </c>
      <c r="C11" s="1" t="n">
        <v>45358</v>
      </c>
      <c r="D11" t="inlineStr">
        <is>
          <t>DALARNAS LÄN</t>
        </is>
      </c>
      <c r="E11" t="inlineStr">
        <is>
          <t>VANSBRO</t>
        </is>
      </c>
      <c r="G11" t="n">
        <v>13.9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HYPERLINK("https://klasma.github.io/Logging_2021/artfynd/A 18834-2021 artfynd.xlsx", "A 18834-2021")</f>
        <v/>
      </c>
      <c r="T11">
        <f>HYPERLINK("https://klasma.github.io/Logging_2021/kartor/A 18834-2021 karta.png", "A 18834-2021")</f>
        <v/>
      </c>
      <c r="V11">
        <f>HYPERLINK("https://klasma.github.io/Logging_2021/klagomål/A 18834-2021 FSC-klagomål.docx", "A 18834-2021")</f>
        <v/>
      </c>
      <c r="W11">
        <f>HYPERLINK("https://klasma.github.io/Logging_2021/klagomålsmail/A 18834-2021 FSC-klagomål mail.docx", "A 18834-2021")</f>
        <v/>
      </c>
      <c r="X11">
        <f>HYPERLINK("https://klasma.github.io/Logging_2021/tillsyn/A 18834-2021 tillsynsbegäran.docx", "A 18834-2021")</f>
        <v/>
      </c>
      <c r="Y11">
        <f>HYPERLINK("https://klasma.github.io/Logging_2021/tillsynsmail/A 18834-2021 tillsynsbegäran mail.docx", "A 18834-2021")</f>
        <v/>
      </c>
    </row>
    <row r="12" ht="15" customHeight="1">
      <c r="A12" t="inlineStr">
        <is>
          <t>A 45205-2021</t>
        </is>
      </c>
      <c r="B12" s="1" t="n">
        <v>44439</v>
      </c>
      <c r="C12" s="1" t="n">
        <v>45358</v>
      </c>
      <c r="D12" t="inlineStr">
        <is>
          <t>DALARNAS LÄN</t>
        </is>
      </c>
      <c r="E12" t="inlineStr">
        <is>
          <t>VANSBRO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HYPERLINK("https://klasma.github.io/Logging_2021/artfynd/A 45205-2021 artfynd.xlsx", "A 45205-2021")</f>
        <v/>
      </c>
      <c r="T12">
        <f>HYPERLINK("https://klasma.github.io/Logging_2021/kartor/A 45205-2021 karta.png", "A 45205-2021")</f>
        <v/>
      </c>
      <c r="V12">
        <f>HYPERLINK("https://klasma.github.io/Logging_2021/klagomål/A 45205-2021 FSC-klagomål.docx", "A 45205-2021")</f>
        <v/>
      </c>
      <c r="W12">
        <f>HYPERLINK("https://klasma.github.io/Logging_2021/klagomålsmail/A 45205-2021 FSC-klagomål mail.docx", "A 45205-2021")</f>
        <v/>
      </c>
      <c r="X12">
        <f>HYPERLINK("https://klasma.github.io/Logging_2021/tillsyn/A 45205-2021 tillsynsbegäran.docx", "A 45205-2021")</f>
        <v/>
      </c>
      <c r="Y12">
        <f>HYPERLINK("https://klasma.github.io/Logging_2021/tillsynsmail/A 45205-2021 tillsynsbegäran mail.docx", "A 45205-2021")</f>
        <v/>
      </c>
    </row>
    <row r="13" ht="15" customHeight="1">
      <c r="A13" t="inlineStr">
        <is>
          <t>A 50688-2021</t>
        </is>
      </c>
      <c r="B13" s="1" t="n">
        <v>44460</v>
      </c>
      <c r="C13" s="1" t="n">
        <v>45358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öst AB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Rynkskinn</t>
        </is>
      </c>
      <c r="S13">
        <f>HYPERLINK("https://klasma.github.io/Logging_2021/artfynd/A 50688-2021 artfynd.xlsx", "A 50688-2021")</f>
        <v/>
      </c>
      <c r="T13">
        <f>HYPERLINK("https://klasma.github.io/Logging_2021/kartor/A 50688-2021 karta.png", "A 50688-2021")</f>
        <v/>
      </c>
      <c r="V13">
        <f>HYPERLINK("https://klasma.github.io/Logging_2021/klagomål/A 50688-2021 FSC-klagomål.docx", "A 50688-2021")</f>
        <v/>
      </c>
      <c r="W13">
        <f>HYPERLINK("https://klasma.github.io/Logging_2021/klagomålsmail/A 50688-2021 FSC-klagomål mail.docx", "A 50688-2021")</f>
        <v/>
      </c>
      <c r="X13">
        <f>HYPERLINK("https://klasma.github.io/Logging_2021/tillsyn/A 50688-2021 tillsynsbegäran.docx", "A 50688-2021")</f>
        <v/>
      </c>
      <c r="Y13">
        <f>HYPERLINK("https://klasma.github.io/Logging_2021/tillsynsmail/A 50688-2021 tillsynsbegäran mail.docx", "A 50688-2021")</f>
        <v/>
      </c>
    </row>
    <row r="14" ht="15" customHeight="1">
      <c r="A14" t="inlineStr">
        <is>
          <t>A 51579-2021</t>
        </is>
      </c>
      <c r="B14" s="1" t="n">
        <v>44462</v>
      </c>
      <c r="C14" s="1" t="n">
        <v>45358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14.3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Kolflarnlav</t>
        </is>
      </c>
      <c r="S14">
        <f>HYPERLINK("https://klasma.github.io/Logging_2021/artfynd/A 51579-2021 artfynd.xlsx", "A 51579-2021")</f>
        <v/>
      </c>
      <c r="T14">
        <f>HYPERLINK("https://klasma.github.io/Logging_2021/kartor/A 51579-2021 karta.png", "A 51579-2021")</f>
        <v/>
      </c>
      <c r="V14">
        <f>HYPERLINK("https://klasma.github.io/Logging_2021/klagomål/A 51579-2021 FSC-klagomål.docx", "A 51579-2021")</f>
        <v/>
      </c>
      <c r="W14">
        <f>HYPERLINK("https://klasma.github.io/Logging_2021/klagomålsmail/A 51579-2021 FSC-klagomål mail.docx", "A 51579-2021")</f>
        <v/>
      </c>
      <c r="X14">
        <f>HYPERLINK("https://klasma.github.io/Logging_2021/tillsyn/A 51579-2021 tillsynsbegäran.docx", "A 51579-2021")</f>
        <v/>
      </c>
      <c r="Y14">
        <f>HYPERLINK("https://klasma.github.io/Logging_2021/tillsynsmail/A 51579-2021 tillsynsbegäran mail.docx", "A 51579-2021")</f>
        <v/>
      </c>
    </row>
    <row r="15" ht="15" customHeight="1">
      <c r="A15" t="inlineStr">
        <is>
          <t>A 5070-2023</t>
        </is>
      </c>
      <c r="B15" s="1" t="n">
        <v>44958</v>
      </c>
      <c r="C15" s="1" t="n">
        <v>45358</v>
      </c>
      <c r="D15" t="inlineStr">
        <is>
          <t>DALARNAS LÄN</t>
        </is>
      </c>
      <c r="E15" t="inlineStr">
        <is>
          <t>VANSBRO</t>
        </is>
      </c>
      <c r="F15" t="inlineStr">
        <is>
          <t>Övriga statliga verk och myndigheter</t>
        </is>
      </c>
      <c r="G15" t="n">
        <v>7.4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Späd bäckmossa</t>
        </is>
      </c>
      <c r="S15">
        <f>HYPERLINK("https://klasma.github.io/Logging_2021/artfynd/A 5070-2023 artfynd.xlsx", "A 5070-2023")</f>
        <v/>
      </c>
      <c r="T15">
        <f>HYPERLINK("https://klasma.github.io/Logging_2021/kartor/A 5070-2023 karta.png", "A 5070-2023")</f>
        <v/>
      </c>
      <c r="U15">
        <f>HYPERLINK("https://klasma.github.io/Logging_2021/knärot/A 5070-2023 karta knärot.png", "A 5070-2023")</f>
        <v/>
      </c>
      <c r="V15">
        <f>HYPERLINK("https://klasma.github.io/Logging_2021/klagomål/A 5070-2023 FSC-klagomål.docx", "A 5070-2023")</f>
        <v/>
      </c>
      <c r="W15">
        <f>HYPERLINK("https://klasma.github.io/Logging_2021/klagomålsmail/A 5070-2023 FSC-klagomål mail.docx", "A 5070-2023")</f>
        <v/>
      </c>
      <c r="X15">
        <f>HYPERLINK("https://klasma.github.io/Logging_2021/tillsyn/A 5070-2023 tillsynsbegäran.docx", "A 5070-2023")</f>
        <v/>
      </c>
      <c r="Y15">
        <f>HYPERLINK("https://klasma.github.io/Logging_2021/tillsynsmail/A 5070-2023 tillsynsbegäran mail.docx", "A 5070-2023")</f>
        <v/>
      </c>
    </row>
    <row r="16" ht="15" customHeight="1">
      <c r="A16" t="inlineStr">
        <is>
          <t>A 265-2024</t>
        </is>
      </c>
      <c r="B16" s="1" t="n">
        <v>45295</v>
      </c>
      <c r="C16" s="1" t="n">
        <v>45358</v>
      </c>
      <c r="D16" t="inlineStr">
        <is>
          <t>DALARNAS LÄN</t>
        </is>
      </c>
      <c r="E16" t="inlineStr">
        <is>
          <t>VANSBRO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HYPERLINK("https://klasma.github.io/Logging_2021/artfynd/A 265-2024 artfynd.xlsx", "A 265-2024")</f>
        <v/>
      </c>
      <c r="T16">
        <f>HYPERLINK("https://klasma.github.io/Logging_2021/kartor/A 265-2024 karta.png", "A 265-2024")</f>
        <v/>
      </c>
      <c r="V16">
        <f>HYPERLINK("https://klasma.github.io/Logging_2021/klagomål/A 265-2024 FSC-klagomål.docx", "A 265-2024")</f>
        <v/>
      </c>
      <c r="W16">
        <f>HYPERLINK("https://klasma.github.io/Logging_2021/klagomålsmail/A 265-2024 FSC-klagomål mail.docx", "A 265-2024")</f>
        <v/>
      </c>
      <c r="X16">
        <f>HYPERLINK("https://klasma.github.io/Logging_2021/tillsyn/A 265-2024 tillsynsbegäran.docx", "A 265-2024")</f>
        <v/>
      </c>
      <c r="Y16">
        <f>HYPERLINK("https://klasma.github.io/Logging_2021/tillsynsmail/A 265-2024 tillsynsbegäran mail.docx", "A 265-2024")</f>
        <v/>
      </c>
    </row>
    <row r="17" ht="15" customHeight="1">
      <c r="A17" t="inlineStr">
        <is>
          <t>A 34463-2018</t>
        </is>
      </c>
      <c r="B17" s="1" t="n">
        <v>43319</v>
      </c>
      <c r="C17" s="1" t="n">
        <v>45358</v>
      </c>
      <c r="D17" t="inlineStr">
        <is>
          <t>DALARNAS LÄN</t>
        </is>
      </c>
      <c r="E17" t="inlineStr">
        <is>
          <t>VANSBRO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41844-2018</t>
        </is>
      </c>
      <c r="B18" s="1" t="n">
        <v>43348</v>
      </c>
      <c r="C18" s="1" t="n">
        <v>45358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72676-2018</t>
        </is>
      </c>
      <c r="B19" s="1" t="n">
        <v>43389</v>
      </c>
      <c r="C19" s="1" t="n">
        <v>45358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56381-2018</t>
        </is>
      </c>
      <c r="B20" s="1" t="n">
        <v>43399</v>
      </c>
      <c r="C20" s="1" t="n">
        <v>45358</v>
      </c>
      <c r="D20" t="inlineStr">
        <is>
          <t>DALARNAS LÄN</t>
        </is>
      </c>
      <c r="E20" t="inlineStr">
        <is>
          <t>VANSBRO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62367-2018</t>
        </is>
      </c>
      <c r="B21" s="1" t="n">
        <v>43416</v>
      </c>
      <c r="C21" s="1" t="n">
        <v>45358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66131-2018</t>
        </is>
      </c>
      <c r="B22" s="1" t="n">
        <v>43434</v>
      </c>
      <c r="C22" s="1" t="n">
        <v>45358</v>
      </c>
      <c r="D22" t="inlineStr">
        <is>
          <t>DALARNAS LÄN</t>
        </is>
      </c>
      <c r="E22" t="inlineStr">
        <is>
          <t>VANSBRO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67327-2018</t>
        </is>
      </c>
      <c r="B23" s="1" t="n">
        <v>43439</v>
      </c>
      <c r="C23" s="1" t="n">
        <v>45358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67236-2018</t>
        </is>
      </c>
      <c r="B24" s="1" t="n">
        <v>43439</v>
      </c>
      <c r="C24" s="1" t="n">
        <v>45358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68967-2018</t>
        </is>
      </c>
      <c r="B25" s="1" t="n">
        <v>43445</v>
      </c>
      <c r="C25" s="1" t="n">
        <v>45358</v>
      </c>
      <c r="D25" t="inlineStr">
        <is>
          <t>DALARNAS LÄN</t>
        </is>
      </c>
      <c r="E25" t="inlineStr">
        <is>
          <t>VANSBRO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68981-2018</t>
        </is>
      </c>
      <c r="B26" s="1" t="n">
        <v>43445</v>
      </c>
      <c r="C26" s="1" t="n">
        <v>45358</v>
      </c>
      <c r="D26" t="inlineStr">
        <is>
          <t>DALARNAS LÄN</t>
        </is>
      </c>
      <c r="E26" t="inlineStr">
        <is>
          <t>VANSBRO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70709-2018</t>
        </is>
      </c>
      <c r="B27" s="1" t="n">
        <v>43451</v>
      </c>
      <c r="C27" s="1" t="n">
        <v>45358</v>
      </c>
      <c r="D27" t="inlineStr">
        <is>
          <t>DALARNAS LÄN</t>
        </is>
      </c>
      <c r="E27" t="inlineStr">
        <is>
          <t>VANSBRO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4860-2019</t>
        </is>
      </c>
      <c r="B28" s="1" t="n">
        <v>43487</v>
      </c>
      <c r="C28" s="1" t="n">
        <v>45358</v>
      </c>
      <c r="D28" t="inlineStr">
        <is>
          <t>DALARNAS LÄN</t>
        </is>
      </c>
      <c r="E28" t="inlineStr">
        <is>
          <t>VANSBRO</t>
        </is>
      </c>
      <c r="G28" t="n">
        <v>16.3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5038-2019</t>
        </is>
      </c>
      <c r="B29" s="1" t="n">
        <v>43487</v>
      </c>
      <c r="C29" s="1" t="n">
        <v>45358</v>
      </c>
      <c r="D29" t="inlineStr">
        <is>
          <t>DALARNAS LÄN</t>
        </is>
      </c>
      <c r="E29" t="inlineStr">
        <is>
          <t>VANSBRO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5294-2019</t>
        </is>
      </c>
      <c r="B30" s="1" t="n">
        <v>43488</v>
      </c>
      <c r="C30" s="1" t="n">
        <v>45358</v>
      </c>
      <c r="D30" t="inlineStr">
        <is>
          <t>DALARNAS LÄN</t>
        </is>
      </c>
      <c r="E30" t="inlineStr">
        <is>
          <t>VANSBRO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5668-2019</t>
        </is>
      </c>
      <c r="B31" s="1" t="n">
        <v>43489</v>
      </c>
      <c r="C31" s="1" t="n">
        <v>45358</v>
      </c>
      <c r="D31" t="inlineStr">
        <is>
          <t>DALARNAS LÄN</t>
        </is>
      </c>
      <c r="E31" t="inlineStr">
        <is>
          <t>VANSBRO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6821-2019</t>
        </is>
      </c>
      <c r="B32" s="1" t="n">
        <v>43495</v>
      </c>
      <c r="C32" s="1" t="n">
        <v>45358</v>
      </c>
      <c r="D32" t="inlineStr">
        <is>
          <t>DALARNAS LÄN</t>
        </is>
      </c>
      <c r="E32" t="inlineStr">
        <is>
          <t>VANSBRO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8063-2019</t>
        </is>
      </c>
      <c r="B33" s="1" t="n">
        <v>43501</v>
      </c>
      <c r="C33" s="1" t="n">
        <v>45358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8622-2019</t>
        </is>
      </c>
      <c r="B34" s="1" t="n">
        <v>43503</v>
      </c>
      <c r="C34" s="1" t="n">
        <v>45358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8606-2019</t>
        </is>
      </c>
      <c r="B35" s="1" t="n">
        <v>43503</v>
      </c>
      <c r="C35" s="1" t="n">
        <v>45358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9283-2019</t>
        </is>
      </c>
      <c r="B36" s="1" t="n">
        <v>43507</v>
      </c>
      <c r="C36" s="1" t="n">
        <v>45358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9435-2019</t>
        </is>
      </c>
      <c r="B37" s="1" t="n">
        <v>43507</v>
      </c>
      <c r="C37" s="1" t="n">
        <v>45358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9410-2019</t>
        </is>
      </c>
      <c r="B38" s="1" t="n">
        <v>43507</v>
      </c>
      <c r="C38" s="1" t="n">
        <v>45358</v>
      </c>
      <c r="D38" t="inlineStr">
        <is>
          <t>DALARNAS LÄN</t>
        </is>
      </c>
      <c r="E38" t="inlineStr">
        <is>
          <t>VANSBRO</t>
        </is>
      </c>
      <c r="F38" t="inlineStr">
        <is>
          <t>Övriga statliga verk och myndigheter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9422-2019</t>
        </is>
      </c>
      <c r="B39" s="1" t="n">
        <v>43507</v>
      </c>
      <c r="C39" s="1" t="n">
        <v>45358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9842-2019</t>
        </is>
      </c>
      <c r="B40" s="1" t="n">
        <v>43509</v>
      </c>
      <c r="C40" s="1" t="n">
        <v>45358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11156-2019</t>
        </is>
      </c>
      <c r="B41" s="1" t="n">
        <v>43516</v>
      </c>
      <c r="C41" s="1" t="n">
        <v>45358</v>
      </c>
      <c r="D41" t="inlineStr">
        <is>
          <t>DALARNAS LÄN</t>
        </is>
      </c>
      <c r="E41" t="inlineStr">
        <is>
          <t>VANSBRO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16501-2019</t>
        </is>
      </c>
      <c r="B42" s="1" t="n">
        <v>43546</v>
      </c>
      <c r="C42" s="1" t="n">
        <v>45358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18127-2019</t>
        </is>
      </c>
      <c r="B43" s="1" t="n">
        <v>43558</v>
      </c>
      <c r="C43" s="1" t="n">
        <v>45358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45358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45358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45358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45358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45358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45358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45358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45358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45358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45358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45358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45358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45358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45358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45358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45358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45358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45358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45358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45358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45358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45358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45358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45358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45358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45358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45358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45358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45358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45358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45358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45358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45358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45358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45358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45358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45358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45358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45358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45358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45358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51794-2019</t>
        </is>
      </c>
      <c r="B85" s="1" t="n">
        <v>43741</v>
      </c>
      <c r="C85" s="1" t="n">
        <v>45358</v>
      </c>
      <c r="D85" t="inlineStr">
        <is>
          <t>DALARNAS LÄN</t>
        </is>
      </c>
      <c r="E85" t="inlineStr">
        <is>
          <t>VANSBRO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45358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45358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45358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45358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45358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45358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45358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45358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45358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45358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45358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45358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45358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45358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45358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45358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45358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45358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45358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45358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45358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45358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45358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45358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45358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45358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45358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45358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45358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45358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45358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45358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45358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45358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45358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45358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45358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45358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45358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45358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45358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45358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45358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45358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45358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45358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45358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45358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45358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45358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45358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45358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45358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45358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45358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45358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45358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45358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45358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45358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45358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45358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45358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45358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45358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45358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45876-2020</t>
        </is>
      </c>
      <c r="B152" s="1" t="n">
        <v>44091</v>
      </c>
      <c r="C152" s="1" t="n">
        <v>45358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45358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47056-2020</t>
        </is>
      </c>
      <c r="B154" s="1" t="n">
        <v>44096</v>
      </c>
      <c r="C154" s="1" t="n">
        <v>45358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47057-2020</t>
        </is>
      </c>
      <c r="B155" s="1" t="n">
        <v>44096</v>
      </c>
      <c r="C155" s="1" t="n">
        <v>45358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47052-2020</t>
        </is>
      </c>
      <c r="B156" s="1" t="n">
        <v>44096</v>
      </c>
      <c r="C156" s="1" t="n">
        <v>45358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47059-2020</t>
        </is>
      </c>
      <c r="B157" s="1" t="n">
        <v>44096</v>
      </c>
      <c r="C157" s="1" t="n">
        <v>45358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47049-2020</t>
        </is>
      </c>
      <c r="B158" s="1" t="n">
        <v>44096</v>
      </c>
      <c r="C158" s="1" t="n">
        <v>45358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49649-2020</t>
        </is>
      </c>
      <c r="B159" s="1" t="n">
        <v>44106</v>
      </c>
      <c r="C159" s="1" t="n">
        <v>45358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53038-2020</t>
        </is>
      </c>
      <c r="B160" s="1" t="n">
        <v>44120</v>
      </c>
      <c r="C160" s="1" t="n">
        <v>45358</v>
      </c>
      <c r="D160" t="inlineStr">
        <is>
          <t>DALARNAS LÄN</t>
        </is>
      </c>
      <c r="E160" t="inlineStr">
        <is>
          <t>VANSBRO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53236-2020</t>
        </is>
      </c>
      <c r="B161" s="1" t="n">
        <v>44123</v>
      </c>
      <c r="C161" s="1" t="n">
        <v>45358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53227-2020</t>
        </is>
      </c>
      <c r="B162" s="1" t="n">
        <v>44123</v>
      </c>
      <c r="C162" s="1" t="n">
        <v>45358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53267-2020</t>
        </is>
      </c>
      <c r="B163" s="1" t="n">
        <v>44123</v>
      </c>
      <c r="C163" s="1" t="n">
        <v>45358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53889-2020</t>
        </is>
      </c>
      <c r="B164" s="1" t="n">
        <v>44125</v>
      </c>
      <c r="C164" s="1" t="n">
        <v>45358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55271-2020</t>
        </is>
      </c>
      <c r="B165" s="1" t="n">
        <v>44130</v>
      </c>
      <c r="C165" s="1" t="n">
        <v>45358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56817-2020</t>
        </is>
      </c>
      <c r="B166" s="1" t="n">
        <v>44134</v>
      </c>
      <c r="C166" s="1" t="n">
        <v>45358</v>
      </c>
      <c r="D166" t="inlineStr">
        <is>
          <t>DALARNAS LÄN</t>
        </is>
      </c>
      <c r="E166" t="inlineStr">
        <is>
          <t>VANSBRO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56973-2020</t>
        </is>
      </c>
      <c r="B167" s="1" t="n">
        <v>44138</v>
      </c>
      <c r="C167" s="1" t="n">
        <v>45358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58810-2020</t>
        </is>
      </c>
      <c r="B168" s="1" t="n">
        <v>44146</v>
      </c>
      <c r="C168" s="1" t="n">
        <v>45358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61684-2020</t>
        </is>
      </c>
      <c r="B169" s="1" t="n">
        <v>44158</v>
      </c>
      <c r="C169" s="1" t="n">
        <v>45358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61471-2020</t>
        </is>
      </c>
      <c r="B170" s="1" t="n">
        <v>44158</v>
      </c>
      <c r="C170" s="1" t="n">
        <v>45358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64082-2020</t>
        </is>
      </c>
      <c r="B171" s="1" t="n">
        <v>44167</v>
      </c>
      <c r="C171" s="1" t="n">
        <v>45358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64714-2020</t>
        </is>
      </c>
      <c r="B172" s="1" t="n">
        <v>44169</v>
      </c>
      <c r="C172" s="1" t="n">
        <v>45358</v>
      </c>
      <c r="D172" t="inlineStr">
        <is>
          <t>DALARNAS LÄN</t>
        </is>
      </c>
      <c r="E172" t="inlineStr">
        <is>
          <t>VANSBRO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65396-2020</t>
        </is>
      </c>
      <c r="B173" s="1" t="n">
        <v>44173</v>
      </c>
      <c r="C173" s="1" t="n">
        <v>45358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45358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65395-2020</t>
        </is>
      </c>
      <c r="B175" s="1" t="n">
        <v>44173</v>
      </c>
      <c r="C175" s="1" t="n">
        <v>45358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65393-2020</t>
        </is>
      </c>
      <c r="B176" s="1" t="n">
        <v>44173</v>
      </c>
      <c r="C176" s="1" t="n">
        <v>45358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65391-2020</t>
        </is>
      </c>
      <c r="B177" s="1" t="n">
        <v>44173</v>
      </c>
      <c r="C177" s="1" t="n">
        <v>45358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65941-2020</t>
        </is>
      </c>
      <c r="B178" s="1" t="n">
        <v>44175</v>
      </c>
      <c r="C178" s="1" t="n">
        <v>45358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68425-2020</t>
        </is>
      </c>
      <c r="B179" s="1" t="n">
        <v>44186</v>
      </c>
      <c r="C179" s="1" t="n">
        <v>45358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68551-2020</t>
        </is>
      </c>
      <c r="B180" s="1" t="n">
        <v>44186</v>
      </c>
      <c r="C180" s="1" t="n">
        <v>45358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68849-2020</t>
        </is>
      </c>
      <c r="B181" s="1" t="n">
        <v>44187</v>
      </c>
      <c r="C181" s="1" t="n">
        <v>45358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216-2021</t>
        </is>
      </c>
      <c r="B182" s="1" t="n">
        <v>44200</v>
      </c>
      <c r="C182" s="1" t="n">
        <v>45358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1342-2021</t>
        </is>
      </c>
      <c r="B183" s="1" t="n">
        <v>44208</v>
      </c>
      <c r="C183" s="1" t="n">
        <v>45358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1381-2021</t>
        </is>
      </c>
      <c r="B184" s="1" t="n">
        <v>44208</v>
      </c>
      <c r="C184" s="1" t="n">
        <v>45358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1386-2021</t>
        </is>
      </c>
      <c r="B185" s="1" t="n">
        <v>44208</v>
      </c>
      <c r="C185" s="1" t="n">
        <v>45358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2088-2021</t>
        </is>
      </c>
      <c r="B186" s="1" t="n">
        <v>44211</v>
      </c>
      <c r="C186" s="1" t="n">
        <v>45358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3257-2021</t>
        </is>
      </c>
      <c r="B187" s="1" t="n">
        <v>44217</v>
      </c>
      <c r="C187" s="1" t="n">
        <v>45358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5644-2021</t>
        </is>
      </c>
      <c r="B188" s="1" t="n">
        <v>44230</v>
      </c>
      <c r="C188" s="1" t="n">
        <v>45358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6401-2021</t>
        </is>
      </c>
      <c r="B189" s="1" t="n">
        <v>44235</v>
      </c>
      <c r="C189" s="1" t="n">
        <v>45358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6241-2021</t>
        </is>
      </c>
      <c r="B190" s="1" t="n">
        <v>44235</v>
      </c>
      <c r="C190" s="1" t="n">
        <v>45358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8947-2021</t>
        </is>
      </c>
      <c r="B191" s="1" t="n">
        <v>44249</v>
      </c>
      <c r="C191" s="1" t="n">
        <v>45358</v>
      </c>
      <c r="D191" t="inlineStr">
        <is>
          <t>DALARNAS LÄN</t>
        </is>
      </c>
      <c r="E191" t="inlineStr">
        <is>
          <t>VANSBRO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10419-2021</t>
        </is>
      </c>
      <c r="B192" s="1" t="n">
        <v>44257</v>
      </c>
      <c r="C192" s="1" t="n">
        <v>45358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13054-2021</t>
        </is>
      </c>
      <c r="B193" s="1" t="n">
        <v>44272</v>
      </c>
      <c r="C193" s="1" t="n">
        <v>45358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17276-2021</t>
        </is>
      </c>
      <c r="B194" s="1" t="n">
        <v>44298</v>
      </c>
      <c r="C194" s="1" t="n">
        <v>45358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17279-2021</t>
        </is>
      </c>
      <c r="B195" s="1" t="n">
        <v>44298</v>
      </c>
      <c r="C195" s="1" t="n">
        <v>45358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17687-2021</t>
        </is>
      </c>
      <c r="B196" s="1" t="n">
        <v>44300</v>
      </c>
      <c r="C196" s="1" t="n">
        <v>45358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45358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18833-2021</t>
        </is>
      </c>
      <c r="B198" s="1" t="n">
        <v>44307</v>
      </c>
      <c r="C198" s="1" t="n">
        <v>45358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19154-2021</t>
        </is>
      </c>
      <c r="B199" s="1" t="n">
        <v>44308</v>
      </c>
      <c r="C199" s="1" t="n">
        <v>45358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20446-2021</t>
        </is>
      </c>
      <c r="B200" s="1" t="n">
        <v>44315</v>
      </c>
      <c r="C200" s="1" t="n">
        <v>45358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20695-2021</t>
        </is>
      </c>
      <c r="B201" s="1" t="n">
        <v>44316</v>
      </c>
      <c r="C201" s="1" t="n">
        <v>45358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20705-2021</t>
        </is>
      </c>
      <c r="B202" s="1" t="n">
        <v>44316</v>
      </c>
      <c r="C202" s="1" t="n">
        <v>45358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21251-2021</t>
        </is>
      </c>
      <c r="B203" s="1" t="n">
        <v>44320</v>
      </c>
      <c r="C203" s="1" t="n">
        <v>45358</v>
      </c>
      <c r="D203" t="inlineStr">
        <is>
          <t>DALARNAS LÄN</t>
        </is>
      </c>
      <c r="E203" t="inlineStr">
        <is>
          <t>VANSBRO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22363-2021</t>
        </is>
      </c>
      <c r="B204" s="1" t="n">
        <v>44326</v>
      </c>
      <c r="C204" s="1" t="n">
        <v>45358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22803-2021</t>
        </is>
      </c>
      <c r="B205" s="1" t="n">
        <v>44328</v>
      </c>
      <c r="C205" s="1" t="n">
        <v>45358</v>
      </c>
      <c r="D205" t="inlineStr">
        <is>
          <t>DALARNAS LÄN</t>
        </is>
      </c>
      <c r="E205" t="inlineStr">
        <is>
          <t>VANSBRO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24070-2021</t>
        </is>
      </c>
      <c r="B206" s="1" t="n">
        <v>44336</v>
      </c>
      <c r="C206" s="1" t="n">
        <v>45358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24077-2021</t>
        </is>
      </c>
      <c r="B207" s="1" t="n">
        <v>44336</v>
      </c>
      <c r="C207" s="1" t="n">
        <v>45358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24454-2021</t>
        </is>
      </c>
      <c r="B208" s="1" t="n">
        <v>44337</v>
      </c>
      <c r="C208" s="1" t="n">
        <v>45358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29328-2021</t>
        </is>
      </c>
      <c r="B209" s="1" t="n">
        <v>44361</v>
      </c>
      <c r="C209" s="1" t="n">
        <v>45358</v>
      </c>
      <c r="D209" t="inlineStr">
        <is>
          <t>DALARNAS LÄN</t>
        </is>
      </c>
      <c r="E209" t="inlineStr">
        <is>
          <t>VANSBRO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29323-2021</t>
        </is>
      </c>
      <c r="B210" s="1" t="n">
        <v>44361</v>
      </c>
      <c r="C210" s="1" t="n">
        <v>45358</v>
      </c>
      <c r="D210" t="inlineStr">
        <is>
          <t>DALARNAS LÄN</t>
        </is>
      </c>
      <c r="E210" t="inlineStr">
        <is>
          <t>VANSBRO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30067-2021</t>
        </is>
      </c>
      <c r="B211" s="1" t="n">
        <v>44363</v>
      </c>
      <c r="C211" s="1" t="n">
        <v>45358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32158-2021</t>
        </is>
      </c>
      <c r="B212" s="1" t="n">
        <v>44371</v>
      </c>
      <c r="C212" s="1" t="n">
        <v>45358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32377-2021</t>
        </is>
      </c>
      <c r="B213" s="1" t="n">
        <v>44371</v>
      </c>
      <c r="C213" s="1" t="n">
        <v>45358</v>
      </c>
      <c r="D213" t="inlineStr">
        <is>
          <t>DALARNAS LÄN</t>
        </is>
      </c>
      <c r="E213" t="inlineStr">
        <is>
          <t>VANSBRO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32680-2021</t>
        </is>
      </c>
      <c r="B214" s="1" t="n">
        <v>44375</v>
      </c>
      <c r="C214" s="1" t="n">
        <v>45358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35661-2021</t>
        </is>
      </c>
      <c r="B215" s="1" t="n">
        <v>44386</v>
      </c>
      <c r="C215" s="1" t="n">
        <v>45358</v>
      </c>
      <c r="D215" t="inlineStr">
        <is>
          <t>DALARNAS LÄN</t>
        </is>
      </c>
      <c r="E215" t="inlineStr">
        <is>
          <t>VANSBRO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38907-2021</t>
        </is>
      </c>
      <c r="B216" s="1" t="n">
        <v>44411</v>
      </c>
      <c r="C216" s="1" t="n">
        <v>45358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39438-2021</t>
        </is>
      </c>
      <c r="B217" s="1" t="n">
        <v>44414</v>
      </c>
      <c r="C217" s="1" t="n">
        <v>45358</v>
      </c>
      <c r="D217" t="inlineStr">
        <is>
          <t>DALARNAS LÄN</t>
        </is>
      </c>
      <c r="E217" t="inlineStr">
        <is>
          <t>VANSBRO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39806-2021</t>
        </is>
      </c>
      <c r="B218" s="1" t="n">
        <v>44417</v>
      </c>
      <c r="C218" s="1" t="n">
        <v>45358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40842-2021</t>
        </is>
      </c>
      <c r="B219" s="1" t="n">
        <v>44421</v>
      </c>
      <c r="C219" s="1" t="n">
        <v>45358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42207-2021</t>
        </is>
      </c>
      <c r="B220" s="1" t="n">
        <v>44426</v>
      </c>
      <c r="C220" s="1" t="n">
        <v>45358</v>
      </c>
      <c r="D220" t="inlineStr">
        <is>
          <t>DALARNAS LÄN</t>
        </is>
      </c>
      <c r="E220" t="inlineStr">
        <is>
          <t>VANSBRO</t>
        </is>
      </c>
      <c r="G220" t="n">
        <v>25.5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42431-2021</t>
        </is>
      </c>
      <c r="B221" s="1" t="n">
        <v>44427</v>
      </c>
      <c r="C221" s="1" t="n">
        <v>45358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42786-2021</t>
        </is>
      </c>
      <c r="B222" s="1" t="n">
        <v>44428</v>
      </c>
      <c r="C222" s="1" t="n">
        <v>45358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45849-2021</t>
        </is>
      </c>
      <c r="B223" s="1" t="n">
        <v>44441</v>
      </c>
      <c r="C223" s="1" t="n">
        <v>45358</v>
      </c>
      <c r="D223" t="inlineStr">
        <is>
          <t>DALARNAS LÄN</t>
        </is>
      </c>
      <c r="E223" t="inlineStr">
        <is>
          <t>VANSBRO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46165-2021</t>
        </is>
      </c>
      <c r="B224" s="1" t="n">
        <v>44442</v>
      </c>
      <c r="C224" s="1" t="n">
        <v>45358</v>
      </c>
      <c r="D224" t="inlineStr">
        <is>
          <t>DALARNAS LÄN</t>
        </is>
      </c>
      <c r="E224" t="inlineStr">
        <is>
          <t>VANSBRO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46409-2021</t>
        </is>
      </c>
      <c r="B225" s="1" t="n">
        <v>44444</v>
      </c>
      <c r="C225" s="1" t="n">
        <v>45358</v>
      </c>
      <c r="D225" t="inlineStr">
        <is>
          <t>DALARNAS LÄN</t>
        </is>
      </c>
      <c r="E225" t="inlineStr">
        <is>
          <t>VANSBRO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46801-2021</t>
        </is>
      </c>
      <c r="B226" s="1" t="n">
        <v>44446</v>
      </c>
      <c r="C226" s="1" t="n">
        <v>45358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49022-2021</t>
        </is>
      </c>
      <c r="B227" s="1" t="n">
        <v>44453</v>
      </c>
      <c r="C227" s="1" t="n">
        <v>45358</v>
      </c>
      <c r="D227" t="inlineStr">
        <is>
          <t>DALARNAS LÄN</t>
        </is>
      </c>
      <c r="E227" t="inlineStr">
        <is>
          <t>VANSBRO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48977-2021</t>
        </is>
      </c>
      <c r="B228" s="1" t="n">
        <v>44453</v>
      </c>
      <c r="C228" s="1" t="n">
        <v>45358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51414-2021</t>
        </is>
      </c>
      <c r="B229" s="1" t="n">
        <v>44461</v>
      </c>
      <c r="C229" s="1" t="n">
        <v>45358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51413-2021</t>
        </is>
      </c>
      <c r="B230" s="1" t="n">
        <v>44461</v>
      </c>
      <c r="C230" s="1" t="n">
        <v>45358</v>
      </c>
      <c r="D230" t="inlineStr">
        <is>
          <t>DALARNAS LÄN</t>
        </is>
      </c>
      <c r="E230" t="inlineStr">
        <is>
          <t>VANSBRO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52385-2021</t>
        </is>
      </c>
      <c r="B231" s="1" t="n">
        <v>44465</v>
      </c>
      <c r="C231" s="1" t="n">
        <v>45358</v>
      </c>
      <c r="D231" t="inlineStr">
        <is>
          <t>DALARNAS LÄN</t>
        </is>
      </c>
      <c r="E231" t="inlineStr">
        <is>
          <t>VANSBRO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53828-2021</t>
        </is>
      </c>
      <c r="B232" s="1" t="n">
        <v>44469</v>
      </c>
      <c r="C232" s="1" t="n">
        <v>45358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54022-2021</t>
        </is>
      </c>
      <c r="B233" s="1" t="n">
        <v>44470</v>
      </c>
      <c r="C233" s="1" t="n">
        <v>45358</v>
      </c>
      <c r="D233" t="inlineStr">
        <is>
          <t>DALARNAS LÄN</t>
        </is>
      </c>
      <c r="E233" t="inlineStr">
        <is>
          <t>VANSBRO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55774-2021</t>
        </is>
      </c>
      <c r="B234" s="1" t="n">
        <v>44476</v>
      </c>
      <c r="C234" s="1" t="n">
        <v>45358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58999-2021</t>
        </is>
      </c>
      <c r="B235" s="1" t="n">
        <v>44490</v>
      </c>
      <c r="C235" s="1" t="n">
        <v>45358</v>
      </c>
      <c r="D235" t="inlineStr">
        <is>
          <t>DALARNAS LÄN</t>
        </is>
      </c>
      <c r="E235" t="inlineStr">
        <is>
          <t>VANSBRO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61529-2021</t>
        </is>
      </c>
      <c r="B236" s="1" t="n">
        <v>44501</v>
      </c>
      <c r="C236" s="1" t="n">
        <v>45358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62398-2021</t>
        </is>
      </c>
      <c r="B237" s="1" t="n">
        <v>44503</v>
      </c>
      <c r="C237" s="1" t="n">
        <v>45358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62734-2021</t>
        </is>
      </c>
      <c r="B238" s="1" t="n">
        <v>44504</v>
      </c>
      <c r="C238" s="1" t="n">
        <v>45358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63816-2021</t>
        </is>
      </c>
      <c r="B239" s="1" t="n">
        <v>44509</v>
      </c>
      <c r="C239" s="1" t="n">
        <v>45358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63902-2021</t>
        </is>
      </c>
      <c r="B240" s="1" t="n">
        <v>44509</v>
      </c>
      <c r="C240" s="1" t="n">
        <v>45358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64025-2021</t>
        </is>
      </c>
      <c r="B241" s="1" t="n">
        <v>44510</v>
      </c>
      <c r="C241" s="1" t="n">
        <v>45358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64028-2021</t>
        </is>
      </c>
      <c r="B242" s="1" t="n">
        <v>44510</v>
      </c>
      <c r="C242" s="1" t="n">
        <v>45358</v>
      </c>
      <c r="D242" t="inlineStr">
        <is>
          <t>DALARNAS LÄN</t>
        </is>
      </c>
      <c r="E242" t="inlineStr">
        <is>
          <t>VANSBRO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66717-2021</t>
        </is>
      </c>
      <c r="B243" s="1" t="n">
        <v>44519</v>
      </c>
      <c r="C243" s="1" t="n">
        <v>45358</v>
      </c>
      <c r="D243" t="inlineStr">
        <is>
          <t>DALARNAS LÄN</t>
        </is>
      </c>
      <c r="E243" t="inlineStr">
        <is>
          <t>VANSBRO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66705-2021</t>
        </is>
      </c>
      <c r="B244" s="1" t="n">
        <v>44519</v>
      </c>
      <c r="C244" s="1" t="n">
        <v>45358</v>
      </c>
      <c r="D244" t="inlineStr">
        <is>
          <t>DALARNAS LÄN</t>
        </is>
      </c>
      <c r="E244" t="inlineStr">
        <is>
          <t>VANSBRO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70330-2021</t>
        </is>
      </c>
      <c r="B245" s="1" t="n">
        <v>44536</v>
      </c>
      <c r="C245" s="1" t="n">
        <v>45358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70640-2021</t>
        </is>
      </c>
      <c r="B246" s="1" t="n">
        <v>44537</v>
      </c>
      <c r="C246" s="1" t="n">
        <v>45358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71632-2021</t>
        </is>
      </c>
      <c r="B247" s="1" t="n">
        <v>44543</v>
      </c>
      <c r="C247" s="1" t="n">
        <v>45358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72635-2021</t>
        </is>
      </c>
      <c r="B248" s="1" t="n">
        <v>44546</v>
      </c>
      <c r="C248" s="1" t="n">
        <v>45358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73520-2021</t>
        </is>
      </c>
      <c r="B249" s="1" t="n">
        <v>44551</v>
      </c>
      <c r="C249" s="1" t="n">
        <v>45358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74501-2021</t>
        </is>
      </c>
      <c r="B250" s="1" t="n">
        <v>44560</v>
      </c>
      <c r="C250" s="1" t="n">
        <v>45358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2171-2022</t>
        </is>
      </c>
      <c r="B251" s="1" t="n">
        <v>44578</v>
      </c>
      <c r="C251" s="1" t="n">
        <v>45358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3325-2022</t>
        </is>
      </c>
      <c r="B252" s="1" t="n">
        <v>44585</v>
      </c>
      <c r="C252" s="1" t="n">
        <v>45358</v>
      </c>
      <c r="D252" t="inlineStr">
        <is>
          <t>DALARNAS LÄN</t>
        </is>
      </c>
      <c r="E252" t="inlineStr">
        <is>
          <t>VANSBRO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3324-2022</t>
        </is>
      </c>
      <c r="B253" s="1" t="n">
        <v>44585</v>
      </c>
      <c r="C253" s="1" t="n">
        <v>45358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3344-2022</t>
        </is>
      </c>
      <c r="B254" s="1" t="n">
        <v>44585</v>
      </c>
      <c r="C254" s="1" t="n">
        <v>45358</v>
      </c>
      <c r="D254" t="inlineStr">
        <is>
          <t>DALARNAS LÄN</t>
        </is>
      </c>
      <c r="E254" t="inlineStr">
        <is>
          <t>VANSBRO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5255-2022</t>
        </is>
      </c>
      <c r="B255" s="1" t="n">
        <v>44594</v>
      </c>
      <c r="C255" s="1" t="n">
        <v>45358</v>
      </c>
      <c r="D255" t="inlineStr">
        <is>
          <t>DALARNAS LÄN</t>
        </is>
      </c>
      <c r="E255" t="inlineStr">
        <is>
          <t>VANSBRO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8327-2022</t>
        </is>
      </c>
      <c r="B256" s="1" t="n">
        <v>44610</v>
      </c>
      <c r="C256" s="1" t="n">
        <v>45358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8447-2022</t>
        </is>
      </c>
      <c r="B257" s="1" t="n">
        <v>44612</v>
      </c>
      <c r="C257" s="1" t="n">
        <v>45358</v>
      </c>
      <c r="D257" t="inlineStr">
        <is>
          <t>DALARNAS LÄN</t>
        </is>
      </c>
      <c r="E257" t="inlineStr">
        <is>
          <t>VANSBRO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8448-2022</t>
        </is>
      </c>
      <c r="B258" s="1" t="n">
        <v>44612</v>
      </c>
      <c r="C258" s="1" t="n">
        <v>45358</v>
      </c>
      <c r="D258" t="inlineStr">
        <is>
          <t>DALARNAS LÄN</t>
        </is>
      </c>
      <c r="E258" t="inlineStr">
        <is>
          <t>VANSBRO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8890-2022</t>
        </is>
      </c>
      <c r="B259" s="1" t="n">
        <v>44614</v>
      </c>
      <c r="C259" s="1" t="n">
        <v>45358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9371-2022</t>
        </is>
      </c>
      <c r="B260" s="1" t="n">
        <v>44616</v>
      </c>
      <c r="C260" s="1" t="n">
        <v>45358</v>
      </c>
      <c r="D260" t="inlineStr">
        <is>
          <t>DALARNAS LÄN</t>
        </is>
      </c>
      <c r="E260" t="inlineStr">
        <is>
          <t>VANSBRO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13094-2022</t>
        </is>
      </c>
      <c r="B261" s="1" t="n">
        <v>44643</v>
      </c>
      <c r="C261" s="1" t="n">
        <v>45358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13639-2022</t>
        </is>
      </c>
      <c r="B262" s="1" t="n">
        <v>44648</v>
      </c>
      <c r="C262" s="1" t="n">
        <v>45358</v>
      </c>
      <c r="D262" t="inlineStr">
        <is>
          <t>DALARNAS LÄN</t>
        </is>
      </c>
      <c r="E262" t="inlineStr">
        <is>
          <t>VANSBRO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14364-2022</t>
        </is>
      </c>
      <c r="B263" s="1" t="n">
        <v>44652</v>
      </c>
      <c r="C263" s="1" t="n">
        <v>45358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14362-2022</t>
        </is>
      </c>
      <c r="B264" s="1" t="n">
        <v>44652</v>
      </c>
      <c r="C264" s="1" t="n">
        <v>45358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16640-2022</t>
        </is>
      </c>
      <c r="B265" s="1" t="n">
        <v>44672</v>
      </c>
      <c r="C265" s="1" t="n">
        <v>45358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17807-2022</t>
        </is>
      </c>
      <c r="B266" s="1" t="n">
        <v>44673</v>
      </c>
      <c r="C266" s="1" t="n">
        <v>45358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17804-2022</t>
        </is>
      </c>
      <c r="B267" s="1" t="n">
        <v>44673</v>
      </c>
      <c r="C267" s="1" t="n">
        <v>45358</v>
      </c>
      <c r="D267" t="inlineStr">
        <is>
          <t>DALARNAS LÄN</t>
        </is>
      </c>
      <c r="E267" t="inlineStr">
        <is>
          <t>VANSBRO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17168-2022</t>
        </is>
      </c>
      <c r="B268" s="1" t="n">
        <v>44677</v>
      </c>
      <c r="C268" s="1" t="n">
        <v>45358</v>
      </c>
      <c r="D268" t="inlineStr">
        <is>
          <t>DALARNAS LÄN</t>
        </is>
      </c>
      <c r="E268" t="inlineStr">
        <is>
          <t>VANSBRO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17493-2022</t>
        </is>
      </c>
      <c r="B269" s="1" t="n">
        <v>44679</v>
      </c>
      <c r="C269" s="1" t="n">
        <v>45358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17491-2022</t>
        </is>
      </c>
      <c r="B270" s="1" t="n">
        <v>44679</v>
      </c>
      <c r="C270" s="1" t="n">
        <v>45358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17494-2022</t>
        </is>
      </c>
      <c r="B271" s="1" t="n">
        <v>44679</v>
      </c>
      <c r="C271" s="1" t="n">
        <v>45358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18223-2022</t>
        </is>
      </c>
      <c r="B272" s="1" t="n">
        <v>44685</v>
      </c>
      <c r="C272" s="1" t="n">
        <v>45358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19041-2022</t>
        </is>
      </c>
      <c r="B273" s="1" t="n">
        <v>44691</v>
      </c>
      <c r="C273" s="1" t="n">
        <v>45358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19224-2022</t>
        </is>
      </c>
      <c r="B274" s="1" t="n">
        <v>44692</v>
      </c>
      <c r="C274" s="1" t="n">
        <v>45358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20254-2022</t>
        </is>
      </c>
      <c r="B275" s="1" t="n">
        <v>44698</v>
      </c>
      <c r="C275" s="1" t="n">
        <v>45358</v>
      </c>
      <c r="D275" t="inlineStr">
        <is>
          <t>DALARNAS LÄN</t>
        </is>
      </c>
      <c r="E275" t="inlineStr">
        <is>
          <t>VANSBRO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20931-2022</t>
        </is>
      </c>
      <c r="B276" s="1" t="n">
        <v>44701</v>
      </c>
      <c r="C276" s="1" t="n">
        <v>45358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21752-2022</t>
        </is>
      </c>
      <c r="B277" s="1" t="n">
        <v>44708</v>
      </c>
      <c r="C277" s="1" t="n">
        <v>45358</v>
      </c>
      <c r="D277" t="inlineStr">
        <is>
          <t>DALARNAS LÄN</t>
        </is>
      </c>
      <c r="E277" t="inlineStr">
        <is>
          <t>VANSBRO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21734-2022</t>
        </is>
      </c>
      <c r="B278" s="1" t="n">
        <v>44708</v>
      </c>
      <c r="C278" s="1" t="n">
        <v>45358</v>
      </c>
      <c r="D278" t="inlineStr">
        <is>
          <t>DALARNAS LÄN</t>
        </is>
      </c>
      <c r="E278" t="inlineStr">
        <is>
          <t>VANSBRO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23085-2022</t>
        </is>
      </c>
      <c r="B279" s="1" t="n">
        <v>44719</v>
      </c>
      <c r="C279" s="1" t="n">
        <v>45358</v>
      </c>
      <c r="D279" t="inlineStr">
        <is>
          <t>DALARNAS LÄN</t>
        </is>
      </c>
      <c r="E279" t="inlineStr">
        <is>
          <t>VANSBRO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24827-2022</t>
        </is>
      </c>
      <c r="B280" s="1" t="n">
        <v>44728</v>
      </c>
      <c r="C280" s="1" t="n">
        <v>45358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24839-2022</t>
        </is>
      </c>
      <c r="B281" s="1" t="n">
        <v>44728</v>
      </c>
      <c r="C281" s="1" t="n">
        <v>45358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25624-2022</t>
        </is>
      </c>
      <c r="B282" s="1" t="n">
        <v>44732</v>
      </c>
      <c r="C282" s="1" t="n">
        <v>45358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25916-2022</t>
        </is>
      </c>
      <c r="B283" s="1" t="n">
        <v>44734</v>
      </c>
      <c r="C283" s="1" t="n">
        <v>45358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26571-2022</t>
        </is>
      </c>
      <c r="B284" s="1" t="n">
        <v>44739</v>
      </c>
      <c r="C284" s="1" t="n">
        <v>45358</v>
      </c>
      <c r="D284" t="inlineStr">
        <is>
          <t>DALARNAS LÄN</t>
        </is>
      </c>
      <c r="E284" t="inlineStr">
        <is>
          <t>VANSBRO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26690-2022</t>
        </is>
      </c>
      <c r="B285" s="1" t="n">
        <v>44739</v>
      </c>
      <c r="C285" s="1" t="n">
        <v>45358</v>
      </c>
      <c r="D285" t="inlineStr">
        <is>
          <t>DALARNAS LÄN</t>
        </is>
      </c>
      <c r="E285" t="inlineStr">
        <is>
          <t>VANSBRO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26658-2022</t>
        </is>
      </c>
      <c r="B286" s="1" t="n">
        <v>44739</v>
      </c>
      <c r="C286" s="1" t="n">
        <v>45358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26808-2022</t>
        </is>
      </c>
      <c r="B287" s="1" t="n">
        <v>44740</v>
      </c>
      <c r="C287" s="1" t="n">
        <v>45358</v>
      </c>
      <c r="D287" t="inlineStr">
        <is>
          <t>DALARNAS LÄN</t>
        </is>
      </c>
      <c r="E287" t="inlineStr">
        <is>
          <t>VANSBRO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27465-2022</t>
        </is>
      </c>
      <c r="B288" s="1" t="n">
        <v>44742</v>
      </c>
      <c r="C288" s="1" t="n">
        <v>45358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27643-2022</t>
        </is>
      </c>
      <c r="B289" s="1" t="n">
        <v>44743</v>
      </c>
      <c r="C289" s="1" t="n">
        <v>45358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27712-2022</t>
        </is>
      </c>
      <c r="B290" s="1" t="n">
        <v>44743</v>
      </c>
      <c r="C290" s="1" t="n">
        <v>45358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28398-2022</t>
        </is>
      </c>
      <c r="B291" s="1" t="n">
        <v>44747</v>
      </c>
      <c r="C291" s="1" t="n">
        <v>45358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28657-2022</t>
        </is>
      </c>
      <c r="B292" s="1" t="n">
        <v>44748</v>
      </c>
      <c r="C292" s="1" t="n">
        <v>45358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29497-2022</t>
        </is>
      </c>
      <c r="B293" s="1" t="n">
        <v>44753</v>
      </c>
      <c r="C293" s="1" t="n">
        <v>45358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29575-2022</t>
        </is>
      </c>
      <c r="B294" s="1" t="n">
        <v>44754</v>
      </c>
      <c r="C294" s="1" t="n">
        <v>45358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29574-2022</t>
        </is>
      </c>
      <c r="B295" s="1" t="n">
        <v>44754</v>
      </c>
      <c r="C295" s="1" t="n">
        <v>45358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30628-2022</t>
        </is>
      </c>
      <c r="B296" s="1" t="n">
        <v>44763</v>
      </c>
      <c r="C296" s="1" t="n">
        <v>45358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31383-2022</t>
        </is>
      </c>
      <c r="B297" s="1" t="n">
        <v>44774</v>
      </c>
      <c r="C297" s="1" t="n">
        <v>45358</v>
      </c>
      <c r="D297" t="inlineStr">
        <is>
          <t>DALARNAS LÄN</t>
        </is>
      </c>
      <c r="E297" t="inlineStr">
        <is>
          <t>VANSBRO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32017-2022</t>
        </is>
      </c>
      <c r="B298" s="1" t="n">
        <v>44778</v>
      </c>
      <c r="C298" s="1" t="n">
        <v>45358</v>
      </c>
      <c r="D298" t="inlineStr">
        <is>
          <t>DALARNAS LÄN</t>
        </is>
      </c>
      <c r="E298" t="inlineStr">
        <is>
          <t>VANSBRO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33161-2022</t>
        </is>
      </c>
      <c r="B299" s="1" t="n">
        <v>44785</v>
      </c>
      <c r="C299" s="1" t="n">
        <v>45358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33898-2022</t>
        </is>
      </c>
      <c r="B300" s="1" t="n">
        <v>44790</v>
      </c>
      <c r="C300" s="1" t="n">
        <v>45358</v>
      </c>
      <c r="D300" t="inlineStr">
        <is>
          <t>DALARNAS LÄN</t>
        </is>
      </c>
      <c r="E300" t="inlineStr">
        <is>
          <t>VANSBRO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33917-2022</t>
        </is>
      </c>
      <c r="B301" s="1" t="n">
        <v>44790</v>
      </c>
      <c r="C301" s="1" t="n">
        <v>45358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33929-2022</t>
        </is>
      </c>
      <c r="B302" s="1" t="n">
        <v>44790</v>
      </c>
      <c r="C302" s="1" t="n">
        <v>45358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33899-2022</t>
        </is>
      </c>
      <c r="B303" s="1" t="n">
        <v>44790</v>
      </c>
      <c r="C303" s="1" t="n">
        <v>45358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34277-2022</t>
        </is>
      </c>
      <c r="B304" s="1" t="n">
        <v>44791</v>
      </c>
      <c r="C304" s="1" t="n">
        <v>45358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34882-2022</t>
        </is>
      </c>
      <c r="B305" s="1" t="n">
        <v>44796</v>
      </c>
      <c r="C305" s="1" t="n">
        <v>45358</v>
      </c>
      <c r="D305" t="inlineStr">
        <is>
          <t>DALARNAS LÄN</t>
        </is>
      </c>
      <c r="E305" t="inlineStr">
        <is>
          <t>VANSBRO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35365-2022</t>
        </is>
      </c>
      <c r="B306" s="1" t="n">
        <v>44798</v>
      </c>
      <c r="C306" s="1" t="n">
        <v>45358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35649-2022</t>
        </is>
      </c>
      <c r="B307" s="1" t="n">
        <v>44799</v>
      </c>
      <c r="C307" s="1" t="n">
        <v>45358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35669-2022</t>
        </is>
      </c>
      <c r="B308" s="1" t="n">
        <v>44799</v>
      </c>
      <c r="C308" s="1" t="n">
        <v>45358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36721-2022</t>
        </is>
      </c>
      <c r="B309" s="1" t="n">
        <v>44805</v>
      </c>
      <c r="C309" s="1" t="n">
        <v>45358</v>
      </c>
      <c r="D309" t="inlineStr">
        <is>
          <t>DALARNAS LÄN</t>
        </is>
      </c>
      <c r="E309" t="inlineStr">
        <is>
          <t>VANSBRO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36855-2022</t>
        </is>
      </c>
      <c r="B310" s="1" t="n">
        <v>44805</v>
      </c>
      <c r="C310" s="1" t="n">
        <v>45358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36863-2022</t>
        </is>
      </c>
      <c r="B311" s="1" t="n">
        <v>44805</v>
      </c>
      <c r="C311" s="1" t="n">
        <v>45358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37147-2022</t>
        </is>
      </c>
      <c r="B312" s="1" t="n">
        <v>44806</v>
      </c>
      <c r="C312" s="1" t="n">
        <v>45358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</v>
      </c>
      <c r="C313" s="1" t="n">
        <v>45358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38253-2022</t>
        </is>
      </c>
      <c r="B314" s="1" t="n">
        <v>44812</v>
      </c>
      <c r="C314" s="1" t="n">
        <v>45358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38773-2022</t>
        </is>
      </c>
      <c r="B315" s="1" t="n">
        <v>44816</v>
      </c>
      <c r="C315" s="1" t="n">
        <v>45358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39043-2022</t>
        </is>
      </c>
      <c r="B316" s="1" t="n">
        <v>44817</v>
      </c>
      <c r="C316" s="1" t="n">
        <v>45358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39222-2022</t>
        </is>
      </c>
      <c r="B317" s="1" t="n">
        <v>44817</v>
      </c>
      <c r="C317" s="1" t="n">
        <v>45358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39468-2022</t>
        </is>
      </c>
      <c r="B318" s="1" t="n">
        <v>44818</v>
      </c>
      <c r="C318" s="1" t="n">
        <v>45358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39804-2022</t>
        </is>
      </c>
      <c r="B319" s="1" t="n">
        <v>44819</v>
      </c>
      <c r="C319" s="1" t="n">
        <v>45358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39744-2022</t>
        </is>
      </c>
      <c r="B320" s="1" t="n">
        <v>44819</v>
      </c>
      <c r="C320" s="1" t="n">
        <v>45358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39974-2022</t>
        </is>
      </c>
      <c r="B321" s="1" t="n">
        <v>44820</v>
      </c>
      <c r="C321" s="1" t="n">
        <v>45358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41216-2022</t>
        </is>
      </c>
      <c r="B322" s="1" t="n">
        <v>44826</v>
      </c>
      <c r="C322" s="1" t="n">
        <v>45358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41377-2022</t>
        </is>
      </c>
      <c r="B323" s="1" t="n">
        <v>44826</v>
      </c>
      <c r="C323" s="1" t="n">
        <v>45358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41371-2022</t>
        </is>
      </c>
      <c r="B324" s="1" t="n">
        <v>44826</v>
      </c>
      <c r="C324" s="1" t="n">
        <v>45358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41709-2022</t>
        </is>
      </c>
      <c r="B325" s="1" t="n">
        <v>44827</v>
      </c>
      <c r="C325" s="1" t="n">
        <v>45358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42055-2022</t>
        </is>
      </c>
      <c r="B326" s="1" t="n">
        <v>44830</v>
      </c>
      <c r="C326" s="1" t="n">
        <v>45358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42144-2022</t>
        </is>
      </c>
      <c r="B327" s="1" t="n">
        <v>44830</v>
      </c>
      <c r="C327" s="1" t="n">
        <v>45358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42191-2022</t>
        </is>
      </c>
      <c r="B328" s="1" t="n">
        <v>44830</v>
      </c>
      <c r="C328" s="1" t="n">
        <v>45358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42923-2022</t>
        </is>
      </c>
      <c r="B329" s="1" t="n">
        <v>44833</v>
      </c>
      <c r="C329" s="1" t="n">
        <v>45358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43372-2022</t>
        </is>
      </c>
      <c r="B330" s="1" t="n">
        <v>44834</v>
      </c>
      <c r="C330" s="1" t="n">
        <v>45358</v>
      </c>
      <c r="D330" t="inlineStr">
        <is>
          <t>DALARNAS LÄN</t>
        </is>
      </c>
      <c r="E330" t="inlineStr">
        <is>
          <t>VANSBRO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43376-2022</t>
        </is>
      </c>
      <c r="B331" s="1" t="n">
        <v>44834</v>
      </c>
      <c r="C331" s="1" t="n">
        <v>45358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43589-2022</t>
        </is>
      </c>
      <c r="B332" s="1" t="n">
        <v>44837</v>
      </c>
      <c r="C332" s="1" t="n">
        <v>45358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43852-2022</t>
        </is>
      </c>
      <c r="B333" s="1" t="n">
        <v>44838</v>
      </c>
      <c r="C333" s="1" t="n">
        <v>45358</v>
      </c>
      <c r="D333" t="inlineStr">
        <is>
          <t>DALARNAS LÄN</t>
        </is>
      </c>
      <c r="E333" t="inlineStr">
        <is>
          <t>VANSBRO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44478-2022</t>
        </is>
      </c>
      <c r="B334" s="1" t="n">
        <v>44840</v>
      </c>
      <c r="C334" s="1" t="n">
        <v>45358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44644-2022</t>
        </is>
      </c>
      <c r="B335" s="1" t="n">
        <v>44840</v>
      </c>
      <c r="C335" s="1" t="n">
        <v>45358</v>
      </c>
      <c r="D335" t="inlineStr">
        <is>
          <t>DALARNAS LÄN</t>
        </is>
      </c>
      <c r="E335" t="inlineStr">
        <is>
          <t>VANSBRO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44639-2022</t>
        </is>
      </c>
      <c r="B336" s="1" t="n">
        <v>44840</v>
      </c>
      <c r="C336" s="1" t="n">
        <v>45358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44864-2022</t>
        </is>
      </c>
      <c r="B337" s="1" t="n">
        <v>44841</v>
      </c>
      <c r="C337" s="1" t="n">
        <v>45358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46406-2022</t>
        </is>
      </c>
      <c r="B338" s="1" t="n">
        <v>44848</v>
      </c>
      <c r="C338" s="1" t="n">
        <v>45358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46874-2022</t>
        </is>
      </c>
      <c r="B339" s="1" t="n">
        <v>44851</v>
      </c>
      <c r="C339" s="1" t="n">
        <v>45358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46866-2022</t>
        </is>
      </c>
      <c r="B340" s="1" t="n">
        <v>44851</v>
      </c>
      <c r="C340" s="1" t="n">
        <v>45358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</v>
      </c>
      <c r="C341" s="1" t="n">
        <v>45358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48158-2022</t>
        </is>
      </c>
      <c r="B342" s="1" t="n">
        <v>44858</v>
      </c>
      <c r="C342" s="1" t="n">
        <v>45358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49453-2022</t>
        </is>
      </c>
      <c r="B343" s="1" t="n">
        <v>44861</v>
      </c>
      <c r="C343" s="1" t="n">
        <v>45358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49565-2022</t>
        </is>
      </c>
      <c r="B344" s="1" t="n">
        <v>44862</v>
      </c>
      <c r="C344" s="1" t="n">
        <v>45358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50393-2022</t>
        </is>
      </c>
      <c r="B345" s="1" t="n">
        <v>44866</v>
      </c>
      <c r="C345" s="1" t="n">
        <v>45358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50741-2022</t>
        </is>
      </c>
      <c r="B346" s="1" t="n">
        <v>44867</v>
      </c>
      <c r="C346" s="1" t="n">
        <v>45358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50736-2022</t>
        </is>
      </c>
      <c r="B347" s="1" t="n">
        <v>44867</v>
      </c>
      <c r="C347" s="1" t="n">
        <v>45358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51396-2022</t>
        </is>
      </c>
      <c r="B348" s="1" t="n">
        <v>44869</v>
      </c>
      <c r="C348" s="1" t="n">
        <v>45358</v>
      </c>
      <c r="D348" t="inlineStr">
        <is>
          <t>DALARNAS LÄN</t>
        </is>
      </c>
      <c r="E348" t="inlineStr">
        <is>
          <t>VANSBRO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52119-2022</t>
        </is>
      </c>
      <c r="B349" s="1" t="n">
        <v>44873</v>
      </c>
      <c r="C349" s="1" t="n">
        <v>45358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53850-2022</t>
        </is>
      </c>
      <c r="B350" s="1" t="n">
        <v>44880</v>
      </c>
      <c r="C350" s="1" t="n">
        <v>45358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53839-2022</t>
        </is>
      </c>
      <c r="B351" s="1" t="n">
        <v>44880</v>
      </c>
      <c r="C351" s="1" t="n">
        <v>45358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54159-2022</t>
        </is>
      </c>
      <c r="B352" s="1" t="n">
        <v>44881</v>
      </c>
      <c r="C352" s="1" t="n">
        <v>45358</v>
      </c>
      <c r="D352" t="inlineStr">
        <is>
          <t>DALARNAS LÄN</t>
        </is>
      </c>
      <c r="E352" t="inlineStr">
        <is>
          <t>VANSBRO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54023-2022</t>
        </is>
      </c>
      <c r="B353" s="1" t="n">
        <v>44881</v>
      </c>
      <c r="C353" s="1" t="n">
        <v>45358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55078-2022</t>
        </is>
      </c>
      <c r="B354" s="1" t="n">
        <v>44886</v>
      </c>
      <c r="C354" s="1" t="n">
        <v>45358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55346-2022</t>
        </is>
      </c>
      <c r="B355" s="1" t="n">
        <v>44887</v>
      </c>
      <c r="C355" s="1" t="n">
        <v>45358</v>
      </c>
      <c r="D355" t="inlineStr">
        <is>
          <t>DALARNAS LÄN</t>
        </is>
      </c>
      <c r="E355" t="inlineStr">
        <is>
          <t>VANSBRO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56042-2022</t>
        </is>
      </c>
      <c r="B356" s="1" t="n">
        <v>44889</v>
      </c>
      <c r="C356" s="1" t="n">
        <v>45358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57882-2022</t>
        </is>
      </c>
      <c r="B357" s="1" t="n">
        <v>44899</v>
      </c>
      <c r="C357" s="1" t="n">
        <v>45358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59732-2022</t>
        </is>
      </c>
      <c r="B358" s="1" t="n">
        <v>44908</v>
      </c>
      <c r="C358" s="1" t="n">
        <v>45358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59736-2022</t>
        </is>
      </c>
      <c r="B359" s="1" t="n">
        <v>44908</v>
      </c>
      <c r="C359" s="1" t="n">
        <v>45358</v>
      </c>
      <c r="D359" t="inlineStr">
        <is>
          <t>DALARNAS LÄN</t>
        </is>
      </c>
      <c r="E359" t="inlineStr">
        <is>
          <t>VANSBRO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60031-2022</t>
        </is>
      </c>
      <c r="B360" s="1" t="n">
        <v>44909</v>
      </c>
      <c r="C360" s="1" t="n">
        <v>45358</v>
      </c>
      <c r="D360" t="inlineStr">
        <is>
          <t>DALARNAS LÄN</t>
        </is>
      </c>
      <c r="E360" t="inlineStr">
        <is>
          <t>VANSBRO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62143-2022</t>
        </is>
      </c>
      <c r="B361" s="1" t="n">
        <v>44914</v>
      </c>
      <c r="C361" s="1" t="n">
        <v>45358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61051-2022</t>
        </is>
      </c>
      <c r="B362" s="1" t="n">
        <v>44915</v>
      </c>
      <c r="C362" s="1" t="n">
        <v>45358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61053-2022</t>
        </is>
      </c>
      <c r="B363" s="1" t="n">
        <v>44915</v>
      </c>
      <c r="C363" s="1" t="n">
        <v>45358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61418-2022</t>
        </is>
      </c>
      <c r="B364" s="1" t="n">
        <v>44916</v>
      </c>
      <c r="C364" s="1" t="n">
        <v>45358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61515-2022</t>
        </is>
      </c>
      <c r="B365" s="1" t="n">
        <v>44916</v>
      </c>
      <c r="C365" s="1" t="n">
        <v>45358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228-2023</t>
        </is>
      </c>
      <c r="B366" s="1" t="n">
        <v>44922</v>
      </c>
      <c r="C366" s="1" t="n">
        <v>45358</v>
      </c>
      <c r="D366" t="inlineStr">
        <is>
          <t>DALARNAS LÄN</t>
        </is>
      </c>
      <c r="E366" t="inlineStr">
        <is>
          <t>VANSBRO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323-2023</t>
        </is>
      </c>
      <c r="B367" s="1" t="n">
        <v>44922</v>
      </c>
      <c r="C367" s="1" t="n">
        <v>45358</v>
      </c>
      <c r="D367" t="inlineStr">
        <is>
          <t>DALARNAS LÄN</t>
        </is>
      </c>
      <c r="E367" t="inlineStr">
        <is>
          <t>VANSBRO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62622-2022</t>
        </is>
      </c>
      <c r="B368" s="1" t="n">
        <v>44925</v>
      </c>
      <c r="C368" s="1" t="n">
        <v>45358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301-2023</t>
        </is>
      </c>
      <c r="B369" s="1" t="n">
        <v>44929</v>
      </c>
      <c r="C369" s="1" t="n">
        <v>45358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302-2023</t>
        </is>
      </c>
      <c r="B370" s="1" t="n">
        <v>44929</v>
      </c>
      <c r="C370" s="1" t="n">
        <v>45358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299-2023</t>
        </is>
      </c>
      <c r="B371" s="1" t="n">
        <v>44929</v>
      </c>
      <c r="C371" s="1" t="n">
        <v>45358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555-2023</t>
        </is>
      </c>
      <c r="B372" s="1" t="n">
        <v>44930</v>
      </c>
      <c r="C372" s="1" t="n">
        <v>45358</v>
      </c>
      <c r="D372" t="inlineStr">
        <is>
          <t>DALARNAS LÄN</t>
        </is>
      </c>
      <c r="E372" t="inlineStr">
        <is>
          <t>VANSBRO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625-2023</t>
        </is>
      </c>
      <c r="B373" s="1" t="n">
        <v>44930</v>
      </c>
      <c r="C373" s="1" t="n">
        <v>45358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757-2023</t>
        </is>
      </c>
      <c r="B374" s="1" t="n">
        <v>44931</v>
      </c>
      <c r="C374" s="1" t="n">
        <v>45358</v>
      </c>
      <c r="D374" t="inlineStr">
        <is>
          <t>DALARNAS LÄN</t>
        </is>
      </c>
      <c r="E374" t="inlineStr">
        <is>
          <t>VANSBRO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1380-2023</t>
        </is>
      </c>
      <c r="B375" s="1" t="n">
        <v>44936</v>
      </c>
      <c r="C375" s="1" t="n">
        <v>45358</v>
      </c>
      <c r="D375" t="inlineStr">
        <is>
          <t>DALARNAS LÄN</t>
        </is>
      </c>
      <c r="E375" t="inlineStr">
        <is>
          <t>VANSBRO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2310-2023</t>
        </is>
      </c>
      <c r="B376" s="1" t="n">
        <v>44942</v>
      </c>
      <c r="C376" s="1" t="n">
        <v>45358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2472-2023</t>
        </is>
      </c>
      <c r="B377" s="1" t="n">
        <v>44943</v>
      </c>
      <c r="C377" s="1" t="n">
        <v>45358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4680-2023</t>
        </is>
      </c>
      <c r="B378" s="1" t="n">
        <v>44957</v>
      </c>
      <c r="C378" s="1" t="n">
        <v>45358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5295-2023</t>
        </is>
      </c>
      <c r="B379" s="1" t="n">
        <v>44959</v>
      </c>
      <c r="C379" s="1" t="n">
        <v>45358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</v>
      </c>
      <c r="C380" s="1" t="n">
        <v>45358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5477-2023</t>
        </is>
      </c>
      <c r="B381" s="1" t="n">
        <v>44960</v>
      </c>
      <c r="C381" s="1" t="n">
        <v>45358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6534-2023</t>
        </is>
      </c>
      <c r="B382" s="1" t="n">
        <v>44966</v>
      </c>
      <c r="C382" s="1" t="n">
        <v>45358</v>
      </c>
      <c r="D382" t="inlineStr">
        <is>
          <t>DALARNAS LÄN</t>
        </is>
      </c>
      <c r="E382" t="inlineStr">
        <is>
          <t>VANSBRO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6551-2023</t>
        </is>
      </c>
      <c r="B383" s="1" t="n">
        <v>44966</v>
      </c>
      <c r="C383" s="1" t="n">
        <v>45358</v>
      </c>
      <c r="D383" t="inlineStr">
        <is>
          <t>DALARNAS LÄN</t>
        </is>
      </c>
      <c r="E383" t="inlineStr">
        <is>
          <t>VANSBRO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6632-2023</t>
        </is>
      </c>
      <c r="B384" s="1" t="n">
        <v>44966</v>
      </c>
      <c r="C384" s="1" t="n">
        <v>45358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7135-2023</t>
        </is>
      </c>
      <c r="B385" s="1" t="n">
        <v>44970</v>
      </c>
      <c r="C385" s="1" t="n">
        <v>45358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</v>
      </c>
      <c r="C386" s="1" t="n">
        <v>45358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8694-2023</t>
        </is>
      </c>
      <c r="B387" s="1" t="n">
        <v>44972</v>
      </c>
      <c r="C387" s="1" t="n">
        <v>45358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9298-2023</t>
        </is>
      </c>
      <c r="B388" s="1" t="n">
        <v>44980</v>
      </c>
      <c r="C388" s="1" t="n">
        <v>45358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9296-2023</t>
        </is>
      </c>
      <c r="B389" s="1" t="n">
        <v>44980</v>
      </c>
      <c r="C389" s="1" t="n">
        <v>45358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10881-2023</t>
        </is>
      </c>
      <c r="B390" s="1" t="n">
        <v>44991</v>
      </c>
      <c r="C390" s="1" t="n">
        <v>45358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11614-2023</t>
        </is>
      </c>
      <c r="B391" s="1" t="n">
        <v>44994</v>
      </c>
      <c r="C391" s="1" t="n">
        <v>45358</v>
      </c>
      <c r="D391" t="inlineStr">
        <is>
          <t>DALARNAS LÄN</t>
        </is>
      </c>
      <c r="E391" t="inlineStr">
        <is>
          <t>VANSBRO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11625-2023</t>
        </is>
      </c>
      <c r="B392" s="1" t="n">
        <v>44994</v>
      </c>
      <c r="C392" s="1" t="n">
        <v>45358</v>
      </c>
      <c r="D392" t="inlineStr">
        <is>
          <t>DALARNAS LÄN</t>
        </is>
      </c>
      <c r="E392" t="inlineStr">
        <is>
          <t>VANSBRO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12785-2023</t>
        </is>
      </c>
      <c r="B393" s="1" t="n">
        <v>45001</v>
      </c>
      <c r="C393" s="1" t="n">
        <v>45358</v>
      </c>
      <c r="D393" t="inlineStr">
        <is>
          <t>DALARNAS LÄN</t>
        </is>
      </c>
      <c r="E393" t="inlineStr">
        <is>
          <t>VANSBRO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13062-2023</t>
        </is>
      </c>
      <c r="B394" s="1" t="n">
        <v>45002</v>
      </c>
      <c r="C394" s="1" t="n">
        <v>45358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13045-2023</t>
        </is>
      </c>
      <c r="B395" s="1" t="n">
        <v>45002</v>
      </c>
      <c r="C395" s="1" t="n">
        <v>45358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14057-2023</t>
        </is>
      </c>
      <c r="B396" s="1" t="n">
        <v>45008</v>
      </c>
      <c r="C396" s="1" t="n">
        <v>45358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15854-2023</t>
        </is>
      </c>
      <c r="B397" s="1" t="n">
        <v>45022</v>
      </c>
      <c r="C397" s="1" t="n">
        <v>45358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15862-2023</t>
        </is>
      </c>
      <c r="B398" s="1" t="n">
        <v>45022</v>
      </c>
      <c r="C398" s="1" t="n">
        <v>45358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17177-2023</t>
        </is>
      </c>
      <c r="B399" s="1" t="n">
        <v>45034</v>
      </c>
      <c r="C399" s="1" t="n">
        <v>45358</v>
      </c>
      <c r="D399" t="inlineStr">
        <is>
          <t>DALARNAS LÄN</t>
        </is>
      </c>
      <c r="E399" t="inlineStr">
        <is>
          <t>VANSBRO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17941-2023</t>
        </is>
      </c>
      <c r="B400" s="1" t="n">
        <v>45040</v>
      </c>
      <c r="C400" s="1" t="n">
        <v>45358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18326-2023</t>
        </is>
      </c>
      <c r="B401" s="1" t="n">
        <v>45041</v>
      </c>
      <c r="C401" s="1" t="n">
        <v>45358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19330-2023</t>
        </is>
      </c>
      <c r="B402" s="1" t="n">
        <v>45049</v>
      </c>
      <c r="C402" s="1" t="n">
        <v>45358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21026-2023</t>
        </is>
      </c>
      <c r="B403" s="1" t="n">
        <v>45061</v>
      </c>
      <c r="C403" s="1" t="n">
        <v>45358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21418-2023</t>
        </is>
      </c>
      <c r="B404" s="1" t="n">
        <v>45063</v>
      </c>
      <c r="C404" s="1" t="n">
        <v>45358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21441-2023</t>
        </is>
      </c>
      <c r="B405" s="1" t="n">
        <v>45063</v>
      </c>
      <c r="C405" s="1" t="n">
        <v>45358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21466-2023</t>
        </is>
      </c>
      <c r="B406" s="1" t="n">
        <v>45063</v>
      </c>
      <c r="C406" s="1" t="n">
        <v>45358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21850-2023</t>
        </is>
      </c>
      <c r="B407" s="1" t="n">
        <v>45068</v>
      </c>
      <c r="C407" s="1" t="n">
        <v>45358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21965-2023</t>
        </is>
      </c>
      <c r="B408" s="1" t="n">
        <v>45068</v>
      </c>
      <c r="C408" s="1" t="n">
        <v>45358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22155-2023</t>
        </is>
      </c>
      <c r="B409" s="1" t="n">
        <v>45069</v>
      </c>
      <c r="C409" s="1" t="n">
        <v>45358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22209-2023</t>
        </is>
      </c>
      <c r="B410" s="1" t="n">
        <v>45069</v>
      </c>
      <c r="C410" s="1" t="n">
        <v>45358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22018-2023</t>
        </is>
      </c>
      <c r="B411" s="1" t="n">
        <v>45069</v>
      </c>
      <c r="C411" s="1" t="n">
        <v>45358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22500-2023</t>
        </is>
      </c>
      <c r="B412" s="1" t="n">
        <v>45071</v>
      </c>
      <c r="C412" s="1" t="n">
        <v>45358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22624-2023</t>
        </is>
      </c>
      <c r="B413" s="1" t="n">
        <v>45071</v>
      </c>
      <c r="C413" s="1" t="n">
        <v>45358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22885-2023</t>
        </is>
      </c>
      <c r="B414" s="1" t="n">
        <v>45072</v>
      </c>
      <c r="C414" s="1" t="n">
        <v>45358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23698-2023</t>
        </is>
      </c>
      <c r="B415" s="1" t="n">
        <v>45077</v>
      </c>
      <c r="C415" s="1" t="n">
        <v>45358</v>
      </c>
      <c r="D415" t="inlineStr">
        <is>
          <t>DALARNAS LÄN</t>
        </is>
      </c>
      <c r="E415" t="inlineStr">
        <is>
          <t>VANSBRO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23797-2023</t>
        </is>
      </c>
      <c r="B416" s="1" t="n">
        <v>45078</v>
      </c>
      <c r="C416" s="1" t="n">
        <v>45358</v>
      </c>
      <c r="D416" t="inlineStr">
        <is>
          <t>DALARNAS LÄN</t>
        </is>
      </c>
      <c r="E416" t="inlineStr">
        <is>
          <t>VANSBRO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23899-2023</t>
        </is>
      </c>
      <c r="B417" s="1" t="n">
        <v>45078</v>
      </c>
      <c r="C417" s="1" t="n">
        <v>45358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23914-2023</t>
        </is>
      </c>
      <c r="B418" s="1" t="n">
        <v>45078</v>
      </c>
      <c r="C418" s="1" t="n">
        <v>45358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24245-2023</t>
        </is>
      </c>
      <c r="B419" s="1" t="n">
        <v>45079</v>
      </c>
      <c r="C419" s="1" t="n">
        <v>45358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24498-2023</t>
        </is>
      </c>
      <c r="B420" s="1" t="n">
        <v>45082</v>
      </c>
      <c r="C420" s="1" t="n">
        <v>45358</v>
      </c>
      <c r="D420" t="inlineStr">
        <is>
          <t>DALARNAS LÄN</t>
        </is>
      </c>
      <c r="E420" t="inlineStr">
        <is>
          <t>VANSBRO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24481-2023</t>
        </is>
      </c>
      <c r="B421" s="1" t="n">
        <v>45082</v>
      </c>
      <c r="C421" s="1" t="n">
        <v>45358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24685-2023</t>
        </is>
      </c>
      <c r="B422" s="1" t="n">
        <v>45084</v>
      </c>
      <c r="C422" s="1" t="n">
        <v>45358</v>
      </c>
      <c r="D422" t="inlineStr">
        <is>
          <t>DALARNAS LÄN</t>
        </is>
      </c>
      <c r="E422" t="inlineStr">
        <is>
          <t>VANSBRO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24979-2023</t>
        </is>
      </c>
      <c r="B423" s="1" t="n">
        <v>45085</v>
      </c>
      <c r="C423" s="1" t="n">
        <v>45358</v>
      </c>
      <c r="D423" t="inlineStr">
        <is>
          <t>DALARNAS LÄN</t>
        </is>
      </c>
      <c r="E423" t="inlineStr">
        <is>
          <t>VANSBRO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24972-2023</t>
        </is>
      </c>
      <c r="B424" s="1" t="n">
        <v>45085</v>
      </c>
      <c r="C424" s="1" t="n">
        <v>45358</v>
      </c>
      <c r="D424" t="inlineStr">
        <is>
          <t>DALARNAS LÄN</t>
        </is>
      </c>
      <c r="E424" t="inlineStr">
        <is>
          <t>VANSBRO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24982-2023</t>
        </is>
      </c>
      <c r="B425" s="1" t="n">
        <v>45085</v>
      </c>
      <c r="C425" s="1" t="n">
        <v>45358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25127-2023</t>
        </is>
      </c>
      <c r="B426" s="1" t="n">
        <v>45086</v>
      </c>
      <c r="C426" s="1" t="n">
        <v>45358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26537-2023</t>
        </is>
      </c>
      <c r="B427" s="1" t="n">
        <v>45092</v>
      </c>
      <c r="C427" s="1" t="n">
        <v>45358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26536-2023</t>
        </is>
      </c>
      <c r="B428" s="1" t="n">
        <v>45092</v>
      </c>
      <c r="C428" s="1" t="n">
        <v>45358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27067-2023</t>
        </is>
      </c>
      <c r="B429" s="1" t="n">
        <v>45096</v>
      </c>
      <c r="C429" s="1" t="n">
        <v>45358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27263-2023</t>
        </is>
      </c>
      <c r="B430" s="1" t="n">
        <v>45096</v>
      </c>
      <c r="C430" s="1" t="n">
        <v>45358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27137-2023</t>
        </is>
      </c>
      <c r="B431" s="1" t="n">
        <v>45096</v>
      </c>
      <c r="C431" s="1" t="n">
        <v>45358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27712-2023</t>
        </is>
      </c>
      <c r="B432" s="1" t="n">
        <v>45098</v>
      </c>
      <c r="C432" s="1" t="n">
        <v>45358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27873-2023</t>
        </is>
      </c>
      <c r="B433" s="1" t="n">
        <v>45098</v>
      </c>
      <c r="C433" s="1" t="n">
        <v>45358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28962-2023</t>
        </is>
      </c>
      <c r="B434" s="1" t="n">
        <v>45104</v>
      </c>
      <c r="C434" s="1" t="n">
        <v>45358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29512-2023</t>
        </is>
      </c>
      <c r="B435" s="1" t="n">
        <v>45106</v>
      </c>
      <c r="C435" s="1" t="n">
        <v>45358</v>
      </c>
      <c r="D435" t="inlineStr">
        <is>
          <t>DALARNAS LÄN</t>
        </is>
      </c>
      <c r="E435" t="inlineStr">
        <is>
          <t>VANSBRO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29492-2023</t>
        </is>
      </c>
      <c r="B436" s="1" t="n">
        <v>45106</v>
      </c>
      <c r="C436" s="1" t="n">
        <v>45358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30024-2023</t>
        </is>
      </c>
      <c r="B437" s="1" t="n">
        <v>45110</v>
      </c>
      <c r="C437" s="1" t="n">
        <v>45358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30482-2023</t>
        </is>
      </c>
      <c r="B438" s="1" t="n">
        <v>45111</v>
      </c>
      <c r="C438" s="1" t="n">
        <v>45358</v>
      </c>
      <c r="D438" t="inlineStr">
        <is>
          <t>DALARNAS LÄN</t>
        </is>
      </c>
      <c r="E438" t="inlineStr">
        <is>
          <t>VANSBRO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30439-2023</t>
        </is>
      </c>
      <c r="B439" s="1" t="n">
        <v>45111</v>
      </c>
      <c r="C439" s="1" t="n">
        <v>45358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30342-2023</t>
        </is>
      </c>
      <c r="B440" s="1" t="n">
        <v>45111</v>
      </c>
      <c r="C440" s="1" t="n">
        <v>45358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30761-2023</t>
        </is>
      </c>
      <c r="B441" s="1" t="n">
        <v>45112</v>
      </c>
      <c r="C441" s="1" t="n">
        <v>45358</v>
      </c>
      <c r="D441" t="inlineStr">
        <is>
          <t>DALARNAS LÄN</t>
        </is>
      </c>
      <c r="E441" t="inlineStr">
        <is>
          <t>VANSBRO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31137-2023</t>
        </is>
      </c>
      <c r="B442" s="1" t="n">
        <v>45113</v>
      </c>
      <c r="C442" s="1" t="n">
        <v>45358</v>
      </c>
      <c r="D442" t="inlineStr">
        <is>
          <t>DALARNAS LÄN</t>
        </is>
      </c>
      <c r="E442" t="inlineStr">
        <is>
          <t>VANSBRO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31259-2023</t>
        </is>
      </c>
      <c r="B443" s="1" t="n">
        <v>45114</v>
      </c>
      <c r="C443" s="1" t="n">
        <v>45358</v>
      </c>
      <c r="D443" t="inlineStr">
        <is>
          <t>DALARNAS LÄN</t>
        </is>
      </c>
      <c r="E443" t="inlineStr">
        <is>
          <t>VANSBRO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34359-2023</t>
        </is>
      </c>
      <c r="B444" s="1" t="n">
        <v>45139</v>
      </c>
      <c r="C444" s="1" t="n">
        <v>45358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34738-2023</t>
        </is>
      </c>
      <c r="B445" s="1" t="n">
        <v>45141</v>
      </c>
      <c r="C445" s="1" t="n">
        <v>45358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35156-2023</t>
        </is>
      </c>
      <c r="B446" s="1" t="n">
        <v>45145</v>
      </c>
      <c r="C446" s="1" t="n">
        <v>45358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35690-2023</t>
        </is>
      </c>
      <c r="B447" s="1" t="n">
        <v>45147</v>
      </c>
      <c r="C447" s="1" t="n">
        <v>45358</v>
      </c>
      <c r="D447" t="inlineStr">
        <is>
          <t>DALARNAS LÄN</t>
        </is>
      </c>
      <c r="E447" t="inlineStr">
        <is>
          <t>VANSBRO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</v>
      </c>
      <c r="C448" s="1" t="n">
        <v>45358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35692-2023</t>
        </is>
      </c>
      <c r="B449" s="1" t="n">
        <v>45147</v>
      </c>
      <c r="C449" s="1" t="n">
        <v>45358</v>
      </c>
      <c r="D449" t="inlineStr">
        <is>
          <t>DALARNAS LÄN</t>
        </is>
      </c>
      <c r="E449" t="inlineStr">
        <is>
          <t>VANSBRO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35705-2023</t>
        </is>
      </c>
      <c r="B450" s="1" t="n">
        <v>45147</v>
      </c>
      <c r="C450" s="1" t="n">
        <v>45358</v>
      </c>
      <c r="D450" t="inlineStr">
        <is>
          <t>DALARNAS LÄN</t>
        </is>
      </c>
      <c r="E450" t="inlineStr">
        <is>
          <t>VANSBRO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37355-2023</t>
        </is>
      </c>
      <c r="B451" s="1" t="n">
        <v>45156</v>
      </c>
      <c r="C451" s="1" t="n">
        <v>45358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37526-2023</t>
        </is>
      </c>
      <c r="B452" s="1" t="n">
        <v>45158</v>
      </c>
      <c r="C452" s="1" t="n">
        <v>45358</v>
      </c>
      <c r="D452" t="inlineStr">
        <is>
          <t>DALARNAS LÄN</t>
        </is>
      </c>
      <c r="E452" t="inlineStr">
        <is>
          <t>VANSBRO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37878-2023</t>
        </is>
      </c>
      <c r="B453" s="1" t="n">
        <v>45160</v>
      </c>
      <c r="C453" s="1" t="n">
        <v>45358</v>
      </c>
      <c r="D453" t="inlineStr">
        <is>
          <t>DALARNAS LÄN</t>
        </is>
      </c>
      <c r="E453" t="inlineStr">
        <is>
          <t>VANSBRO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37833-2023</t>
        </is>
      </c>
      <c r="B454" s="1" t="n">
        <v>45160</v>
      </c>
      <c r="C454" s="1" t="n">
        <v>45358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37875-2023</t>
        </is>
      </c>
      <c r="B455" s="1" t="n">
        <v>45160</v>
      </c>
      <c r="C455" s="1" t="n">
        <v>45358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39336-2023</t>
        </is>
      </c>
      <c r="B456" s="1" t="n">
        <v>45166</v>
      </c>
      <c r="C456" s="1" t="n">
        <v>45358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39341-2023</t>
        </is>
      </c>
      <c r="B457" s="1" t="n">
        <v>45166</v>
      </c>
      <c r="C457" s="1" t="n">
        <v>45358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39608-2023</t>
        </is>
      </c>
      <c r="B458" s="1" t="n">
        <v>45167</v>
      </c>
      <c r="C458" s="1" t="n">
        <v>45358</v>
      </c>
      <c r="D458" t="inlineStr">
        <is>
          <t>DALARNAS LÄN</t>
        </is>
      </c>
      <c r="E458" t="inlineStr">
        <is>
          <t>VANSBRO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39586-2023</t>
        </is>
      </c>
      <c r="B459" s="1" t="n">
        <v>45167</v>
      </c>
      <c r="C459" s="1" t="n">
        <v>45358</v>
      </c>
      <c r="D459" t="inlineStr">
        <is>
          <t>DALARNAS LÄN</t>
        </is>
      </c>
      <c r="E459" t="inlineStr">
        <is>
          <t>VANSBRO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40293-2023</t>
        </is>
      </c>
      <c r="B460" s="1" t="n">
        <v>45169</v>
      </c>
      <c r="C460" s="1" t="n">
        <v>45358</v>
      </c>
      <c r="D460" t="inlineStr">
        <is>
          <t>DALARNAS LÄN</t>
        </is>
      </c>
      <c r="E460" t="inlineStr">
        <is>
          <t>VANSBRO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40382-2023</t>
        </is>
      </c>
      <c r="B461" s="1" t="n">
        <v>45169</v>
      </c>
      <c r="C461" s="1" t="n">
        <v>45358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40290-2023</t>
        </is>
      </c>
      <c r="B462" s="1" t="n">
        <v>45169</v>
      </c>
      <c r="C462" s="1" t="n">
        <v>45358</v>
      </c>
      <c r="D462" t="inlineStr">
        <is>
          <t>DALARNAS LÄN</t>
        </is>
      </c>
      <c r="E462" t="inlineStr">
        <is>
          <t>VANSBRO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40383-2023</t>
        </is>
      </c>
      <c r="B463" s="1" t="n">
        <v>45169</v>
      </c>
      <c r="C463" s="1" t="n">
        <v>45358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40360-2023</t>
        </is>
      </c>
      <c r="B464" s="1" t="n">
        <v>45169</v>
      </c>
      <c r="C464" s="1" t="n">
        <v>45358</v>
      </c>
      <c r="D464" t="inlineStr">
        <is>
          <t>DALARNAS LÄN</t>
        </is>
      </c>
      <c r="E464" t="inlineStr">
        <is>
          <t>VANSBRO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41530-2023</t>
        </is>
      </c>
      <c r="B465" s="1" t="n">
        <v>45173</v>
      </c>
      <c r="C465" s="1" t="n">
        <v>45358</v>
      </c>
      <c r="D465" t="inlineStr">
        <is>
          <t>DALARNAS LÄN</t>
        </is>
      </c>
      <c r="E465" t="inlineStr">
        <is>
          <t>VANSBRO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41290-2023</t>
        </is>
      </c>
      <c r="B466" s="1" t="n">
        <v>45174</v>
      </c>
      <c r="C466" s="1" t="n">
        <v>45358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41190-2023</t>
        </is>
      </c>
      <c r="B467" s="1" t="n">
        <v>45174</v>
      </c>
      <c r="C467" s="1" t="n">
        <v>45358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41434-2023</t>
        </is>
      </c>
      <c r="B468" s="1" t="n">
        <v>45175</v>
      </c>
      <c r="C468" s="1" t="n">
        <v>45358</v>
      </c>
      <c r="D468" t="inlineStr">
        <is>
          <t>DALARNAS LÄN</t>
        </is>
      </c>
      <c r="E468" t="inlineStr">
        <is>
          <t>VANSBRO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42129-2023</t>
        </is>
      </c>
      <c r="B469" s="1" t="n">
        <v>45177</v>
      </c>
      <c r="C469" s="1" t="n">
        <v>45358</v>
      </c>
      <c r="D469" t="inlineStr">
        <is>
          <t>DALARNAS LÄN</t>
        </is>
      </c>
      <c r="E469" t="inlineStr">
        <is>
          <t>VANSBRO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42482-2023</t>
        </is>
      </c>
      <c r="B470" s="1" t="n">
        <v>45180</v>
      </c>
      <c r="C470" s="1" t="n">
        <v>45358</v>
      </c>
      <c r="D470" t="inlineStr">
        <is>
          <t>DALARNAS LÄN</t>
        </is>
      </c>
      <c r="E470" t="inlineStr">
        <is>
          <t>VANSBRO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42308-2023</t>
        </is>
      </c>
      <c r="B471" s="1" t="n">
        <v>45180</v>
      </c>
      <c r="C471" s="1" t="n">
        <v>45358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42294-2023</t>
        </is>
      </c>
      <c r="B472" s="1" t="n">
        <v>45180</v>
      </c>
      <c r="C472" s="1" t="n">
        <v>45358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42521-2023</t>
        </is>
      </c>
      <c r="B473" s="1" t="n">
        <v>45181</v>
      </c>
      <c r="C473" s="1" t="n">
        <v>45358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42527-2023</t>
        </is>
      </c>
      <c r="B474" s="1" t="n">
        <v>45181</v>
      </c>
      <c r="C474" s="1" t="n">
        <v>45358</v>
      </c>
      <c r="D474" t="inlineStr">
        <is>
          <t>DALARNAS LÄN</t>
        </is>
      </c>
      <c r="E474" t="inlineStr">
        <is>
          <t>VANSBRO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42549-2023</t>
        </is>
      </c>
      <c r="B475" s="1" t="n">
        <v>45181</v>
      </c>
      <c r="C475" s="1" t="n">
        <v>45358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42824-2023</t>
        </is>
      </c>
      <c r="B476" s="1" t="n">
        <v>45182</v>
      </c>
      <c r="C476" s="1" t="n">
        <v>45358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43327-2023</t>
        </is>
      </c>
      <c r="B477" s="1" t="n">
        <v>45183</v>
      </c>
      <c r="C477" s="1" t="n">
        <v>45358</v>
      </c>
      <c r="D477" t="inlineStr">
        <is>
          <t>DALARNAS LÄN</t>
        </is>
      </c>
      <c r="E477" t="inlineStr">
        <is>
          <t>VANSBRO</t>
        </is>
      </c>
      <c r="F477" t="inlineStr">
        <is>
          <t>Övriga statliga verk och myndigheter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43139-2023</t>
        </is>
      </c>
      <c r="B478" s="1" t="n">
        <v>45183</v>
      </c>
      <c r="C478" s="1" t="n">
        <v>45358</v>
      </c>
      <c r="D478" t="inlineStr">
        <is>
          <t>DALARNAS LÄN</t>
        </is>
      </c>
      <c r="E478" t="inlineStr">
        <is>
          <t>VANSBRO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43254-2023</t>
        </is>
      </c>
      <c r="B479" s="1" t="n">
        <v>45183</v>
      </c>
      <c r="C479" s="1" t="n">
        <v>45358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43258-2023</t>
        </is>
      </c>
      <c r="B480" s="1" t="n">
        <v>45183</v>
      </c>
      <c r="C480" s="1" t="n">
        <v>45358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43374-2023</t>
        </is>
      </c>
      <c r="B481" s="1" t="n">
        <v>45183</v>
      </c>
      <c r="C481" s="1" t="n">
        <v>45358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43570-2023</t>
        </is>
      </c>
      <c r="B482" s="1" t="n">
        <v>45184</v>
      </c>
      <c r="C482" s="1" t="n">
        <v>45358</v>
      </c>
      <c r="D482" t="inlineStr">
        <is>
          <t>DALARNAS LÄN</t>
        </is>
      </c>
      <c r="E482" t="inlineStr">
        <is>
          <t>VANSBRO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43658-2023</t>
        </is>
      </c>
      <c r="B483" s="1" t="n">
        <v>45187</v>
      </c>
      <c r="C483" s="1" t="n">
        <v>45358</v>
      </c>
      <c r="D483" t="inlineStr">
        <is>
          <t>DALARNAS LÄN</t>
        </is>
      </c>
      <c r="E483" t="inlineStr">
        <is>
          <t>VANSBRO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44679-2023</t>
        </is>
      </c>
      <c r="B484" s="1" t="n">
        <v>45189</v>
      </c>
      <c r="C484" s="1" t="n">
        <v>45358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44678-2023</t>
        </is>
      </c>
      <c r="B485" s="1" t="n">
        <v>45189</v>
      </c>
      <c r="C485" s="1" t="n">
        <v>45358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44864-2023</t>
        </is>
      </c>
      <c r="B486" s="1" t="n">
        <v>45190</v>
      </c>
      <c r="C486" s="1" t="n">
        <v>45358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45394-2023</t>
        </is>
      </c>
      <c r="B487" s="1" t="n">
        <v>45194</v>
      </c>
      <c r="C487" s="1" t="n">
        <v>45358</v>
      </c>
      <c r="D487" t="inlineStr">
        <is>
          <t>DALARNAS LÄN</t>
        </is>
      </c>
      <c r="E487" t="inlineStr">
        <is>
          <t>VANSBRO</t>
        </is>
      </c>
      <c r="G487" t="n">
        <v>19.7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45608-2023</t>
        </is>
      </c>
      <c r="B488" s="1" t="n">
        <v>45194</v>
      </c>
      <c r="C488" s="1" t="n">
        <v>45358</v>
      </c>
      <c r="D488" t="inlineStr">
        <is>
          <t>DALARNAS LÄN</t>
        </is>
      </c>
      <c r="E488" t="inlineStr">
        <is>
          <t>VANSBRO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45625-2023</t>
        </is>
      </c>
      <c r="B489" s="1" t="n">
        <v>45194</v>
      </c>
      <c r="C489" s="1" t="n">
        <v>45358</v>
      </c>
      <c r="D489" t="inlineStr">
        <is>
          <t>DALARNAS LÄN</t>
        </is>
      </c>
      <c r="E489" t="inlineStr">
        <is>
          <t>VANSBRO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45833-2023</t>
        </is>
      </c>
      <c r="B490" s="1" t="n">
        <v>45195</v>
      </c>
      <c r="C490" s="1" t="n">
        <v>45358</v>
      </c>
      <c r="D490" t="inlineStr">
        <is>
          <t>DALARNAS LÄN</t>
        </is>
      </c>
      <c r="E490" t="inlineStr">
        <is>
          <t>VANSBRO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45888-2023</t>
        </is>
      </c>
      <c r="B491" s="1" t="n">
        <v>45195</v>
      </c>
      <c r="C491" s="1" t="n">
        <v>45358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46093-2023</t>
        </is>
      </c>
      <c r="B492" s="1" t="n">
        <v>45196</v>
      </c>
      <c r="C492" s="1" t="n">
        <v>45358</v>
      </c>
      <c r="D492" t="inlineStr">
        <is>
          <t>DALARNAS LÄN</t>
        </is>
      </c>
      <c r="E492" t="inlineStr">
        <is>
          <t>VANSBRO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46564-2023</t>
        </is>
      </c>
      <c r="B493" s="1" t="n">
        <v>45198</v>
      </c>
      <c r="C493" s="1" t="n">
        <v>45358</v>
      </c>
      <c r="D493" t="inlineStr">
        <is>
          <t>DALARNAS LÄN</t>
        </is>
      </c>
      <c r="E493" t="inlineStr">
        <is>
          <t>VANSBRO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46881-2023</t>
        </is>
      </c>
      <c r="B494" s="1" t="n">
        <v>45201</v>
      </c>
      <c r="C494" s="1" t="n">
        <v>45358</v>
      </c>
      <c r="D494" t="inlineStr">
        <is>
          <t>DALARNAS LÄN</t>
        </is>
      </c>
      <c r="E494" t="inlineStr">
        <is>
          <t>VANSBRO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47014-2023</t>
        </is>
      </c>
      <c r="B495" s="1" t="n">
        <v>45201</v>
      </c>
      <c r="C495" s="1" t="n">
        <v>45358</v>
      </c>
      <c r="D495" t="inlineStr">
        <is>
          <t>DALARNAS LÄN</t>
        </is>
      </c>
      <c r="E495" t="inlineStr">
        <is>
          <t>VANSBRO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46991-2023</t>
        </is>
      </c>
      <c r="B496" s="1" t="n">
        <v>45201</v>
      </c>
      <c r="C496" s="1" t="n">
        <v>45358</v>
      </c>
      <c r="D496" t="inlineStr">
        <is>
          <t>DALARNAS LÄN</t>
        </is>
      </c>
      <c r="E496" t="inlineStr">
        <is>
          <t>VANSBRO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47525-2023</t>
        </is>
      </c>
      <c r="B497" s="1" t="n">
        <v>45203</v>
      </c>
      <c r="C497" s="1" t="n">
        <v>45358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47824-2023</t>
        </is>
      </c>
      <c r="B498" s="1" t="n">
        <v>45204</v>
      </c>
      <c r="C498" s="1" t="n">
        <v>45358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47880-2023</t>
        </is>
      </c>
      <c r="B499" s="1" t="n">
        <v>45204</v>
      </c>
      <c r="C499" s="1" t="n">
        <v>45358</v>
      </c>
      <c r="D499" t="inlineStr">
        <is>
          <t>DALARNAS LÄN</t>
        </is>
      </c>
      <c r="E499" t="inlineStr">
        <is>
          <t>VANSBRO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48166-2023</t>
        </is>
      </c>
      <c r="B500" s="1" t="n">
        <v>45205</v>
      </c>
      <c r="C500" s="1" t="n">
        <v>45358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48366-2023</t>
        </is>
      </c>
      <c r="B501" s="1" t="n">
        <v>45205</v>
      </c>
      <c r="C501" s="1" t="n">
        <v>45358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49698-2023</t>
        </is>
      </c>
      <c r="B502" s="1" t="n">
        <v>45212</v>
      </c>
      <c r="C502" s="1" t="n">
        <v>45358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49795-2023</t>
        </is>
      </c>
      <c r="B503" s="1" t="n">
        <v>45212</v>
      </c>
      <c r="C503" s="1" t="n">
        <v>45358</v>
      </c>
      <c r="D503" t="inlineStr">
        <is>
          <t>DALARNAS LÄN</t>
        </is>
      </c>
      <c r="E503" t="inlineStr">
        <is>
          <t>VANSBRO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49921-2023</t>
        </is>
      </c>
      <c r="B504" s="1" t="n">
        <v>45214</v>
      </c>
      <c r="C504" s="1" t="n">
        <v>45358</v>
      </c>
      <c r="D504" t="inlineStr">
        <is>
          <t>DALARNAS LÄN</t>
        </is>
      </c>
      <c r="E504" t="inlineStr">
        <is>
          <t>VANSBRO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50191-2023</t>
        </is>
      </c>
      <c r="B505" s="1" t="n">
        <v>45215</v>
      </c>
      <c r="C505" s="1" t="n">
        <v>45358</v>
      </c>
      <c r="D505" t="inlineStr">
        <is>
          <t>DALARNAS LÄN</t>
        </is>
      </c>
      <c r="E505" t="inlineStr">
        <is>
          <t>VANSBRO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49932-2023</t>
        </is>
      </c>
      <c r="B506" s="1" t="n">
        <v>45215</v>
      </c>
      <c r="C506" s="1" t="n">
        <v>45358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50141-2023</t>
        </is>
      </c>
      <c r="B507" s="1" t="n">
        <v>45215</v>
      </c>
      <c r="C507" s="1" t="n">
        <v>45358</v>
      </c>
      <c r="D507" t="inlineStr">
        <is>
          <t>DALARNAS LÄN</t>
        </is>
      </c>
      <c r="E507" t="inlineStr">
        <is>
          <t>VANSBRO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50125-2023</t>
        </is>
      </c>
      <c r="B508" s="1" t="n">
        <v>45215</v>
      </c>
      <c r="C508" s="1" t="n">
        <v>45358</v>
      </c>
      <c r="D508" t="inlineStr">
        <is>
          <t>DALARNAS LÄN</t>
        </is>
      </c>
      <c r="E508" t="inlineStr">
        <is>
          <t>VANSBRO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50129-2023</t>
        </is>
      </c>
      <c r="B509" s="1" t="n">
        <v>45215</v>
      </c>
      <c r="C509" s="1" t="n">
        <v>45358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50165-2023</t>
        </is>
      </c>
      <c r="B510" s="1" t="n">
        <v>45215</v>
      </c>
      <c r="C510" s="1" t="n">
        <v>45358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50406-2023</t>
        </is>
      </c>
      <c r="B511" s="1" t="n">
        <v>45216</v>
      </c>
      <c r="C511" s="1" t="n">
        <v>45358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50399-2023</t>
        </is>
      </c>
      <c r="B512" s="1" t="n">
        <v>45216</v>
      </c>
      <c r="C512" s="1" t="n">
        <v>45358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50777-2023</t>
        </is>
      </c>
      <c r="B513" s="1" t="n">
        <v>45217</v>
      </c>
      <c r="C513" s="1" t="n">
        <v>45358</v>
      </c>
      <c r="D513" t="inlineStr">
        <is>
          <t>DALARNAS LÄN</t>
        </is>
      </c>
      <c r="E513" t="inlineStr">
        <is>
          <t>VANSBRO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50808-2023</t>
        </is>
      </c>
      <c r="B514" s="1" t="n">
        <v>45217</v>
      </c>
      <c r="C514" s="1" t="n">
        <v>45358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51003-2023</t>
        </is>
      </c>
      <c r="B515" s="1" t="n">
        <v>45218</v>
      </c>
      <c r="C515" s="1" t="n">
        <v>45358</v>
      </c>
      <c r="D515" t="inlineStr">
        <is>
          <t>DALARNAS LÄN</t>
        </is>
      </c>
      <c r="E515" t="inlineStr">
        <is>
          <t>VANSBRO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51192-2023</t>
        </is>
      </c>
      <c r="B516" s="1" t="n">
        <v>45219</v>
      </c>
      <c r="C516" s="1" t="n">
        <v>45358</v>
      </c>
      <c r="D516" t="inlineStr">
        <is>
          <t>DALARNAS LÄN</t>
        </is>
      </c>
      <c r="E516" t="inlineStr">
        <is>
          <t>VANSBRO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51419-2023</t>
        </is>
      </c>
      <c r="B517" s="1" t="n">
        <v>45219</v>
      </c>
      <c r="C517" s="1" t="n">
        <v>45358</v>
      </c>
      <c r="D517" t="inlineStr">
        <is>
          <t>DALARNAS LÄN</t>
        </is>
      </c>
      <c r="E517" t="inlineStr">
        <is>
          <t>VANSBRO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51501-2023</t>
        </is>
      </c>
      <c r="B518" s="1" t="n">
        <v>45222</v>
      </c>
      <c r="C518" s="1" t="n">
        <v>45358</v>
      </c>
      <c r="D518" t="inlineStr">
        <is>
          <t>DALARNAS LÄN</t>
        </is>
      </c>
      <c r="E518" t="inlineStr">
        <is>
          <t>VANSBRO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51599-2023</t>
        </is>
      </c>
      <c r="B519" s="1" t="n">
        <v>45222</v>
      </c>
      <c r="C519" s="1" t="n">
        <v>45358</v>
      </c>
      <c r="D519" t="inlineStr">
        <is>
          <t>DALARNAS LÄN</t>
        </is>
      </c>
      <c r="E519" t="inlineStr">
        <is>
          <t>VANSBRO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51505-2023</t>
        </is>
      </c>
      <c r="B520" s="1" t="n">
        <v>45222</v>
      </c>
      <c r="C520" s="1" t="n">
        <v>45358</v>
      </c>
      <c r="D520" t="inlineStr">
        <is>
          <t>DALARNAS LÄN</t>
        </is>
      </c>
      <c r="E520" t="inlineStr">
        <is>
          <t>VANSBRO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51601-2023</t>
        </is>
      </c>
      <c r="B521" s="1" t="n">
        <v>45222</v>
      </c>
      <c r="C521" s="1" t="n">
        <v>45358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51606-2023</t>
        </is>
      </c>
      <c r="B522" s="1" t="n">
        <v>45222</v>
      </c>
      <c r="C522" s="1" t="n">
        <v>45358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51686-2023</t>
        </is>
      </c>
      <c r="B523" s="1" t="n">
        <v>45222</v>
      </c>
      <c r="C523" s="1" t="n">
        <v>45358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51980-2023</t>
        </is>
      </c>
      <c r="B524" s="1" t="n">
        <v>45223</v>
      </c>
      <c r="C524" s="1" t="n">
        <v>45358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52378-2023</t>
        </is>
      </c>
      <c r="B525" s="1" t="n">
        <v>45224</v>
      </c>
      <c r="C525" s="1" t="n">
        <v>45358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52574-2023</t>
        </is>
      </c>
      <c r="B526" s="1" t="n">
        <v>45225</v>
      </c>
      <c r="C526" s="1" t="n">
        <v>45358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52572-2023</t>
        </is>
      </c>
      <c r="B527" s="1" t="n">
        <v>45225</v>
      </c>
      <c r="C527" s="1" t="n">
        <v>45358</v>
      </c>
      <c r="D527" t="inlineStr">
        <is>
          <t>DALARNAS LÄN</t>
        </is>
      </c>
      <c r="E527" t="inlineStr">
        <is>
          <t>VANSBRO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53437-2023</t>
        </is>
      </c>
      <c r="B528" s="1" t="n">
        <v>45229</v>
      </c>
      <c r="C528" s="1" t="n">
        <v>45358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53124-2023</t>
        </is>
      </c>
      <c r="B529" s="1" t="n">
        <v>45229</v>
      </c>
      <c r="C529" s="1" t="n">
        <v>45358</v>
      </c>
      <c r="D529" t="inlineStr">
        <is>
          <t>DALARNAS LÄN</t>
        </is>
      </c>
      <c r="E529" t="inlineStr">
        <is>
          <t>VANSBRO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53846-2023</t>
        </is>
      </c>
      <c r="B530" s="1" t="n">
        <v>45231</v>
      </c>
      <c r="C530" s="1" t="n">
        <v>45358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54967-2023</t>
        </is>
      </c>
      <c r="B531" s="1" t="n">
        <v>45236</v>
      </c>
      <c r="C531" s="1" t="n">
        <v>45358</v>
      </c>
      <c r="D531" t="inlineStr">
        <is>
          <t>DALARNAS LÄN</t>
        </is>
      </c>
      <c r="E531" t="inlineStr">
        <is>
          <t>VANSBRO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54964-2023</t>
        </is>
      </c>
      <c r="B532" s="1" t="n">
        <v>45236</v>
      </c>
      <c r="C532" s="1" t="n">
        <v>45358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54968-2023</t>
        </is>
      </c>
      <c r="B533" s="1" t="n">
        <v>45236</v>
      </c>
      <c r="C533" s="1" t="n">
        <v>45358</v>
      </c>
      <c r="D533" t="inlineStr">
        <is>
          <t>DALARNAS LÄN</t>
        </is>
      </c>
      <c r="E533" t="inlineStr">
        <is>
          <t>VANSBRO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54962-2023</t>
        </is>
      </c>
      <c r="B534" s="1" t="n">
        <v>45236</v>
      </c>
      <c r="C534" s="1" t="n">
        <v>45358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54961-2023</t>
        </is>
      </c>
      <c r="B535" s="1" t="n">
        <v>45236</v>
      </c>
      <c r="C535" s="1" t="n">
        <v>45358</v>
      </c>
      <c r="D535" t="inlineStr">
        <is>
          <t>DALARNAS LÄN</t>
        </is>
      </c>
      <c r="E535" t="inlineStr">
        <is>
          <t>VANSBRO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55099-2023</t>
        </is>
      </c>
      <c r="B536" s="1" t="n">
        <v>45237</v>
      </c>
      <c r="C536" s="1" t="n">
        <v>45358</v>
      </c>
      <c r="D536" t="inlineStr">
        <is>
          <t>DALARNAS LÄN</t>
        </is>
      </c>
      <c r="E536" t="inlineStr">
        <is>
          <t>VANSBRO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55089-2023</t>
        </is>
      </c>
      <c r="B537" s="1" t="n">
        <v>45237</v>
      </c>
      <c r="C537" s="1" t="n">
        <v>45358</v>
      </c>
      <c r="D537" t="inlineStr">
        <is>
          <t>DALARNAS LÄN</t>
        </is>
      </c>
      <c r="E537" t="inlineStr">
        <is>
          <t>VANSBRO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55167-2023</t>
        </is>
      </c>
      <c r="B538" s="1" t="n">
        <v>45237</v>
      </c>
      <c r="C538" s="1" t="n">
        <v>45358</v>
      </c>
      <c r="D538" t="inlineStr">
        <is>
          <t>DALARNAS LÄN</t>
        </is>
      </c>
      <c r="E538" t="inlineStr">
        <is>
          <t>VANSBRO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55364-2023</t>
        </is>
      </c>
      <c r="B539" s="1" t="n">
        <v>45238</v>
      </c>
      <c r="C539" s="1" t="n">
        <v>45358</v>
      </c>
      <c r="D539" t="inlineStr">
        <is>
          <t>DALARNAS LÄN</t>
        </is>
      </c>
      <c r="E539" t="inlineStr">
        <is>
          <t>VANSBRO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55570-2023</t>
        </is>
      </c>
      <c r="B540" s="1" t="n">
        <v>45238</v>
      </c>
      <c r="C540" s="1" t="n">
        <v>45358</v>
      </c>
      <c r="D540" t="inlineStr">
        <is>
          <t>DALARNAS LÄN</t>
        </is>
      </c>
      <c r="E540" t="inlineStr">
        <is>
          <t>VANSBRO</t>
        </is>
      </c>
      <c r="F540" t="inlineStr">
        <is>
          <t>Övriga statliga verk och myndigheter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56269-2023</t>
        </is>
      </c>
      <c r="B541" s="1" t="n">
        <v>45241</v>
      </c>
      <c r="C541" s="1" t="n">
        <v>45358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56241-2023</t>
        </is>
      </c>
      <c r="B542" s="1" t="n">
        <v>45240</v>
      </c>
      <c r="C542" s="1" t="n">
        <v>45358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56266-2023</t>
        </is>
      </c>
      <c r="B543" s="1" t="n">
        <v>45240</v>
      </c>
      <c r="C543" s="1" t="n">
        <v>45358</v>
      </c>
      <c r="D543" t="inlineStr">
        <is>
          <t>DALARNAS LÄN</t>
        </is>
      </c>
      <c r="E543" t="inlineStr">
        <is>
          <t>VANSBRO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56144-2023</t>
        </is>
      </c>
      <c r="B544" s="1" t="n">
        <v>45240</v>
      </c>
      <c r="C544" s="1" t="n">
        <v>45358</v>
      </c>
      <c r="D544" t="inlineStr">
        <is>
          <t>DALARNAS LÄN</t>
        </is>
      </c>
      <c r="E544" t="inlineStr">
        <is>
          <t>VANSBRO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56268-2023</t>
        </is>
      </c>
      <c r="B545" s="1" t="n">
        <v>45241</v>
      </c>
      <c r="C545" s="1" t="n">
        <v>45358</v>
      </c>
      <c r="D545" t="inlineStr">
        <is>
          <t>DALARNAS LÄN</t>
        </is>
      </c>
      <c r="E545" t="inlineStr">
        <is>
          <t>VANSBRO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56240-2023</t>
        </is>
      </c>
      <c r="B546" s="1" t="n">
        <v>45240</v>
      </c>
      <c r="C546" s="1" t="n">
        <v>45358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55983-2023</t>
        </is>
      </c>
      <c r="B547" s="1" t="n">
        <v>45240</v>
      </c>
      <c r="C547" s="1" t="n">
        <v>45358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55942-2023</t>
        </is>
      </c>
      <c r="B548" s="1" t="n">
        <v>45240</v>
      </c>
      <c r="C548" s="1" t="n">
        <v>45358</v>
      </c>
      <c r="D548" t="inlineStr">
        <is>
          <t>DALARNAS LÄN</t>
        </is>
      </c>
      <c r="E548" t="inlineStr">
        <is>
          <t>VANSBRO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56267-2023</t>
        </is>
      </c>
      <c r="B549" s="1" t="n">
        <v>45241</v>
      </c>
      <c r="C549" s="1" t="n">
        <v>45358</v>
      </c>
      <c r="D549" t="inlineStr">
        <is>
          <t>DALARNAS LÄN</t>
        </is>
      </c>
      <c r="E549" t="inlineStr">
        <is>
          <t>VANSBRO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56129-2023</t>
        </is>
      </c>
      <c r="B550" s="1" t="n">
        <v>45240</v>
      </c>
      <c r="C550" s="1" t="n">
        <v>45358</v>
      </c>
      <c r="D550" t="inlineStr">
        <is>
          <t>DALARNAS LÄN</t>
        </is>
      </c>
      <c r="E550" t="inlineStr">
        <is>
          <t>VANSBRO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55966-2023</t>
        </is>
      </c>
      <c r="B551" s="1" t="n">
        <v>45240</v>
      </c>
      <c r="C551" s="1" t="n">
        <v>45358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56039-2023</t>
        </is>
      </c>
      <c r="B552" s="1" t="n">
        <v>45240</v>
      </c>
      <c r="C552" s="1" t="n">
        <v>45358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55943-2023</t>
        </is>
      </c>
      <c r="B553" s="1" t="n">
        <v>45240</v>
      </c>
      <c r="C553" s="1" t="n">
        <v>45358</v>
      </c>
      <c r="D553" t="inlineStr">
        <is>
          <t>DALARNAS LÄN</t>
        </is>
      </c>
      <c r="E553" t="inlineStr">
        <is>
          <t>VANSBRO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55939-2023</t>
        </is>
      </c>
      <c r="B554" s="1" t="n">
        <v>45240</v>
      </c>
      <c r="C554" s="1" t="n">
        <v>45358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56359-2023</t>
        </is>
      </c>
      <c r="B555" s="1" t="n">
        <v>45243</v>
      </c>
      <c r="C555" s="1" t="n">
        <v>45358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56773-2023</t>
        </is>
      </c>
      <c r="B556" s="1" t="n">
        <v>45244</v>
      </c>
      <c r="C556" s="1" t="n">
        <v>45358</v>
      </c>
      <c r="D556" t="inlineStr">
        <is>
          <t>DALARNAS LÄN</t>
        </is>
      </c>
      <c r="E556" t="inlineStr">
        <is>
          <t>VANSBRO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56986-2023</t>
        </is>
      </c>
      <c r="B557" s="1" t="n">
        <v>45244</v>
      </c>
      <c r="C557" s="1" t="n">
        <v>45358</v>
      </c>
      <c r="D557" t="inlineStr">
        <is>
          <t>DALARNAS LÄN</t>
        </is>
      </c>
      <c r="E557" t="inlineStr">
        <is>
          <t>VANSBRO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56988-2023</t>
        </is>
      </c>
      <c r="B558" s="1" t="n">
        <v>45244</v>
      </c>
      <c r="C558" s="1" t="n">
        <v>45358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57325-2023</t>
        </is>
      </c>
      <c r="B559" s="1" t="n">
        <v>45245</v>
      </c>
      <c r="C559" s="1" t="n">
        <v>45358</v>
      </c>
      <c r="D559" t="inlineStr">
        <is>
          <t>DALARNAS LÄN</t>
        </is>
      </c>
      <c r="E559" t="inlineStr">
        <is>
          <t>VANSBRO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57703-2023</t>
        </is>
      </c>
      <c r="B560" s="1" t="n">
        <v>45246</v>
      </c>
      <c r="C560" s="1" t="n">
        <v>45358</v>
      </c>
      <c r="D560" t="inlineStr">
        <is>
          <t>DALARNAS LÄN</t>
        </is>
      </c>
      <c r="E560" t="inlineStr">
        <is>
          <t>VANSBRO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57947-2023</t>
        </is>
      </c>
      <c r="B561" s="1" t="n">
        <v>45247</v>
      </c>
      <c r="C561" s="1" t="n">
        <v>45358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58005-2023</t>
        </is>
      </c>
      <c r="B562" s="1" t="n">
        <v>45247</v>
      </c>
      <c r="C562" s="1" t="n">
        <v>45358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58009-2023</t>
        </is>
      </c>
      <c r="B563" s="1" t="n">
        <v>45247</v>
      </c>
      <c r="C563" s="1" t="n">
        <v>45358</v>
      </c>
      <c r="D563" t="inlineStr">
        <is>
          <t>DALARNAS LÄN</t>
        </is>
      </c>
      <c r="E563" t="inlineStr">
        <is>
          <t>VANSBRO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57810-2023</t>
        </is>
      </c>
      <c r="B564" s="1" t="n">
        <v>45247</v>
      </c>
      <c r="C564" s="1" t="n">
        <v>45358</v>
      </c>
      <c r="D564" t="inlineStr">
        <is>
          <t>DALARNAS LÄN</t>
        </is>
      </c>
      <c r="E564" t="inlineStr">
        <is>
          <t>VANSBRO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58477-2023</t>
        </is>
      </c>
      <c r="B565" s="1" t="n">
        <v>45251</v>
      </c>
      <c r="C565" s="1" t="n">
        <v>45358</v>
      </c>
      <c r="D565" t="inlineStr">
        <is>
          <t>DALARNAS LÄN</t>
        </is>
      </c>
      <c r="E565" t="inlineStr">
        <is>
          <t>VANSBRO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58500-2023</t>
        </is>
      </c>
      <c r="B566" s="1" t="n">
        <v>45251</v>
      </c>
      <c r="C566" s="1" t="n">
        <v>45358</v>
      </c>
      <c r="D566" t="inlineStr">
        <is>
          <t>DALARNAS LÄN</t>
        </is>
      </c>
      <c r="E566" t="inlineStr">
        <is>
          <t>VANSBRO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59161-2023</t>
        </is>
      </c>
      <c r="B567" s="1" t="n">
        <v>45251</v>
      </c>
      <c r="C567" s="1" t="n">
        <v>45358</v>
      </c>
      <c r="D567" t="inlineStr">
        <is>
          <t>DALARNAS LÄN</t>
        </is>
      </c>
      <c r="E567" t="inlineStr">
        <is>
          <t>VANSBRO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58984-2023</t>
        </is>
      </c>
      <c r="B568" s="1" t="n">
        <v>45252</v>
      </c>
      <c r="C568" s="1" t="n">
        <v>45358</v>
      </c>
      <c r="D568" t="inlineStr">
        <is>
          <t>DALARNAS LÄN</t>
        </is>
      </c>
      <c r="E568" t="inlineStr">
        <is>
          <t>VANSBRO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58989-2023</t>
        </is>
      </c>
      <c r="B569" s="1" t="n">
        <v>45252</v>
      </c>
      <c r="C569" s="1" t="n">
        <v>45358</v>
      </c>
      <c r="D569" t="inlineStr">
        <is>
          <t>DALARNAS LÄN</t>
        </is>
      </c>
      <c r="E569" t="inlineStr">
        <is>
          <t>VANSBRO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59120-2023</t>
        </is>
      </c>
      <c r="B570" s="1" t="n">
        <v>45253</v>
      </c>
      <c r="C570" s="1" t="n">
        <v>45358</v>
      </c>
      <c r="D570" t="inlineStr">
        <is>
          <t>DALARNAS LÄN</t>
        </is>
      </c>
      <c r="E570" t="inlineStr">
        <is>
          <t>VANSBRO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59435-2023</t>
        </is>
      </c>
      <c r="B571" s="1" t="n">
        <v>45254</v>
      </c>
      <c r="C571" s="1" t="n">
        <v>45358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59449-2023</t>
        </is>
      </c>
      <c r="B572" s="1" t="n">
        <v>45254</v>
      </c>
      <c r="C572" s="1" t="n">
        <v>45358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59600-2023</t>
        </is>
      </c>
      <c r="B573" s="1" t="n">
        <v>45254</v>
      </c>
      <c r="C573" s="1" t="n">
        <v>45358</v>
      </c>
      <c r="D573" t="inlineStr">
        <is>
          <t>DALARNAS LÄN</t>
        </is>
      </c>
      <c r="E573" t="inlineStr">
        <is>
          <t>VANSBRO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59439-2023</t>
        </is>
      </c>
      <c r="B574" s="1" t="n">
        <v>45254</v>
      </c>
      <c r="C574" s="1" t="n">
        <v>45358</v>
      </c>
      <c r="D574" t="inlineStr">
        <is>
          <t>DALARNAS LÄN</t>
        </is>
      </c>
      <c r="E574" t="inlineStr">
        <is>
          <t>VANSBRO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59994-2023</t>
        </is>
      </c>
      <c r="B575" s="1" t="n">
        <v>45254</v>
      </c>
      <c r="C575" s="1" t="n">
        <v>45358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59993-2023</t>
        </is>
      </c>
      <c r="B576" s="1" t="n">
        <v>45254</v>
      </c>
      <c r="C576" s="1" t="n">
        <v>45358</v>
      </c>
      <c r="D576" t="inlineStr">
        <is>
          <t>DALARNAS LÄN</t>
        </is>
      </c>
      <c r="E576" t="inlineStr">
        <is>
          <t>VANSBRO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59905-2023</t>
        </is>
      </c>
      <c r="B577" s="1" t="n">
        <v>45257</v>
      </c>
      <c r="C577" s="1" t="n">
        <v>45358</v>
      </c>
      <c r="D577" t="inlineStr">
        <is>
          <t>DALARNAS LÄN</t>
        </is>
      </c>
      <c r="E577" t="inlineStr">
        <is>
          <t>VANSBRO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45358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60548-2023</t>
        </is>
      </c>
      <c r="B579" s="1" t="n">
        <v>45259</v>
      </c>
      <c r="C579" s="1" t="n">
        <v>45358</v>
      </c>
      <c r="D579" t="inlineStr">
        <is>
          <t>DALARNAS LÄN</t>
        </is>
      </c>
      <c r="E579" t="inlineStr">
        <is>
          <t>VANSBRO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60341-2023</t>
        </is>
      </c>
      <c r="B580" s="1" t="n">
        <v>45259</v>
      </c>
      <c r="C580" s="1" t="n">
        <v>45358</v>
      </c>
      <c r="D580" t="inlineStr">
        <is>
          <t>DALARNAS LÄN</t>
        </is>
      </c>
      <c r="E580" t="inlineStr">
        <is>
          <t>VANSBRO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45358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45358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61216-2023</t>
        </is>
      </c>
      <c r="B583" s="1" t="n">
        <v>45264</v>
      </c>
      <c r="C583" s="1" t="n">
        <v>45358</v>
      </c>
      <c r="D583" t="inlineStr">
        <is>
          <t>DALARNAS LÄN</t>
        </is>
      </c>
      <c r="E583" t="inlineStr">
        <is>
          <t>VANSBRO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61319-2023</t>
        </is>
      </c>
      <c r="B584" s="1" t="n">
        <v>45264</v>
      </c>
      <c r="C584" s="1" t="n">
        <v>45358</v>
      </c>
      <c r="D584" t="inlineStr">
        <is>
          <t>DALARNAS LÄN</t>
        </is>
      </c>
      <c r="E584" t="inlineStr">
        <is>
          <t>VANSBRO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61326-2023</t>
        </is>
      </c>
      <c r="B585" s="1" t="n">
        <v>45264</v>
      </c>
      <c r="C585" s="1" t="n">
        <v>45358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45358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45358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45358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45358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45358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45358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45358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45358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63594-2023</t>
        </is>
      </c>
      <c r="B594" s="1" t="n">
        <v>45275</v>
      </c>
      <c r="C594" s="1" t="n">
        <v>45358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63570-2023</t>
        </is>
      </c>
      <c r="B595" s="1" t="n">
        <v>45275</v>
      </c>
      <c r="C595" s="1" t="n">
        <v>45358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45358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45358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45358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45358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45358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419-2024</t>
        </is>
      </c>
      <c r="B601" s="1" t="n">
        <v>45296</v>
      </c>
      <c r="C601" s="1" t="n">
        <v>45358</v>
      </c>
      <c r="D601" t="inlineStr">
        <is>
          <t>DALARNAS LÄN</t>
        </is>
      </c>
      <c r="E601" t="inlineStr">
        <is>
          <t>VANSBRO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45358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387-2024</t>
        </is>
      </c>
      <c r="B603" s="1" t="n">
        <v>45296</v>
      </c>
      <c r="C603" s="1" t="n">
        <v>45358</v>
      </c>
      <c r="D603" t="inlineStr">
        <is>
          <t>DALARNAS LÄN</t>
        </is>
      </c>
      <c r="E603" t="inlineStr">
        <is>
          <t>VANSBRO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45358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45358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45358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2192-2024</t>
        </is>
      </c>
      <c r="B607" s="1" t="n">
        <v>45309</v>
      </c>
      <c r="C607" s="1" t="n">
        <v>45358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2086-2024</t>
        </is>
      </c>
      <c r="B608" s="1" t="n">
        <v>45309</v>
      </c>
      <c r="C608" s="1" t="n">
        <v>45358</v>
      </c>
      <c r="D608" t="inlineStr">
        <is>
          <t>DALARNAS LÄN</t>
        </is>
      </c>
      <c r="E608" t="inlineStr">
        <is>
          <t>VANSBRO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2941-2024</t>
        </is>
      </c>
      <c r="B609" s="1" t="n">
        <v>45315</v>
      </c>
      <c r="C609" s="1" t="n">
        <v>45358</v>
      </c>
      <c r="D609" t="inlineStr">
        <is>
          <t>DALARNAS LÄN</t>
        </is>
      </c>
      <c r="E609" t="inlineStr">
        <is>
          <t>VANSBRO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2938-2024</t>
        </is>
      </c>
      <c r="B610" s="1" t="n">
        <v>45315</v>
      </c>
      <c r="C610" s="1" t="n">
        <v>45358</v>
      </c>
      <c r="D610" t="inlineStr">
        <is>
          <t>DALARNAS LÄN</t>
        </is>
      </c>
      <c r="E610" t="inlineStr">
        <is>
          <t>VANSBRO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45358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3641-2024</t>
        </is>
      </c>
      <c r="B612" s="1" t="n">
        <v>45321</v>
      </c>
      <c r="C612" s="1" t="n">
        <v>45358</v>
      </c>
      <c r="D612" t="inlineStr">
        <is>
          <t>DALARNAS LÄN</t>
        </is>
      </c>
      <c r="E612" t="inlineStr">
        <is>
          <t>VANSBRO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3739-2024</t>
        </is>
      </c>
      <c r="B613" s="1" t="n">
        <v>45321</v>
      </c>
      <c r="C613" s="1" t="n">
        <v>45358</v>
      </c>
      <c r="D613" t="inlineStr">
        <is>
          <t>DALARNAS LÄN</t>
        </is>
      </c>
      <c r="E613" t="inlineStr">
        <is>
          <t>VANSBRO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3843-2024</t>
        </is>
      </c>
      <c r="B614" s="1" t="n">
        <v>45322</v>
      </c>
      <c r="C614" s="1" t="n">
        <v>45358</v>
      </c>
      <c r="D614" t="inlineStr">
        <is>
          <t>DALARNAS LÄN</t>
        </is>
      </c>
      <c r="E614" t="inlineStr">
        <is>
          <t>VANSBRO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3929-2024</t>
        </is>
      </c>
      <c r="B615" s="1" t="n">
        <v>45322</v>
      </c>
      <c r="C615" s="1" t="n">
        <v>45358</v>
      </c>
      <c r="D615" t="inlineStr">
        <is>
          <t>DALARNAS LÄN</t>
        </is>
      </c>
      <c r="E615" t="inlineStr">
        <is>
          <t>VANSBRO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3854-2024</t>
        </is>
      </c>
      <c r="B616" s="1" t="n">
        <v>45322</v>
      </c>
      <c r="C616" s="1" t="n">
        <v>45358</v>
      </c>
      <c r="D616" t="inlineStr">
        <is>
          <t>DALARNAS LÄN</t>
        </is>
      </c>
      <c r="E616" t="inlineStr">
        <is>
          <t>VANSBRO</t>
        </is>
      </c>
      <c r="F616" t="inlineStr">
        <is>
          <t>Kyrkan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4039-2024</t>
        </is>
      </c>
      <c r="B617" s="1" t="n">
        <v>45323</v>
      </c>
      <c r="C617" s="1" t="n">
        <v>45358</v>
      </c>
      <c r="D617" t="inlineStr">
        <is>
          <t>DALARNAS LÄN</t>
        </is>
      </c>
      <c r="E617" t="inlineStr">
        <is>
          <t>VANSBRO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5377-2024</t>
        </is>
      </c>
      <c r="B618" s="1" t="n">
        <v>45331</v>
      </c>
      <c r="C618" s="1" t="n">
        <v>45358</v>
      </c>
      <c r="D618" t="inlineStr">
        <is>
          <t>DALARNAS LÄN</t>
        </is>
      </c>
      <c r="E618" t="inlineStr">
        <is>
          <t>VANSBRO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5386-2024</t>
        </is>
      </c>
      <c r="B619" s="1" t="n">
        <v>45331</v>
      </c>
      <c r="C619" s="1" t="n">
        <v>45358</v>
      </c>
      <c r="D619" t="inlineStr">
        <is>
          <t>DALARNAS LÄN</t>
        </is>
      </c>
      <c r="E619" t="inlineStr">
        <is>
          <t>VANSBRO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5420-2024</t>
        </is>
      </c>
      <c r="B620" s="1" t="n">
        <v>45331</v>
      </c>
      <c r="C620" s="1" t="n">
        <v>45358</v>
      </c>
      <c r="D620" t="inlineStr">
        <is>
          <t>DALARNAS LÄN</t>
        </is>
      </c>
      <c r="E620" t="inlineStr">
        <is>
          <t>VANSBRO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6740-2024</t>
        </is>
      </c>
      <c r="B621" s="1" t="n">
        <v>45342</v>
      </c>
      <c r="C621" s="1" t="n">
        <v>45358</v>
      </c>
      <c r="D621" t="inlineStr">
        <is>
          <t>DALARNAS LÄN</t>
        </is>
      </c>
      <c r="E621" t="inlineStr">
        <is>
          <t>VANSBRO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7864-2024</t>
        </is>
      </c>
      <c r="B622" s="1" t="n">
        <v>45350</v>
      </c>
      <c r="C622" s="1" t="n">
        <v>45358</v>
      </c>
      <c r="D622" t="inlineStr">
        <is>
          <t>DALARNAS LÄN</t>
        </is>
      </c>
      <c r="E622" t="inlineStr">
        <is>
          <t>VANSBRO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8278-2024</t>
        </is>
      </c>
      <c r="B623" s="1" t="n">
        <v>45352</v>
      </c>
      <c r="C623" s="1" t="n">
        <v>45358</v>
      </c>
      <c r="D623" t="inlineStr">
        <is>
          <t>DALARNAS LÄN</t>
        </is>
      </c>
      <c r="E623" t="inlineStr">
        <is>
          <t>VANSBRO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8467-2024</t>
        </is>
      </c>
      <c r="B624" s="1" t="n">
        <v>45355</v>
      </c>
      <c r="C624" s="1" t="n">
        <v>45358</v>
      </c>
      <c r="D624" t="inlineStr">
        <is>
          <t>DALARNAS LÄN</t>
        </is>
      </c>
      <c r="E624" t="inlineStr">
        <is>
          <t>VANSBRO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2024-03-07T13:22:35Z</dcterms:created>
  <dcterms:modified xmlns:dcterms="http://purl.org/dc/terms/" xmlns:xsi="http://www.w3.org/2001/XMLSchema-instance" xsi:type="dcterms:W3CDTF">2024-03-07T13:22:35Z</dcterms:modified>
</cp:coreProperties>
</file>