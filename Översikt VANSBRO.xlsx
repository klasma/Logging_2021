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37715-2025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45880</v>
      </c>
      <c r="E5" s="1" t="n">
        <v>46229</v>
      </c>
      <c r="F5" t="inlineStr">
        <is>
          <t>DALARNAS LÄN</t>
        </is>
      </c>
      <c r="G5" t="inlineStr">
        <is>
          <t>VANSBRO</t>
        </is>
      </c>
      <c r="I5" t="n">
        <v>12.5</v>
      </c>
      <c r="J5" t="n">
        <v>4</v>
      </c>
      <c r="K5" t="n">
        <v>1</v>
      </c>
      <c r="L5" t="n">
        <v>8</v>
      </c>
      <c r="M5" t="n">
        <v>1</v>
      </c>
      <c r="N5" t="n">
        <v>0</v>
      </c>
      <c r="O5" t="n">
        <v>0</v>
      </c>
      <c r="P5" t="n">
        <v>0</v>
      </c>
      <c r="Q5" t="n">
        <v>9</v>
      </c>
      <c r="R5" t="n">
        <v>1</v>
      </c>
      <c r="S5" t="n">
        <v>13</v>
      </c>
      <c r="T5" t="n">
        <v>95</v>
      </c>
      <c r="U5" t="n">
        <v>95</v>
      </c>
      <c r="V5" s="2" t="inlineStr">
        <is>
          <t>Garnlav
Dropptaggsvamp
Kolflarnlav
Lunglav
Mörk kolflarnlav
Tallticka
Tretåig hackspett
Ullticka
Vedskivlav
Mindre märgborre
Spillkråka
Tjäder
Fläcknycklar</t>
        </is>
      </c>
      <c r="W5">
        <f>HYPERLINK("https://klasma.github.io/Logging_2021/artfynd/A 37715-2025 artfynd.xlsx", "A 37715-2025")</f>
        <v/>
      </c>
      <c r="X5">
        <f>HYPERLINK("https://klasma.github.io/Logging_2021/kartor/A 37715-2025 karta.png", "A 37715-2025")</f>
        <v/>
      </c>
      <c r="Y5">
        <f>HYPERLINK("https://klasma.github.io/Logging_2021/kartor_geotiff/A 37715-2025 georefererad karta.tif", "A 37715-2025")</f>
        <v/>
      </c>
      <c r="AA5">
        <f>HYPERLINK("https://klasma.github.io/Logging_2021/klagomål/A 37715-2025 FSC-klagomål.docx", "A 37715-2025")</f>
        <v/>
      </c>
      <c r="AB5">
        <f>HYPERLINK("https://klasma.github.io/Logging_2021/klagomålsmail/A 37715-2025 FSC-klagomål mail.docx", "A 37715-2025")</f>
        <v/>
      </c>
      <c r="AC5">
        <f>HYPERLINK("https://klasma.github.io/Logging_2021/tillsyn/A 37715-2025 tillsynsbegäran.docx", "A 37715-2025")</f>
        <v/>
      </c>
      <c r="AD5">
        <f>HYPERLINK("https://klasma.github.io/Logging_2021/tillsynsmail/A 37715-2025 tillsynsbegäran mail.docx", "A 37715-2025")</f>
        <v/>
      </c>
      <c r="AE5">
        <f>HYPERLINK("https://klasma.github.io/Logging_2021/fåglar/A 37715-2025 prioriterade fågelarter.docx", "A 37715-2025")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46229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3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45</v>
      </c>
      <c r="U6" t="n">
        <v>0</v>
      </c>
      <c r="V6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46229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46229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46229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46229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64</v>
      </c>
      <c r="U11" t="n">
        <v>64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46229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46229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46229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2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7</v>
      </c>
      <c r="T14" t="n">
        <v>13</v>
      </c>
      <c r="U14" t="n">
        <v>13</v>
      </c>
      <c r="V14" s="2" t="inlineStr">
        <is>
          <t>Garnlav
Knärot
Kattfotslav
Tretåig hackspett
Ullticka
Vedskivlav
Vedticka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46229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46229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46229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46229</v>
      </c>
      <c r="F18" t="inlineStr">
        <is>
          <t>DALARNAS LÄN</t>
        </is>
      </c>
      <c r="G18" t="inlineStr">
        <is>
          <t>VANSBRO</t>
        </is>
      </c>
      <c r="I18" t="n">
        <v>5.3</v>
      </c>
      <c r="J18" t="n">
        <v>3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5</v>
      </c>
      <c r="T18" t="n">
        <v>28</v>
      </c>
      <c r="U18" t="n">
        <v>28</v>
      </c>
      <c r="V18" s="2" t="inlineStr">
        <is>
          <t>Garnlav
Knärot
Tretåig hackspett
Ullticka
Tjäder</t>
        </is>
      </c>
      <c r="W18">
        <f>HYPERLINK("https://klasma.github.io/Logging_2021/artfynd/A 3363-2026 artfynd.xlsx", "A 3363-2026")</f>
        <v/>
      </c>
      <c r="X18">
        <f>HYPERLINK("https://klasma.github.io/Logging_2021/kartor/A 3363-2026 karta.png", "A 3363-2026")</f>
        <v/>
      </c>
      <c r="Y18">
        <f>HYPERLINK("https://klasma.github.io/Logging_2021/kartor_geotiff/A 3363-2026 georefererad karta.tif", "A 3363-2026")</f>
        <v/>
      </c>
      <c r="Z18">
        <f>HYPERLINK("https://klasma.github.io/Logging_2021/knärot/A 3363-2026 karta knärot.png", "A 3363-2026")</f>
        <v/>
      </c>
      <c r="AA18">
        <f>HYPERLINK("https://klasma.github.io/Logging_2021/klagomål/A 3363-2026 FSC-klagomål.docx", "A 3363-2026")</f>
        <v/>
      </c>
      <c r="AB18">
        <f>HYPERLINK("https://klasma.github.io/Logging_2021/klagomålsmail/A 3363-2026 FSC-klagomål mail.docx", "A 3363-2026")</f>
        <v/>
      </c>
      <c r="AC18">
        <f>HYPERLINK("https://klasma.github.io/Logging_2021/tillsyn/A 3363-2026 tillsynsbegäran.docx", "A 3363-2026")</f>
        <v/>
      </c>
      <c r="AD18">
        <f>HYPERLINK("https://klasma.github.io/Logging_2021/tillsynsmail/A 3363-2026 tillsynsbegäran mail.docx", "A 3363-2026")</f>
        <v/>
      </c>
      <c r="AE18">
        <f>HYPERLINK("https://klasma.github.io/Logging_2021/fåglar/A 3363-2026 prioriterade fågelarter.docx", "A 3363-2026")</f>
        <v/>
      </c>
    </row>
    <row r="19" ht="15" customHeight="1">
      <c r="A19" t="inlineStr">
        <is>
          <t>A 33962-2025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45842</v>
      </c>
      <c r="E19" s="1" t="n">
        <v>46229</v>
      </c>
      <c r="F19" t="inlineStr">
        <is>
          <t>DALARNAS LÄN</t>
        </is>
      </c>
      <c r="G19" t="inlineStr">
        <is>
          <t>VANSBRO</t>
        </is>
      </c>
      <c r="I19" t="n">
        <v>7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19</v>
      </c>
      <c r="U19" t="n">
        <v>19</v>
      </c>
      <c r="V19" s="2" t="inlineStr">
        <is>
          <t>Garnlav
Knärot
Lunglav
Tretåig hackspett
Vedticka</t>
        </is>
      </c>
      <c r="W19">
        <f>HYPERLINK("https://klasma.github.io/Logging_2021/artfynd/A 33962-2025 artfynd.xlsx", "A 33962-2025")</f>
        <v/>
      </c>
      <c r="X19">
        <f>HYPERLINK("https://klasma.github.io/Logging_2021/kartor/A 33962-2025 karta.png", "A 33962-2025")</f>
        <v/>
      </c>
      <c r="Y19">
        <f>HYPERLINK("https://klasma.github.io/Logging_2021/kartor_geotiff/A 33962-2025 georefererad karta.tif", "A 33962-2025")</f>
        <v/>
      </c>
      <c r="Z19">
        <f>HYPERLINK("https://klasma.github.io/Logging_2021/knärot/A 33962-2025 karta knärot.png", "A 33962-2025")</f>
        <v/>
      </c>
      <c r="AA19">
        <f>HYPERLINK("https://klasma.github.io/Logging_2021/klagomål/A 33962-2025 FSC-klagomål.docx", "A 33962-2025")</f>
        <v/>
      </c>
      <c r="AB19">
        <f>HYPERLINK("https://klasma.github.io/Logging_2021/klagomålsmail/A 33962-2025 FSC-klagomål mail.docx", "A 33962-2025")</f>
        <v/>
      </c>
      <c r="AC19">
        <f>HYPERLINK("https://klasma.github.io/Logging_2021/tillsyn/A 33962-2025 tillsynsbegäran.docx", "A 33962-2025")</f>
        <v/>
      </c>
      <c r="AD19">
        <f>HYPERLINK("https://klasma.github.io/Logging_2021/tillsynsmail/A 33962-2025 tillsynsbegäran mail.docx", "A 33962-2025")</f>
        <v/>
      </c>
      <c r="AE19">
        <f>HYPERLINK("https://klasma.github.io/Logging_2021/fåglar/A 33962-2025 prioriterade fågelarter.docx", "A 33962-2025")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46229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46229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46229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46229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46229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16725-2024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45409</v>
      </c>
      <c r="E25" s="1" t="n">
        <v>46229</v>
      </c>
      <c r="F25" t="inlineStr">
        <is>
          <t>DALARNAS LÄN</t>
        </is>
      </c>
      <c r="G25" t="inlineStr">
        <is>
          <t>VANSBRO</t>
        </is>
      </c>
      <c r="I25" t="n">
        <v>3.1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Dropptaggsvamp
Skuggblåslav
Bollvitmossa</t>
        </is>
      </c>
      <c r="W25">
        <f>HYPERLINK("https://klasma.github.io/Logging_2021/artfynd/A 16725-2024 artfynd.xlsx", "A 16725-2024")</f>
        <v/>
      </c>
      <c r="X25">
        <f>HYPERLINK("https://klasma.github.io/Logging_2021/kartor/A 16725-2024 karta.png", "A 16725-2024")</f>
        <v/>
      </c>
      <c r="Y25">
        <f>HYPERLINK("https://klasma.github.io/Logging_2021/kartor_geotiff/A 16725-2024 georefererad karta.tif", "A 16725-2024")</f>
        <v/>
      </c>
      <c r="AA25">
        <f>HYPERLINK("https://klasma.github.io/Logging_2021/klagomål/A 16725-2024 FSC-klagomål.docx", "A 16725-2024")</f>
        <v/>
      </c>
      <c r="AB25">
        <f>HYPERLINK("https://klasma.github.io/Logging_2021/klagomålsmail/A 16725-2024 FSC-klagomål mail.docx", "A 16725-2024")</f>
        <v/>
      </c>
      <c r="AC25">
        <f>HYPERLINK("https://klasma.github.io/Logging_2021/tillsyn/A 16725-2024 tillsynsbegäran.docx", "A 16725-2024")</f>
        <v/>
      </c>
      <c r="AD25">
        <f>HYPERLINK("https://klasma.github.io/Logging_2021/tillsynsmail/A 16725-2024 tillsynsbegäran mail.docx", "A 16725-2024")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46229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11433-2025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45726</v>
      </c>
      <c r="E27" s="1" t="n">
        <v>46229</v>
      </c>
      <c r="F27" t="inlineStr">
        <is>
          <t>DALARNAS LÄN</t>
        </is>
      </c>
      <c r="G27" t="inlineStr">
        <is>
          <t>VANSBRO</t>
        </is>
      </c>
      <c r="I27" t="n">
        <v>7.5</v>
      </c>
      <c r="J27" t="n">
        <v>1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24</v>
      </c>
      <c r="U27" t="n">
        <v>24</v>
      </c>
      <c r="V27" s="2" t="inlineStr">
        <is>
          <t>Garnlav
Knärot
Bollvitmossa</t>
        </is>
      </c>
      <c r="W27">
        <f>HYPERLINK("https://klasma.github.io/Logging_2021/artfynd/A 11433-2025 artfynd.xlsx", "A 11433-2025")</f>
        <v/>
      </c>
      <c r="X27">
        <f>HYPERLINK("https://klasma.github.io/Logging_2021/kartor/A 11433-2025 karta.png", "A 11433-2025")</f>
        <v/>
      </c>
      <c r="Y27">
        <f>HYPERLINK("https://klasma.github.io/Logging_2021/kartor_geotiff/A 11433-2025 georefererad karta.tif", "A 11433-2025")</f>
        <v/>
      </c>
      <c r="Z27">
        <f>HYPERLINK("https://klasma.github.io/Logging_2021/knärot/A 11433-2025 karta knärot.png", "A 11433-2025")</f>
        <v/>
      </c>
      <c r="AA27">
        <f>HYPERLINK("https://klasma.github.io/Logging_2021/klagomål/A 11433-2025 FSC-klagomål.docx", "A 11433-2025")</f>
        <v/>
      </c>
      <c r="AB27">
        <f>HYPERLINK("https://klasma.github.io/Logging_2021/klagomålsmail/A 11433-2025 FSC-klagomål mail.docx", "A 11433-2025")</f>
        <v/>
      </c>
      <c r="AC27">
        <f>HYPERLINK("https://klasma.github.io/Logging_2021/tillsyn/A 11433-2025 tillsynsbegäran.docx", "A 11433-2025")</f>
        <v/>
      </c>
      <c r="AD27">
        <f>HYPERLINK("https://klasma.github.io/Logging_2021/tillsynsmail/A 11433-2025 tillsynsbegäran mail.docx", "A 11433-2025")</f>
        <v/>
      </c>
    </row>
    <row r="28" ht="15" customHeight="1">
      <c r="A28" t="inlineStr">
        <is>
          <t>A 33005-2025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46229</v>
      </c>
      <c r="F28" t="inlineStr">
        <is>
          <t>DALARNAS LÄN</t>
        </is>
      </c>
      <c r="G28" t="inlineStr">
        <is>
          <t>VANSBRO</t>
        </is>
      </c>
      <c r="I28" t="n">
        <v>5.5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5</v>
      </c>
      <c r="U28" t="n">
        <v>5</v>
      </c>
      <c r="V28" s="2" t="inlineStr">
        <is>
          <t>Knärot
Kolflarnlav
Tretåig hackspett</t>
        </is>
      </c>
      <c r="W28">
        <f>HYPERLINK("https://klasma.github.io/Logging_2021/artfynd/A 33005-2025 artfynd.xlsx", "A 33005-2025")</f>
        <v/>
      </c>
      <c r="X28">
        <f>HYPERLINK("https://klasma.github.io/Logging_2021/kartor/A 33005-2025 karta.png", "A 33005-2025")</f>
        <v/>
      </c>
      <c r="Y28">
        <f>HYPERLINK("https://klasma.github.io/Logging_2021/kartor_geotiff/A 33005-2025 georefererad karta.tif", "A 33005-2025")</f>
        <v/>
      </c>
      <c r="Z28">
        <f>HYPERLINK("https://klasma.github.io/Logging_2021/knärot/A 33005-2025 karta knärot.png", "A 33005-2025")</f>
        <v/>
      </c>
      <c r="AA28">
        <f>HYPERLINK("https://klasma.github.io/Logging_2021/klagomål/A 33005-2025 FSC-klagomål.docx", "A 33005-2025")</f>
        <v/>
      </c>
      <c r="AB28">
        <f>HYPERLINK("https://klasma.github.io/Logging_2021/klagomålsmail/A 33005-2025 FSC-klagomål mail.docx", "A 33005-2025")</f>
        <v/>
      </c>
      <c r="AC28">
        <f>HYPERLINK("https://klasma.github.io/Logging_2021/tillsyn/A 33005-2025 tillsynsbegäran.docx", "A 33005-2025")</f>
        <v/>
      </c>
      <c r="AD28">
        <f>HYPERLINK("https://klasma.github.io/Logging_2021/tillsynsmail/A 33005-2025 tillsynsbegäran mail.docx", "A 33005-2025")</f>
        <v/>
      </c>
      <c r="AE28">
        <f>HYPERLINK("https://klasma.github.io/Logging_2021/fåglar/A 33005-2025 prioriterade fågelarter.docx", "A 33005-2025")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46229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13323-2025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45735</v>
      </c>
      <c r="E30" s="1" t="n">
        <v>46229</v>
      </c>
      <c r="F30" t="inlineStr">
        <is>
          <t>DALARNAS LÄN</t>
        </is>
      </c>
      <c r="G30" t="inlineStr">
        <is>
          <t>VANSBRO</t>
        </is>
      </c>
      <c r="I30" t="n">
        <v>2.1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Ullticka</t>
        </is>
      </c>
      <c r="W30">
        <f>HYPERLINK("https://klasma.github.io/Logging_2021/artfynd/A 13323-2025 artfynd.xlsx", "A 13323-2025")</f>
        <v/>
      </c>
      <c r="X30">
        <f>HYPERLINK("https://klasma.github.io/Logging_2021/kartor/A 13323-2025 karta.png", "A 13323-2025")</f>
        <v/>
      </c>
      <c r="Y30">
        <f>HYPERLINK("https://klasma.github.io/Logging_2021/kartor_geotiff/A 13323-2025 georefererad karta.tif", "A 13323-2025")</f>
        <v/>
      </c>
      <c r="Z30">
        <f>HYPERLINK("https://klasma.github.io/Logging_2021/knärot/A 13323-2025 karta knärot.png", "A 13323-2025")</f>
        <v/>
      </c>
      <c r="AA30">
        <f>HYPERLINK("https://klasma.github.io/Logging_2021/klagomål/A 13323-2025 FSC-klagomål.docx", "A 13323-2025")</f>
        <v/>
      </c>
      <c r="AB30">
        <f>HYPERLINK("https://klasma.github.io/Logging_2021/klagomålsmail/A 13323-2025 FSC-klagomål mail.docx", "A 13323-2025")</f>
        <v/>
      </c>
      <c r="AC30">
        <f>HYPERLINK("https://klasma.github.io/Logging_2021/tillsyn/A 13323-2025 tillsynsbegäran.docx", "A 13323-2025")</f>
        <v/>
      </c>
      <c r="AD30">
        <f>HYPERLINK("https://klasma.github.io/Logging_2021/tillsynsmail/A 13323-2025 tillsynsbegäran mail.docx", "A 13323-2025")</f>
        <v/>
      </c>
    </row>
    <row r="31" ht="15" customHeight="1">
      <c r="A31" t="inlineStr">
        <is>
          <t>A 1691-2026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46229</v>
      </c>
      <c r="F31" t="inlineStr">
        <is>
          <t>DALARNAS LÄN</t>
        </is>
      </c>
      <c r="G31" t="inlineStr">
        <is>
          <t>VANSBRO</t>
        </is>
      </c>
      <c r="I31" t="n">
        <v>6.3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Dropptaggsvamp
Motaggsvamp</t>
        </is>
      </c>
      <c r="W31">
        <f>HYPERLINK("https://klasma.github.io/Logging_2021/artfynd/A 1691-2026 artfynd.xlsx", "A 1691-2026")</f>
        <v/>
      </c>
      <c r="X31">
        <f>HYPERLINK("https://klasma.github.io/Logging_2021/kartor/A 1691-2026 karta.png", "A 1691-2026")</f>
        <v/>
      </c>
      <c r="Y31">
        <f>HYPERLINK("https://klasma.github.io/Logging_2021/kartor_geotiff/A 1691-2026 georefererad karta.tif", "A 1691-2026")</f>
        <v/>
      </c>
      <c r="AA31">
        <f>HYPERLINK("https://klasma.github.io/Logging_2021/klagomål/A 1691-2026 FSC-klagomål.docx", "A 1691-2026")</f>
        <v/>
      </c>
      <c r="AB31">
        <f>HYPERLINK("https://klasma.github.io/Logging_2021/klagomålsmail/A 1691-2026 FSC-klagomål mail.docx", "A 1691-2026")</f>
        <v/>
      </c>
      <c r="AC31">
        <f>HYPERLINK("https://klasma.github.io/Logging_2021/tillsyn/A 1691-2026 tillsynsbegäran.docx", "A 1691-2026")</f>
        <v/>
      </c>
      <c r="AD31">
        <f>HYPERLINK("https://klasma.github.io/Logging_2021/tillsynsmail/A 1691-2026 tillsynsbegäran mail.docx", "A 1691-2026")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46229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46229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46229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46229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46229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3854-2024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46229</v>
      </c>
      <c r="F37" t="inlineStr">
        <is>
          <t>DALARNAS LÄN</t>
        </is>
      </c>
      <c r="G37" t="inlineStr">
        <is>
          <t>VANSBRO</t>
        </is>
      </c>
      <c r="H37" t="inlineStr">
        <is>
          <t>Kyrkan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HYPERLINK("https://klasma.github.io/Logging_2021/artfynd/A 3854-2024 artfynd.xlsx", "A 3854-2024")</f>
        <v/>
      </c>
      <c r="X37">
        <f>HYPERLINK("https://klasma.github.io/Logging_2021/kartor/A 3854-2024 karta.png", "A 3854-2024")</f>
        <v/>
      </c>
      <c r="Y37">
        <f>HYPERLINK("https://klasma.github.io/Logging_2021/kartor_geotiff/A 3854-2024 georefererad karta.tif", "A 3854-2024")</f>
        <v/>
      </c>
      <c r="AA37">
        <f>HYPERLINK("https://klasma.github.io/Logging_2021/klagomål/A 3854-2024 FSC-klagomål.docx", "A 3854-2024")</f>
        <v/>
      </c>
      <c r="AB37">
        <f>HYPERLINK("https://klasma.github.io/Logging_2021/klagomålsmail/A 3854-2024 FSC-klagomål mail.docx", "A 3854-2024")</f>
        <v/>
      </c>
      <c r="AC37">
        <f>HYPERLINK("https://klasma.github.io/Logging_2021/tillsyn/A 3854-2024 tillsynsbegäran.docx", "A 3854-2024")</f>
        <v/>
      </c>
      <c r="AD37">
        <f>HYPERLINK("https://klasma.github.io/Logging_2021/tillsynsmail/A 3854-2024 tillsynsbegäran mail.docx", "A 3854-2024")</f>
        <v/>
      </c>
    </row>
    <row r="38" ht="15" customHeight="1">
      <c r="A38" t="inlineStr">
        <is>
          <t>A 52675-2025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45956</v>
      </c>
      <c r="E38" s="1" t="n">
        <v>46229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Motaggsvamp</t>
        </is>
      </c>
      <c r="W38">
        <f>HYPERLINK("https://klasma.github.io/Logging_2021/artfynd/A 52675-2025 artfynd.xlsx", "A 52675-2025")</f>
        <v/>
      </c>
      <c r="X38">
        <f>HYPERLINK("https://klasma.github.io/Logging_2021/kartor/A 52675-2025 karta.png", "A 52675-2025")</f>
        <v/>
      </c>
      <c r="Y38">
        <f>HYPERLINK("https://klasma.github.io/Logging_2021/kartor_geotiff/A 52675-2025 georefererad karta.tif", "A 52675-2025")</f>
        <v/>
      </c>
      <c r="AA38">
        <f>HYPERLINK("https://klasma.github.io/Logging_2021/klagomål/A 52675-2025 FSC-klagomål.docx", "A 52675-2025")</f>
        <v/>
      </c>
      <c r="AB38">
        <f>HYPERLINK("https://klasma.github.io/Logging_2021/klagomålsmail/A 52675-2025 FSC-klagomål mail.docx", "A 52675-2025")</f>
        <v/>
      </c>
      <c r="AC38">
        <f>HYPERLINK("https://klasma.github.io/Logging_2021/tillsyn/A 52675-2025 tillsynsbegäran.docx", "A 52675-2025")</f>
        <v/>
      </c>
      <c r="AD38">
        <f>HYPERLINK("https://klasma.github.io/Logging_2021/tillsynsmail/A 52675-2025 tillsynsbegäran mail.docx", "A 52675-2025")</f>
        <v/>
      </c>
    </row>
    <row r="39" ht="15" customHeight="1">
      <c r="A39" t="inlineStr">
        <is>
          <t>A 20076-2026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46229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13.2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Kransrams</t>
        </is>
      </c>
      <c r="W39">
        <f>HYPERLINK("https://klasma.github.io/Logging_2021/artfynd/A 20076-2026 artfynd.xlsx", "A 20076-2026")</f>
        <v/>
      </c>
      <c r="X39">
        <f>HYPERLINK("https://klasma.github.io/Logging_2021/kartor/A 20076-2026 karta.png", "A 20076-2026")</f>
        <v/>
      </c>
      <c r="Y39">
        <f>HYPERLINK("https://klasma.github.io/Logging_2021/kartor_geotiff/A 20076-2026 georefererad karta.tif", "A 20076-2026")</f>
        <v/>
      </c>
      <c r="AA39">
        <f>HYPERLINK("https://klasma.github.io/Logging_2021/klagomål/A 20076-2026 FSC-klagomål.docx", "A 20076-2026")</f>
        <v/>
      </c>
      <c r="AB39">
        <f>HYPERLINK("https://klasma.github.io/Logging_2021/klagomålsmail/A 20076-2026 FSC-klagomål mail.docx", "A 20076-2026")</f>
        <v/>
      </c>
      <c r="AC39">
        <f>HYPERLINK("https://klasma.github.io/Logging_2021/tillsyn/A 20076-2026 tillsynsbegäran.docx", "A 20076-2026")</f>
        <v/>
      </c>
      <c r="AD39">
        <f>HYPERLINK("https://klasma.github.io/Logging_2021/tillsynsmail/A 20076-2026 tillsynsbegäran mail.docx", "A 20076-2026")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46229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3918-2026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46229</v>
      </c>
      <c r="F41" t="inlineStr">
        <is>
          <t>DALARNAS LÄN</t>
        </is>
      </c>
      <c r="G41" t="inlineStr">
        <is>
          <t>VANSBRO</t>
        </is>
      </c>
      <c r="I41" t="n">
        <v>6.2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Duvhök</t>
        </is>
      </c>
      <c r="W41">
        <f>HYPERLINK("https://klasma.github.io/Logging_2021/artfynd/A 3918-2026 artfynd.xlsx", "A 3918-2026")</f>
        <v/>
      </c>
      <c r="X41">
        <f>HYPERLINK("https://klasma.github.io/Logging_2021/kartor/A 3918-2026 karta.png", "A 3918-2026")</f>
        <v/>
      </c>
      <c r="Y41">
        <f>HYPERLINK("https://klasma.github.io/Logging_2021/kartor_geotiff/A 3918-2026 georefererad karta.tif", "A 3918-2026")</f>
        <v/>
      </c>
      <c r="AA41">
        <f>HYPERLINK("https://klasma.github.io/Logging_2021/klagomål/A 3918-2026 FSC-klagomål.docx", "A 3918-2026")</f>
        <v/>
      </c>
      <c r="AB41">
        <f>HYPERLINK("https://klasma.github.io/Logging_2021/klagomålsmail/A 3918-2026 FSC-klagomål mail.docx", "A 3918-2026")</f>
        <v/>
      </c>
      <c r="AC41">
        <f>HYPERLINK("https://klasma.github.io/Logging_2021/tillsyn/A 3918-2026 tillsynsbegäran.docx", "A 3918-2026")</f>
        <v/>
      </c>
      <c r="AD41">
        <f>HYPERLINK("https://klasma.github.io/Logging_2021/tillsynsmail/A 3918-2026 tillsynsbegäran mail.docx", "A 3918-2026")</f>
        <v/>
      </c>
      <c r="AE41">
        <f>HYPERLINK("https://klasma.github.io/Logging_2021/fåglar/A 3918-2026 prioriterade fågelarter.docx", "A 3918-2026")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46229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46229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46229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46229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46229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51579-2021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46229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Kolflarnlav</t>
        </is>
      </c>
      <c r="W47">
        <f>HYPERLINK("https://klasma.github.io/Logging_2021/artfynd/A 51579-2021 artfynd.xlsx", "A 51579-2021")</f>
        <v/>
      </c>
      <c r="X47">
        <f>HYPERLINK("https://klasma.github.io/Logging_2021/kartor/A 51579-2021 karta.png", "A 51579-2021")</f>
        <v/>
      </c>
      <c r="Y47">
        <f>HYPERLINK("https://klasma.github.io/Logging_2021/kartor_geotiff/A 51579-2021 georefererad karta.tif", "A 51579-2021")</f>
        <v/>
      </c>
      <c r="AA47">
        <f>HYPERLINK("https://klasma.github.io/Logging_2021/klagomål/A 51579-2021 FSC-klagomål.docx", "A 51579-2021")</f>
        <v/>
      </c>
      <c r="AB47">
        <f>HYPERLINK("https://klasma.github.io/Logging_2021/klagomålsmail/A 51579-2021 FSC-klagomål mail.docx", "A 51579-2021")</f>
        <v/>
      </c>
      <c r="AC47">
        <f>HYPERLINK("https://klasma.github.io/Logging_2021/tillsyn/A 51579-2021 tillsynsbegäran.docx", "A 51579-2021")</f>
        <v/>
      </c>
      <c r="AD47">
        <f>HYPERLINK("https://klasma.github.io/Logging_2021/tillsynsmail/A 51579-2021 tillsynsbegäran mail.docx", "A 51579-2021")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46229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46229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46229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33003-2025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46229</v>
      </c>
      <c r="F51" t="inlineStr">
        <is>
          <t>DALARNAS LÄN</t>
        </is>
      </c>
      <c r="G51" t="inlineStr">
        <is>
          <t>VANSBRO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HYPERLINK("https://klasma.github.io/Logging_2021/artfynd/A 33003-2025 artfynd.xlsx", "A 33003-2025")</f>
        <v/>
      </c>
      <c r="X51">
        <f>HYPERLINK("https://klasma.github.io/Logging_2021/kartor/A 33003-2025 karta.png", "A 33003-2025")</f>
        <v/>
      </c>
      <c r="Y51">
        <f>HYPERLINK("https://klasma.github.io/Logging_2021/kartor_geotiff/A 33003-2025 georefererad karta.tif", "A 33003-2025")</f>
        <v/>
      </c>
      <c r="Z51">
        <f>HYPERLINK("https://klasma.github.io/Logging_2021/knärot/A 33003-2025 karta knärot.png", "A 33003-2025")</f>
        <v/>
      </c>
      <c r="AA51">
        <f>HYPERLINK("https://klasma.github.io/Logging_2021/klagomål/A 33003-2025 FSC-klagomål.docx", "A 33003-2025")</f>
        <v/>
      </c>
      <c r="AB51">
        <f>HYPERLINK("https://klasma.github.io/Logging_2021/klagomålsmail/A 33003-2025 FSC-klagomål mail.docx", "A 33003-2025")</f>
        <v/>
      </c>
      <c r="AC51">
        <f>HYPERLINK("https://klasma.github.io/Logging_2021/tillsyn/A 33003-2025 tillsynsbegäran.docx", "A 33003-2025")</f>
        <v/>
      </c>
      <c r="AD51">
        <f>HYPERLINK("https://klasma.github.io/Logging_2021/tillsynsmail/A 33003-2025 tillsynsbegäran mail.docx", "A 33003-2025")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46229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46229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46229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46229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46229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46229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46229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46229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46229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46229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46229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46229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46229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46229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46229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46229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46229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46229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46229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46229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46229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46229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46229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46229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46229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46229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46229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46229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46229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46229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46229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46229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46229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46229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46229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45498</v>
      </c>
      <c r="E88" s="1" t="n">
        <v>46229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44442</v>
      </c>
      <c r="E89" s="1" t="n">
        <v>46229</v>
      </c>
      <c r="F89" t="inlineStr">
        <is>
          <t>DALARNAS LÄN</t>
        </is>
      </c>
      <c r="G89" t="inlineStr">
        <is>
          <t>VANSBRO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46229</v>
      </c>
      <c r="F90" t="inlineStr">
        <is>
          <t>DALARNAS LÄN</t>
        </is>
      </c>
      <c r="G90" t="inlineStr">
        <is>
          <t>VANSBRO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46229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44957</v>
      </c>
      <c r="E92" s="1" t="n">
        <v>46229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45141</v>
      </c>
      <c r="E93" s="1" t="n">
        <v>46229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46229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46229</v>
      </c>
      <c r="F95" t="inlineStr">
        <is>
          <t>DALARNAS LÄN</t>
        </is>
      </c>
      <c r="G95" t="inlineStr">
        <is>
          <t>VANSBRO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11408-2025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45726</v>
      </c>
      <c r="E96" s="1" t="n">
        <v>46229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46229</v>
      </c>
      <c r="F97" t="inlineStr">
        <is>
          <t>DALARNAS LÄN</t>
        </is>
      </c>
      <c r="G97" t="inlineStr">
        <is>
          <t>VANSBRO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46229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46229</v>
      </c>
      <c r="F99" t="inlineStr">
        <is>
          <t>DALARNAS LÄN</t>
        </is>
      </c>
      <c r="G99" t="inlineStr">
        <is>
          <t>VANSBRO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44886</v>
      </c>
      <c r="E100" s="1" t="n">
        <v>46229</v>
      </c>
      <c r="F100" t="inlineStr">
        <is>
          <t>DALARNAS LÄN</t>
        </is>
      </c>
      <c r="G100" t="inlineStr">
        <is>
          <t>VANSBRO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46229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46229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46229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46229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46229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46229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46229</v>
      </c>
      <c r="F107" t="inlineStr">
        <is>
          <t>DALARNAS LÄN</t>
        </is>
      </c>
      <c r="G107" t="inlineStr">
        <is>
          <t>VANSBRO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46229</v>
      </c>
      <c r="F108" t="inlineStr">
        <is>
          <t>DALARNAS LÄN</t>
        </is>
      </c>
      <c r="G108" t="inlineStr">
        <is>
          <t>VANSBRO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46229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46229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46229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46229</v>
      </c>
      <c r="F112" t="inlineStr">
        <is>
          <t>DALARNAS LÄN</t>
        </is>
      </c>
      <c r="G112" t="inlineStr">
        <is>
          <t>VANSBRO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45530</v>
      </c>
      <c r="E113" s="1" t="n">
        <v>46229</v>
      </c>
      <c r="F113" t="inlineStr">
        <is>
          <t>DALARNAS LÄN</t>
        </is>
      </c>
      <c r="G113" t="inlineStr">
        <is>
          <t>VANSBRO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46229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46229</v>
      </c>
      <c r="F115" t="inlineStr">
        <is>
          <t>DALARNAS LÄN</t>
        </is>
      </c>
      <c r="G115" t="inlineStr">
        <is>
          <t>VANSBRO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44862</v>
      </c>
      <c r="E116" s="1" t="n">
        <v>46229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46229</v>
      </c>
      <c r="F117" t="inlineStr">
        <is>
          <t>DALARNAS LÄN</t>
        </is>
      </c>
      <c r="G117" t="inlineStr">
        <is>
          <t>VANSBRO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46229</v>
      </c>
      <c r="F118" t="inlineStr">
        <is>
          <t>DALARNAS LÄN</t>
        </is>
      </c>
      <c r="G118" t="inlineStr">
        <is>
          <t>VANSBRO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44728</v>
      </c>
      <c r="E119" s="1" t="n">
        <v>46229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44728</v>
      </c>
      <c r="E120" s="1" t="n">
        <v>46229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46229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46229</v>
      </c>
      <c r="F122" t="inlineStr">
        <is>
          <t>DALARNAS LÄN</t>
        </is>
      </c>
      <c r="G122" t="inlineStr">
        <is>
          <t>VANSBRO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45258</v>
      </c>
      <c r="E123" s="1" t="n">
        <v>46229</v>
      </c>
      <c r="F123" t="inlineStr">
        <is>
          <t>DALARNAS LÄN</t>
        </is>
      </c>
      <c r="G123" t="inlineStr">
        <is>
          <t>VANSBRO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46229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46229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45764</v>
      </c>
      <c r="E126" s="1" t="n">
        <v>46229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46229</v>
      </c>
      <c r="F127" t="inlineStr">
        <is>
          <t>DALARNAS LÄN</t>
        </is>
      </c>
      <c r="G127" t="inlineStr">
        <is>
          <t>VANSBRO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46229</v>
      </c>
      <c r="F128" t="inlineStr">
        <is>
          <t>DALARNAS LÄN</t>
        </is>
      </c>
      <c r="G128" t="inlineStr">
        <is>
          <t>VANSBRO</t>
        </is>
      </c>
      <c r="H128" t="inlineStr">
        <is>
          <t>Övriga statliga verk och myndigheter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46229</v>
      </c>
      <c r="F129" t="inlineStr">
        <is>
          <t>DALARNAS LÄN</t>
        </is>
      </c>
      <c r="G129" t="inlineStr">
        <is>
          <t>VANSBRO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45463</v>
      </c>
      <c r="E130" s="1" t="n">
        <v>46229</v>
      </c>
      <c r="F130" t="inlineStr">
        <is>
          <t>DALARNAS LÄN</t>
        </is>
      </c>
      <c r="G130" t="inlineStr">
        <is>
          <t>VANSBRO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46229</v>
      </c>
      <c r="F131" t="inlineStr">
        <is>
          <t>DALARNAS LÄN</t>
        </is>
      </c>
      <c r="G131" t="inlineStr">
        <is>
          <t>VANSBRO</t>
        </is>
      </c>
      <c r="H131" t="inlineStr">
        <is>
          <t>Övriga statliga verk och myndigheter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46229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45876</v>
      </c>
      <c r="E133" s="1" t="n">
        <v>46229</v>
      </c>
      <c r="F133" t="inlineStr">
        <is>
          <t>DALARNAS LÄN</t>
        </is>
      </c>
      <c r="G133" t="inlineStr">
        <is>
          <t>VANSBRO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38670-2025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45884</v>
      </c>
      <c r="E134" s="1" t="n">
        <v>46229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46229</v>
      </c>
      <c r="F135" t="inlineStr">
        <is>
          <t>DALARNAS LÄN</t>
        </is>
      </c>
      <c r="G135" t="inlineStr">
        <is>
          <t>VANSBRO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46229</v>
      </c>
      <c r="F136" t="inlineStr">
        <is>
          <t>DALARNAS LÄN</t>
        </is>
      </c>
      <c r="G136" t="inlineStr">
        <is>
          <t>VANSBRO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46229</v>
      </c>
      <c r="F137" t="inlineStr">
        <is>
          <t>DALARNAS LÄN</t>
        </is>
      </c>
      <c r="G137" t="inlineStr">
        <is>
          <t>VANSBRO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46229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44811</v>
      </c>
      <c r="E139" s="1" t="n">
        <v>46229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46229</v>
      </c>
      <c r="F140" t="inlineStr">
        <is>
          <t>DALARNAS LÄN</t>
        </is>
      </c>
      <c r="G140" t="inlineStr">
        <is>
          <t>VANSBRO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46229</v>
      </c>
      <c r="F141" t="inlineStr">
        <is>
          <t>DALARNAS LÄN</t>
        </is>
      </c>
      <c r="G141" t="inlineStr">
        <is>
          <t>VANSBRO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46229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46229</v>
      </c>
      <c r="F143" t="inlineStr">
        <is>
          <t>DALARNAS LÄN</t>
        </is>
      </c>
      <c r="G143" t="inlineStr">
        <is>
          <t>VANSBRO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45940</v>
      </c>
      <c r="E144" s="1" t="n">
        <v>46229</v>
      </c>
      <c r="F144" t="inlineStr">
        <is>
          <t>DALARNAS LÄN</t>
        </is>
      </c>
      <c r="G144" t="inlineStr">
        <is>
          <t>VANSBRO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46229</v>
      </c>
      <c r="F145" t="inlineStr">
        <is>
          <t>DALARNAS LÄN</t>
        </is>
      </c>
      <c r="G145" t="inlineStr">
        <is>
          <t>VANSBRO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46229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46229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45063</v>
      </c>
      <c r="E148" s="1" t="n">
        <v>46229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46229</v>
      </c>
      <c r="F149" t="inlineStr">
        <is>
          <t>DALARNAS LÄN</t>
        </is>
      </c>
      <c r="G149" t="inlineStr">
        <is>
          <t>VANSBRO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46229</v>
      </c>
      <c r="F150" t="inlineStr">
        <is>
          <t>DALARNAS LÄN</t>
        </is>
      </c>
      <c r="G150" t="inlineStr">
        <is>
          <t>VANSBRO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46229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46229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öst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46229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46229</v>
      </c>
      <c r="F154" t="inlineStr">
        <is>
          <t>DALARNAS LÄN</t>
        </is>
      </c>
      <c r="G154" t="inlineStr">
        <is>
          <t>VANSBRO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45182</v>
      </c>
      <c r="E155" s="1" t="n">
        <v>46229</v>
      </c>
      <c r="F155" t="inlineStr">
        <is>
          <t>DALARNAS LÄN</t>
        </is>
      </c>
      <c r="G155" t="inlineStr">
        <is>
          <t>VANSBRO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46229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46229</v>
      </c>
      <c r="F157" t="inlineStr">
        <is>
          <t>DALARNAS LÄN</t>
        </is>
      </c>
      <c r="G157" t="inlineStr">
        <is>
          <t>VANSBRO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46229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45689</v>
      </c>
      <c r="E159" s="1" t="n">
        <v>46229</v>
      </c>
      <c r="F159" t="inlineStr">
        <is>
          <t>DALARNAS LÄN</t>
        </is>
      </c>
      <c r="G159" t="inlineStr">
        <is>
          <t>VANSBRO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45806</v>
      </c>
      <c r="E160" s="1" t="n">
        <v>46229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46229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46229</v>
      </c>
      <c r="F162" t="inlineStr">
        <is>
          <t>DALARNAS LÄN</t>
        </is>
      </c>
      <c r="G162" t="inlineStr">
        <is>
          <t>VANSBRO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46229</v>
      </c>
      <c r="F163" t="inlineStr">
        <is>
          <t>DALARNAS LÄN</t>
        </is>
      </c>
      <c r="G163" t="inlineStr">
        <is>
          <t>VANSBRO</t>
        </is>
      </c>
      <c r="H163" t="inlineStr">
        <is>
          <t>Kommuner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46229</v>
      </c>
      <c r="F164" t="inlineStr">
        <is>
          <t>DALARNAS LÄN</t>
        </is>
      </c>
      <c r="G164" t="inlineStr">
        <is>
          <t>VANSBRO</t>
        </is>
      </c>
      <c r="I164" t="n">
        <v>13.9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45214</v>
      </c>
      <c r="E165" s="1" t="n">
        <v>46229</v>
      </c>
      <c r="F165" t="inlineStr">
        <is>
          <t>DALARNAS LÄN</t>
        </is>
      </c>
      <c r="G165" t="inlineStr">
        <is>
          <t>VANSBRO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46229</v>
      </c>
      <c r="F166" t="inlineStr">
        <is>
          <t>DALARNAS LÄN</t>
        </is>
      </c>
      <c r="G166" t="inlineStr">
        <is>
          <t>VANSBRO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46229</v>
      </c>
      <c r="F167" t="inlineStr">
        <is>
          <t>DALARNAS LÄN</t>
        </is>
      </c>
      <c r="G167" t="inlineStr">
        <is>
          <t>VANSBRO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46229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45.8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46229</v>
      </c>
      <c r="F169" t="inlineStr">
        <is>
          <t>DALARNAS LÄN</t>
        </is>
      </c>
      <c r="G169" t="inlineStr">
        <is>
          <t>VANSBRO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35943-2024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46229</v>
      </c>
      <c r="F170" t="inlineStr">
        <is>
          <t>DALARNAS LÄN</t>
        </is>
      </c>
      <c r="G170" t="inlineStr">
        <is>
          <t>VANSBRO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46229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45665</v>
      </c>
      <c r="E172" s="1" t="n">
        <v>46229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46229</v>
      </c>
      <c r="F173" t="inlineStr">
        <is>
          <t>DALARNAS LÄN</t>
        </is>
      </c>
      <c r="G173" t="inlineStr">
        <is>
          <t>VANSBRO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46229</v>
      </c>
      <c r="F174" t="inlineStr">
        <is>
          <t>DALARNAS LÄN</t>
        </is>
      </c>
      <c r="G174" t="inlineStr">
        <is>
          <t>VANSBRO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45363</v>
      </c>
      <c r="E175" s="1" t="n">
        <v>46229</v>
      </c>
      <c r="F175" t="inlineStr">
        <is>
          <t>DALARNAS LÄN</t>
        </is>
      </c>
      <c r="G175" t="inlineStr">
        <is>
          <t>VANSBRO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46229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46229</v>
      </c>
      <c r="F177" t="inlineStr">
        <is>
          <t>DALARNAS LÄN</t>
        </is>
      </c>
      <c r="G177" t="inlineStr">
        <is>
          <t>VANSBRO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46229</v>
      </c>
      <c r="F178" t="inlineStr">
        <is>
          <t>DALARNAS LÄN</t>
        </is>
      </c>
      <c r="G178" t="inlineStr">
        <is>
          <t>VANSBRO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46229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45937</v>
      </c>
      <c r="E180" s="1" t="n">
        <v>46229</v>
      </c>
      <c r="F180" t="inlineStr">
        <is>
          <t>DALARNAS LÄN</t>
        </is>
      </c>
      <c r="G180" t="inlineStr">
        <is>
          <t>VANSBRO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46229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46229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46229</v>
      </c>
      <c r="F183" t="inlineStr">
        <is>
          <t>DALARNAS LÄN</t>
        </is>
      </c>
      <c r="G183" t="inlineStr">
        <is>
          <t>VANSBRO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46229</v>
      </c>
      <c r="F184" t="inlineStr">
        <is>
          <t>DALARNAS LÄN</t>
        </is>
      </c>
      <c r="G184" t="inlineStr">
        <is>
          <t>VANSBRO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46229</v>
      </c>
      <c r="F185" t="inlineStr">
        <is>
          <t>DALARNAS LÄN</t>
        </is>
      </c>
      <c r="G185" t="inlineStr">
        <is>
          <t>VANSBRO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46229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46229</v>
      </c>
      <c r="F187" t="inlineStr">
        <is>
          <t>DALARNAS LÄN</t>
        </is>
      </c>
      <c r="G187" t="inlineStr">
        <is>
          <t>VANSBRO</t>
        </is>
      </c>
      <c r="H187" t="inlineStr">
        <is>
          <t>Övriga statliga verk och myndigheter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46229</v>
      </c>
      <c r="F188" t="inlineStr">
        <is>
          <t>DALARNAS LÄN</t>
        </is>
      </c>
      <c r="G188" t="inlineStr">
        <is>
          <t>VANSBRO</t>
        </is>
      </c>
      <c r="H188" t="inlineStr">
        <is>
          <t>Övriga statliga verk och myndigheter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46229</v>
      </c>
      <c r="F189" t="inlineStr">
        <is>
          <t>DALARNAS LÄN</t>
        </is>
      </c>
      <c r="G189" t="inlineStr">
        <is>
          <t>VANSBRO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46229</v>
      </c>
      <c r="F190" t="inlineStr">
        <is>
          <t>DALARNAS LÄN</t>
        </is>
      </c>
      <c r="G190" t="inlineStr">
        <is>
          <t>VANSBRO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46229</v>
      </c>
      <c r="F191" t="inlineStr">
        <is>
          <t>DALARNAS LÄN</t>
        </is>
      </c>
      <c r="G191" t="inlineStr">
        <is>
          <t>VANSBRO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46229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46229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45956</v>
      </c>
      <c r="E194" s="1" t="n">
        <v>46229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46229</v>
      </c>
      <c r="F195" t="inlineStr">
        <is>
          <t>DALARNAS LÄN</t>
        </is>
      </c>
      <c r="G195" t="inlineStr">
        <is>
          <t>VANSBRO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46229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46229</v>
      </c>
      <c r="F197" t="inlineStr">
        <is>
          <t>DALARNAS LÄN</t>
        </is>
      </c>
      <c r="G197" t="inlineStr">
        <is>
          <t>VANSBRO</t>
        </is>
      </c>
      <c r="I197" t="n">
        <v>12.6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46229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44972</v>
      </c>
      <c r="E199" s="1" t="n">
        <v>46229</v>
      </c>
      <c r="F199" t="inlineStr">
        <is>
          <t>DALARNAS LÄN</t>
        </is>
      </c>
      <c r="G199" t="inlineStr">
        <is>
          <t>VANSBRO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46229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46229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46229</v>
      </c>
      <c r="F202" t="inlineStr">
        <is>
          <t>DALARNAS LÄN</t>
        </is>
      </c>
      <c r="G202" t="inlineStr">
        <is>
          <t>VANSBRO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46229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46229</v>
      </c>
      <c r="F204" t="inlineStr">
        <is>
          <t>DALARNAS LÄN</t>
        </is>
      </c>
      <c r="G204" t="inlineStr">
        <is>
          <t>VANSBRO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46229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46229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46229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46229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46229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46229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46229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46229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46229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46229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46229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46229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46229</v>
      </c>
      <c r="F217" t="inlineStr">
        <is>
          <t>DALARNAS LÄN</t>
        </is>
      </c>
      <c r="G217" t="inlineStr">
        <is>
          <t>VANSBRO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46229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46229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46229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46229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8447-2022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44612</v>
      </c>
      <c r="E222" s="1" t="n">
        <v>46229</v>
      </c>
      <c r="F222" t="inlineStr">
        <is>
          <t>DALARNAS LÄN</t>
        </is>
      </c>
      <c r="G222" t="inlineStr">
        <is>
          <t>VANSBRO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46229</v>
      </c>
      <c r="F223" t="inlineStr">
        <is>
          <t>DALARNAS LÄN</t>
        </is>
      </c>
      <c r="G223" t="inlineStr">
        <is>
          <t>VANSBRO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45691</v>
      </c>
      <c r="E224" s="1" t="n">
        <v>46229</v>
      </c>
      <c r="F224" t="inlineStr">
        <is>
          <t>DALARNAS LÄN</t>
        </is>
      </c>
      <c r="G224" t="inlineStr">
        <is>
          <t>VANSBRO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46229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46229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46229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46229</v>
      </c>
      <c r="F228" t="inlineStr">
        <is>
          <t>DALARNAS LÄN</t>
        </is>
      </c>
      <c r="G228" t="inlineStr">
        <is>
          <t>VANSBRO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46229</v>
      </c>
      <c r="F229" t="inlineStr">
        <is>
          <t>DALARNAS LÄN</t>
        </is>
      </c>
      <c r="G229" t="inlineStr">
        <is>
          <t>VANSBRO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45309</v>
      </c>
      <c r="E230" s="1" t="n">
        <v>46229</v>
      </c>
      <c r="F230" t="inlineStr">
        <is>
          <t>DALARNAS LÄN</t>
        </is>
      </c>
      <c r="G230" t="inlineStr">
        <is>
          <t>VANSBRO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46229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45987</v>
      </c>
      <c r="E232" s="1" t="n">
        <v>46229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46229</v>
      </c>
      <c r="F233" t="inlineStr">
        <is>
          <t>DALARNAS LÄN</t>
        </is>
      </c>
      <c r="G233" t="inlineStr">
        <is>
          <t>VANSBRO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45350</v>
      </c>
      <c r="E234" s="1" t="n">
        <v>46229</v>
      </c>
      <c r="F234" t="inlineStr">
        <is>
          <t>DALARNAS LÄN</t>
        </is>
      </c>
      <c r="G234" t="inlineStr">
        <is>
          <t>VANSBRO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46229</v>
      </c>
      <c r="F235" t="inlineStr">
        <is>
          <t>DALARNAS LÄN</t>
        </is>
      </c>
      <c r="G235" t="inlineStr">
        <is>
          <t>VANSBRO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46229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46229</v>
      </c>
      <c r="F237" t="inlineStr">
        <is>
          <t>DALARNAS LÄN</t>
        </is>
      </c>
      <c r="G237" t="inlineStr">
        <is>
          <t>VANSBRO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45712</v>
      </c>
      <c r="E238" s="1" t="n">
        <v>46229</v>
      </c>
      <c r="F238" t="inlineStr">
        <is>
          <t>DALARNAS LÄN</t>
        </is>
      </c>
      <c r="G238" t="inlineStr">
        <is>
          <t>VANSBRO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46229</v>
      </c>
      <c r="F239" t="inlineStr">
        <is>
          <t>DALARNAS LÄN</t>
        </is>
      </c>
      <c r="G239" t="inlineStr">
        <is>
          <t>VANSBRO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46229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46229</v>
      </c>
      <c r="F241" t="inlineStr">
        <is>
          <t>DALARNAS LÄN</t>
        </is>
      </c>
      <c r="G241" t="inlineStr">
        <is>
          <t>VANSBRO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45481</v>
      </c>
      <c r="E242" s="1" t="n">
        <v>46229</v>
      </c>
      <c r="F242" t="inlineStr">
        <is>
          <t>DALARNAS LÄN</t>
        </is>
      </c>
      <c r="G242" t="inlineStr">
        <is>
          <t>VANSBRO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46229</v>
      </c>
      <c r="F243" t="inlineStr">
        <is>
          <t>DALARNAS LÄN</t>
        </is>
      </c>
      <c r="G243" t="inlineStr">
        <is>
          <t>VANSBRO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45457</v>
      </c>
      <c r="E244" s="1" t="n">
        <v>46229</v>
      </c>
      <c r="F244" t="inlineStr">
        <is>
          <t>DALARNAS LÄN</t>
        </is>
      </c>
      <c r="G244" t="inlineStr">
        <is>
          <t>VANSBRO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13062-2023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45002</v>
      </c>
      <c r="E245" s="1" t="n">
        <v>46229</v>
      </c>
      <c r="F245" t="inlineStr">
        <is>
          <t>DALARNAS LÄN</t>
        </is>
      </c>
      <c r="G245" t="inlineStr">
        <is>
          <t>VANSBRO</t>
        </is>
      </c>
      <c r="H245" t="inlineStr">
        <is>
          <t>Övriga statliga verk och myndigheter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46229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46229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46229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46229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46229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46229</v>
      </c>
      <c r="F251" t="inlineStr">
        <is>
          <t>DALARNAS LÄN</t>
        </is>
      </c>
      <c r="G251" t="inlineStr">
        <is>
          <t>VANSBRO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46229</v>
      </c>
      <c r="F252" t="inlineStr">
        <is>
          <t>DALARNAS LÄN</t>
        </is>
      </c>
      <c r="G252" t="inlineStr">
        <is>
          <t>VANSBRO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46229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46229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46229</v>
      </c>
      <c r="F255" t="inlineStr">
        <is>
          <t>DALARNAS LÄN</t>
        </is>
      </c>
      <c r="G255" t="inlineStr">
        <is>
          <t>VANSBRO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46229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46229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48111-2024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45589</v>
      </c>
      <c r="E258" s="1" t="n">
        <v>46229</v>
      </c>
      <c r="F258" t="inlineStr">
        <is>
          <t>DALARNAS LÄN</t>
        </is>
      </c>
      <c r="G258" t="inlineStr">
        <is>
          <t>VANSBRO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46033</v>
      </c>
      <c r="E259" s="1" t="n">
        <v>46229</v>
      </c>
      <c r="F259" t="inlineStr">
        <is>
          <t>DALARNAS LÄN</t>
        </is>
      </c>
      <c r="G259" t="inlineStr">
        <is>
          <t>VANSBRO</t>
        </is>
      </c>
      <c r="I259" t="n">
        <v>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29442-2026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46229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44960</v>
      </c>
      <c r="E261" s="1" t="n">
        <v>46229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46229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46229</v>
      </c>
      <c r="F263" t="inlineStr">
        <is>
          <t>DALARNAS LÄN</t>
        </is>
      </c>
      <c r="G263" t="inlineStr">
        <is>
          <t>VANSBRO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46037</v>
      </c>
      <c r="E264" s="1" t="n">
        <v>46229</v>
      </c>
      <c r="F264" t="inlineStr">
        <is>
          <t>DALARNAS LÄN</t>
        </is>
      </c>
      <c r="G264" t="inlineStr">
        <is>
          <t>VANSBRO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46229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46203</v>
      </c>
      <c r="E266" s="1" t="n">
        <v>46229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46229</v>
      </c>
      <c r="F267" t="inlineStr">
        <is>
          <t>DALARNAS LÄN</t>
        </is>
      </c>
      <c r="G267" t="inlineStr">
        <is>
          <t>VANSBRO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46229</v>
      </c>
      <c r="F268" t="inlineStr">
        <is>
          <t>DALARNAS LÄN</t>
        </is>
      </c>
      <c r="G268" t="inlineStr">
        <is>
          <t>VANSBRO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46229</v>
      </c>
      <c r="F269" t="inlineStr">
        <is>
          <t>DALARNAS LÄN</t>
        </is>
      </c>
      <c r="G269" t="inlineStr">
        <is>
          <t>VANSBRO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46229</v>
      </c>
      <c r="F270" t="inlineStr">
        <is>
          <t>DALARNAS LÄN</t>
        </is>
      </c>
      <c r="G270" t="inlineStr">
        <is>
          <t>VANSBRO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46229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46229</v>
      </c>
      <c r="F272" t="inlineStr">
        <is>
          <t>DALARNAS LÄN</t>
        </is>
      </c>
      <c r="G272" t="inlineStr">
        <is>
          <t>VANSBRO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46229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46229</v>
      </c>
      <c r="F274" t="inlineStr">
        <is>
          <t>DALARNAS LÄN</t>
        </is>
      </c>
      <c r="G274" t="inlineStr">
        <is>
          <t>VANSBRO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46229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45331</v>
      </c>
      <c r="E276" s="1" t="n">
        <v>46229</v>
      </c>
      <c r="F276" t="inlineStr">
        <is>
          <t>DALARNAS LÄN</t>
        </is>
      </c>
      <c r="G276" t="inlineStr">
        <is>
          <t>VANSBRO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46229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46229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46204</v>
      </c>
      <c r="E279" s="1" t="n">
        <v>46229</v>
      </c>
      <c r="F279" t="inlineStr">
        <is>
          <t>DALARNAS LÄN</t>
        </is>
      </c>
      <c r="G279" t="inlineStr">
        <is>
          <t>VANSBRO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46229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46229</v>
      </c>
      <c r="F281" t="inlineStr">
        <is>
          <t>DALARNAS LÄN</t>
        </is>
      </c>
      <c r="G281" t="inlineStr">
        <is>
          <t>VANSBRO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46229</v>
      </c>
      <c r="F282" t="inlineStr">
        <is>
          <t>DALARNAS LÄN</t>
        </is>
      </c>
      <c r="G282" t="inlineStr">
        <is>
          <t>VANSBRO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46229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46229</v>
      </c>
      <c r="F284" t="inlineStr">
        <is>
          <t>DALARNAS LÄN</t>
        </is>
      </c>
      <c r="G284" t="inlineStr">
        <is>
          <t>VANSBRO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46229</v>
      </c>
      <c r="F285" t="inlineStr">
        <is>
          <t>DALARNAS LÄN</t>
        </is>
      </c>
      <c r="G285" t="inlineStr">
        <is>
          <t>VANSBRO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46229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46229</v>
      </c>
      <c r="F287" t="inlineStr">
        <is>
          <t>DALARNAS LÄN</t>
        </is>
      </c>
      <c r="G287" t="inlineStr">
        <is>
          <t>VANSBRO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46229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46229</v>
      </c>
      <c r="F289" t="inlineStr">
        <is>
          <t>DALARNAS LÄN</t>
        </is>
      </c>
      <c r="G289" t="inlineStr">
        <is>
          <t>VANSBRO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72635-2021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44546</v>
      </c>
      <c r="E290" s="1" t="n">
        <v>46229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46229</v>
      </c>
      <c r="F291" t="inlineStr">
        <is>
          <t>DALARNAS LÄN</t>
        </is>
      </c>
      <c r="G291" t="inlineStr">
        <is>
          <t>VANSBRO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46229</v>
      </c>
      <c r="F292" t="inlineStr">
        <is>
          <t>DALARNAS LÄN</t>
        </is>
      </c>
      <c r="G292" t="inlineStr">
        <is>
          <t>VANSBRO</t>
        </is>
      </c>
      <c r="I292" t="n">
        <v>15.1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45666</v>
      </c>
      <c r="E293" s="1" t="n">
        <v>46229</v>
      </c>
      <c r="F293" t="inlineStr">
        <is>
          <t>DALARNAS LÄN</t>
        </is>
      </c>
      <c r="G293" t="inlineStr">
        <is>
          <t>VANSBRO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46229</v>
      </c>
      <c r="F294" t="inlineStr">
        <is>
          <t>DALARNAS LÄN</t>
        </is>
      </c>
      <c r="G294" t="inlineStr">
        <is>
          <t>VANSBRO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46229</v>
      </c>
      <c r="F295" t="inlineStr">
        <is>
          <t>DALARNAS LÄN</t>
        </is>
      </c>
      <c r="G295" t="inlineStr">
        <is>
          <t>VANSBRO</t>
        </is>
      </c>
      <c r="I295" t="n">
        <v>19.1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46229</v>
      </c>
      <c r="F296" t="inlineStr">
        <is>
          <t>DALARNAS LÄN</t>
        </is>
      </c>
      <c r="G296" t="inlineStr">
        <is>
          <t>VANSBRO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45639</v>
      </c>
      <c r="E297" s="1" t="n">
        <v>46229</v>
      </c>
      <c r="F297" t="inlineStr">
        <is>
          <t>DALARNAS LÄN</t>
        </is>
      </c>
      <c r="G297" t="inlineStr">
        <is>
          <t>VANSBRO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46229</v>
      </c>
      <c r="F298" t="inlineStr">
        <is>
          <t>DALARNAS LÄN</t>
        </is>
      </c>
      <c r="G298" t="inlineStr">
        <is>
          <t>VANSBRO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46229</v>
      </c>
      <c r="F299" t="inlineStr">
        <is>
          <t>DALARNAS LÄN</t>
        </is>
      </c>
      <c r="G299" t="inlineStr">
        <is>
          <t>VANSBRO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46229</v>
      </c>
      <c r="F300" t="inlineStr">
        <is>
          <t>DALARNAS LÄN</t>
        </is>
      </c>
      <c r="G300" t="inlineStr">
        <is>
          <t>VANSBRO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46229</v>
      </c>
      <c r="F301" t="inlineStr">
        <is>
          <t>DALARNAS LÄN</t>
        </is>
      </c>
      <c r="G301" t="inlineStr">
        <is>
          <t>VANSBRO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46229</v>
      </c>
      <c r="F302" t="inlineStr">
        <is>
          <t>DALARNAS LÄN</t>
        </is>
      </c>
      <c r="G302" t="inlineStr">
        <is>
          <t>VANSBRO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45644</v>
      </c>
      <c r="E303" s="1" t="n">
        <v>46229</v>
      </c>
      <c r="F303" t="inlineStr">
        <is>
          <t>DALARNAS LÄN</t>
        </is>
      </c>
      <c r="G303" t="inlineStr">
        <is>
          <t>VANSBRO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46229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46229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46082</v>
      </c>
      <c r="E306" s="1" t="n">
        <v>46229</v>
      </c>
      <c r="F306" t="inlineStr">
        <is>
          <t>DALARNAS LÄN</t>
        </is>
      </c>
      <c r="G306" t="inlineStr">
        <is>
          <t>VANSBRO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46229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46229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46210</v>
      </c>
      <c r="E309" s="1" t="n">
        <v>46229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26658-2022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46229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46229</v>
      </c>
      <c r="F311" t="inlineStr">
        <is>
          <t>DALARNAS LÄN</t>
        </is>
      </c>
      <c r="G311" t="inlineStr">
        <is>
          <t>VANSBRO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46229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51396-2022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44869</v>
      </c>
      <c r="E313" s="1" t="n">
        <v>46229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46229</v>
      </c>
      <c r="F314" t="inlineStr">
        <is>
          <t>DALARNAS LÄN</t>
        </is>
      </c>
      <c r="G314" t="inlineStr">
        <is>
          <t>VANSBRO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46229</v>
      </c>
      <c r="F315" t="inlineStr">
        <is>
          <t>DALARNAS LÄN</t>
        </is>
      </c>
      <c r="G315" t="inlineStr">
        <is>
          <t>VANSBRO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44805</v>
      </c>
      <c r="E316" s="1" t="n">
        <v>46229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46229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46229</v>
      </c>
      <c r="F318" t="inlineStr">
        <is>
          <t>DALARNAS LÄN</t>
        </is>
      </c>
      <c r="G318" t="inlineStr">
        <is>
          <t>VANSBRO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46229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46229</v>
      </c>
      <c r="F320" t="inlineStr">
        <is>
          <t>DALARNAS LÄN</t>
        </is>
      </c>
      <c r="G320" t="inlineStr">
        <is>
          <t>VANSBRO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46229</v>
      </c>
      <c r="F321" t="inlineStr">
        <is>
          <t>DALARNAS LÄN</t>
        </is>
      </c>
      <c r="G321" t="inlineStr">
        <is>
          <t>VANSBRO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46229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46229</v>
      </c>
      <c r="F323" t="inlineStr">
        <is>
          <t>DALARNAS LÄN</t>
        </is>
      </c>
      <c r="G323" t="inlineStr">
        <is>
          <t>VANSBRO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45689</v>
      </c>
      <c r="E324" s="1" t="n">
        <v>46229</v>
      </c>
      <c r="F324" t="inlineStr">
        <is>
          <t>DALARNAS LÄN</t>
        </is>
      </c>
      <c r="G324" t="inlineStr">
        <is>
          <t>VANSBRO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46229</v>
      </c>
      <c r="F325" t="inlineStr">
        <is>
          <t>DALARNAS LÄN</t>
        </is>
      </c>
      <c r="G325" t="inlineStr">
        <is>
          <t>VANSBRO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46229</v>
      </c>
      <c r="F326" t="inlineStr">
        <is>
          <t>DALARNAS LÄN</t>
        </is>
      </c>
      <c r="G326" t="inlineStr">
        <is>
          <t>VANSBRO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46229</v>
      </c>
      <c r="F327" t="inlineStr">
        <is>
          <t>DALARNAS LÄN</t>
        </is>
      </c>
      <c r="G327" t="inlineStr">
        <is>
          <t>VANSBRO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46229</v>
      </c>
      <c r="F328" t="inlineStr">
        <is>
          <t>DALARNAS LÄN</t>
        </is>
      </c>
      <c r="G328" t="inlineStr">
        <is>
          <t>VANSBRO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46229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46229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46229</v>
      </c>
      <c r="F331" t="inlineStr">
        <is>
          <t>DALARNAS LÄN</t>
        </is>
      </c>
      <c r="G331" t="inlineStr">
        <is>
          <t>VANSBRO</t>
        </is>
      </c>
      <c r="H331" t="inlineStr">
        <is>
          <t>Övriga statliga verk och myndigheter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46229</v>
      </c>
      <c r="F332" t="inlineStr">
        <is>
          <t>DALARNAS LÄN</t>
        </is>
      </c>
      <c r="G332" t="inlineStr">
        <is>
          <t>VANSBRO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51414-2021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44461</v>
      </c>
      <c r="E333" s="1" t="n">
        <v>46229</v>
      </c>
      <c r="F333" t="inlineStr">
        <is>
          <t>DALARNAS LÄN</t>
        </is>
      </c>
      <c r="G333" t="inlineStr">
        <is>
          <t>VANSBRO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46229</v>
      </c>
      <c r="F334" t="inlineStr">
        <is>
          <t>DALARNAS LÄN</t>
        </is>
      </c>
      <c r="G334" t="inlineStr">
        <is>
          <t>VANSBRO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46229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46229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29174-2026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46202</v>
      </c>
      <c r="E337" s="1" t="n">
        <v>46229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46229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46229</v>
      </c>
      <c r="F339" t="inlineStr">
        <is>
          <t>DALARNAS LÄN</t>
        </is>
      </c>
      <c r="G339" t="inlineStr">
        <is>
          <t>VANSBRO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46229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20931-2022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44701</v>
      </c>
      <c r="E341" s="1" t="n">
        <v>46229</v>
      </c>
      <c r="F341" t="inlineStr">
        <is>
          <t>DALARNAS LÄN</t>
        </is>
      </c>
      <c r="G341" t="inlineStr">
        <is>
          <t>VANSBRO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46229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45296</v>
      </c>
      <c r="E343" s="1" t="n">
        <v>46229</v>
      </c>
      <c r="F343" t="inlineStr">
        <is>
          <t>DALARNAS LÄN</t>
        </is>
      </c>
      <c r="G343" t="inlineStr">
        <is>
          <t>VANSBRO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46229</v>
      </c>
      <c r="F344" t="inlineStr">
        <is>
          <t>DALARNAS LÄN</t>
        </is>
      </c>
      <c r="G344" t="inlineStr">
        <is>
          <t>VANSBRO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46229</v>
      </c>
      <c r="F345" t="inlineStr">
        <is>
          <t>DALARNAS LÄN</t>
        </is>
      </c>
      <c r="G345" t="inlineStr">
        <is>
          <t>VANSBRO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46229</v>
      </c>
      <c r="F346" t="inlineStr">
        <is>
          <t>DALARNAS LÄN</t>
        </is>
      </c>
      <c r="G346" t="inlineStr">
        <is>
          <t>VANSBRO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46229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46229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46229</v>
      </c>
      <c r="F349" t="inlineStr">
        <is>
          <t>DALARNAS LÄN</t>
        </is>
      </c>
      <c r="G349" t="inlineStr">
        <is>
          <t>VANSBRO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46229</v>
      </c>
      <c r="F350" t="inlineStr">
        <is>
          <t>DALARNAS LÄN</t>
        </is>
      </c>
      <c r="G350" t="inlineStr">
        <is>
          <t>VANSBRO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46229</v>
      </c>
      <c r="F351" t="inlineStr">
        <is>
          <t>DALARNAS LÄN</t>
        </is>
      </c>
      <c r="G351" t="inlineStr">
        <is>
          <t>VANSBRO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46229</v>
      </c>
      <c r="F352" t="inlineStr">
        <is>
          <t>DALARNAS LÄN</t>
        </is>
      </c>
      <c r="G352" t="inlineStr">
        <is>
          <t>VANSBRO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46121</v>
      </c>
      <c r="E353" s="1" t="n">
        <v>46229</v>
      </c>
      <c r="F353" t="inlineStr">
        <is>
          <t>DALARNAS LÄN</t>
        </is>
      </c>
      <c r="G353" t="inlineStr">
        <is>
          <t>VANSBRO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46229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46229</v>
      </c>
      <c r="F355" t="inlineStr">
        <is>
          <t>DALARNAS LÄN</t>
        </is>
      </c>
      <c r="G355" t="inlineStr">
        <is>
          <t>VANSBRO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46124</v>
      </c>
      <c r="E356" s="1" t="n">
        <v>46229</v>
      </c>
      <c r="F356" t="inlineStr">
        <is>
          <t>DALARNAS LÄN</t>
        </is>
      </c>
      <c r="G356" t="inlineStr">
        <is>
          <t>VANSBRO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46229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46229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46229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46229</v>
      </c>
      <c r="F360" t="inlineStr">
        <is>
          <t>DALARNAS LÄN</t>
        </is>
      </c>
      <c r="G360" t="inlineStr">
        <is>
          <t>VANSBRO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46229</v>
      </c>
      <c r="F361" t="inlineStr">
        <is>
          <t>DALARNAS LÄN</t>
        </is>
      </c>
      <c r="G361" t="inlineStr">
        <is>
          <t>VANSBRO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46229</v>
      </c>
      <c r="F362" t="inlineStr">
        <is>
          <t>DALARNAS LÄN</t>
        </is>
      </c>
      <c r="G362" t="inlineStr">
        <is>
          <t>VANSBRO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46229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46128</v>
      </c>
      <c r="E364" s="1" t="n">
        <v>46229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46229</v>
      </c>
      <c r="F365" t="inlineStr">
        <is>
          <t>DALARNAS LÄN</t>
        </is>
      </c>
      <c r="G365" t="inlineStr">
        <is>
          <t>VANSBRO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46229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46229</v>
      </c>
      <c r="F367" t="inlineStr">
        <is>
          <t>DALARNAS LÄN</t>
        </is>
      </c>
      <c r="G367" t="inlineStr">
        <is>
          <t>VANSBRO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46229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46229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46229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46229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46229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46229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46229</v>
      </c>
      <c r="F374" t="inlineStr">
        <is>
          <t>DALARNAS LÄN</t>
        </is>
      </c>
      <c r="G374" t="inlineStr">
        <is>
          <t>VANSBRO</t>
        </is>
      </c>
      <c r="H374" t="inlineStr">
        <is>
          <t>Övriga statliga verk och myndigheter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11485-2024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45372</v>
      </c>
      <c r="E375" s="1" t="n">
        <v>46229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46229</v>
      </c>
      <c r="F376" t="inlineStr">
        <is>
          <t>DALARNAS LÄN</t>
        </is>
      </c>
      <c r="G376" t="inlineStr">
        <is>
          <t>VANSBRO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45082</v>
      </c>
      <c r="E377" s="1" t="n">
        <v>46229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46229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46229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46229</v>
      </c>
      <c r="F380" t="inlineStr">
        <is>
          <t>DALARNAS LÄN</t>
        </is>
      </c>
      <c r="G380" t="inlineStr">
        <is>
          <t>VANSBRO</t>
        </is>
      </c>
      <c r="I380" t="n">
        <v>9.9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44673</v>
      </c>
      <c r="E381" s="1" t="n">
        <v>46229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46229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45519</v>
      </c>
      <c r="E383" s="1" t="n">
        <v>46229</v>
      </c>
      <c r="F383" t="inlineStr">
        <is>
          <t>DALARNAS LÄN</t>
        </is>
      </c>
      <c r="G383" t="inlineStr">
        <is>
          <t>VANSBRO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45222</v>
      </c>
      <c r="E384" s="1" t="n">
        <v>46229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46229</v>
      </c>
      <c r="F385" t="inlineStr">
        <is>
          <t>DALARNAS LÄN</t>
        </is>
      </c>
      <c r="G385" t="inlineStr">
        <is>
          <t>VANSBRO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46229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60031-2022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46229</v>
      </c>
      <c r="F387" t="inlineStr">
        <is>
          <t>DALARNAS LÄN</t>
        </is>
      </c>
      <c r="G387" t="inlineStr">
        <is>
          <t>VANSBRO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46229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46229</v>
      </c>
      <c r="F389" t="inlineStr">
        <is>
          <t>DALARNAS LÄN</t>
        </is>
      </c>
      <c r="G389" t="inlineStr">
        <is>
          <t>VANSBRO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46229</v>
      </c>
      <c r="F390" t="inlineStr">
        <is>
          <t>DALARNAS LÄN</t>
        </is>
      </c>
      <c r="G390" t="inlineStr">
        <is>
          <t>VANSBRO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46229</v>
      </c>
      <c r="F391" t="inlineStr">
        <is>
          <t>DALARNAS LÄN</t>
        </is>
      </c>
      <c r="G391" t="inlineStr">
        <is>
          <t>VANSBRO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46229</v>
      </c>
      <c r="F392" t="inlineStr">
        <is>
          <t>DALARNAS LÄN</t>
        </is>
      </c>
      <c r="G392" t="inlineStr">
        <is>
          <t>VANSBRO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46229</v>
      </c>
      <c r="F393" t="inlineStr">
        <is>
          <t>DALARNAS LÄN</t>
        </is>
      </c>
      <c r="G393" t="inlineStr">
        <is>
          <t>VANSBRO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46229</v>
      </c>
      <c r="F394" t="inlineStr">
        <is>
          <t>DALARNAS LÄN</t>
        </is>
      </c>
      <c r="G394" t="inlineStr">
        <is>
          <t>VANSBRO</t>
        </is>
      </c>
      <c r="H394" t="inlineStr">
        <is>
          <t>Kommuner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46229</v>
      </c>
      <c r="F395" t="inlineStr">
        <is>
          <t>DALARNAS LÄN</t>
        </is>
      </c>
      <c r="G395" t="inlineStr">
        <is>
          <t>VANSBRO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46229</v>
      </c>
      <c r="F396" t="inlineStr">
        <is>
          <t>DALARNAS LÄN</t>
        </is>
      </c>
      <c r="G396" t="inlineStr">
        <is>
          <t>VANSBRO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44931</v>
      </c>
      <c r="E397" s="1" t="n">
        <v>46229</v>
      </c>
      <c r="F397" t="inlineStr">
        <is>
          <t>DALARNAS LÄN</t>
        </is>
      </c>
      <c r="G397" t="inlineStr">
        <is>
          <t>VANSBRO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46229</v>
      </c>
      <c r="F398" t="inlineStr">
        <is>
          <t>DALARNAS LÄN</t>
        </is>
      </c>
      <c r="G398" t="inlineStr">
        <is>
          <t>VANSBRO</t>
        </is>
      </c>
      <c r="H398" t="inlineStr">
        <is>
          <t>Övriga statliga verk och myndigheter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46229</v>
      </c>
      <c r="F399" t="inlineStr">
        <is>
          <t>DALARNAS LÄN</t>
        </is>
      </c>
      <c r="G399" t="inlineStr">
        <is>
          <t>VANSBRO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46229</v>
      </c>
      <c r="F400" t="inlineStr">
        <is>
          <t>DALARNAS LÄN</t>
        </is>
      </c>
      <c r="G400" t="inlineStr">
        <is>
          <t>VANSBRO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46229</v>
      </c>
      <c r="F401" t="inlineStr">
        <is>
          <t>DALARNAS LÄN</t>
        </is>
      </c>
      <c r="G401" t="inlineStr">
        <is>
          <t>VANSBRO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46229</v>
      </c>
      <c r="F402" t="inlineStr">
        <is>
          <t>DALARNAS LÄN</t>
        </is>
      </c>
      <c r="G402" t="inlineStr">
        <is>
          <t>VANSBRO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46229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46229</v>
      </c>
      <c r="F404" t="inlineStr">
        <is>
          <t>DALARNAS LÄN</t>
        </is>
      </c>
      <c r="G404" t="inlineStr">
        <is>
          <t>VANSBRO</t>
        </is>
      </c>
      <c r="I404" t="n">
        <v>15.5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46229</v>
      </c>
      <c r="F405" t="inlineStr">
        <is>
          <t>DALARNAS LÄN</t>
        </is>
      </c>
      <c r="G405" t="inlineStr">
        <is>
          <t>VANSBRO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46229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61515-2022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46229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46229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46229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45783</v>
      </c>
      <c r="E410" s="1" t="n">
        <v>46229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46229</v>
      </c>
      <c r="F411" t="inlineStr">
        <is>
          <t>DALARNAS LÄN</t>
        </is>
      </c>
      <c r="G411" t="inlineStr">
        <is>
          <t>VANSBRO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45783</v>
      </c>
      <c r="E412" s="1" t="n">
        <v>46229</v>
      </c>
      <c r="F412" t="inlineStr">
        <is>
          <t>DALARNAS LÄN</t>
        </is>
      </c>
      <c r="G412" t="inlineStr">
        <is>
          <t>VANSBRO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42207-2021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44426</v>
      </c>
      <c r="E413" s="1" t="n">
        <v>46229</v>
      </c>
      <c r="F413" t="inlineStr">
        <is>
          <t>DALARNAS LÄN</t>
        </is>
      </c>
      <c r="G413" t="inlineStr">
        <is>
          <t>VANSBRO</t>
        </is>
      </c>
      <c r="I413" t="n">
        <v>25.5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45483</v>
      </c>
      <c r="E414" s="1" t="n">
        <v>46229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45492</v>
      </c>
      <c r="E415" s="1" t="n">
        <v>46229</v>
      </c>
      <c r="F415" t="inlineStr">
        <is>
          <t>DALARNAS LÄN</t>
        </is>
      </c>
      <c r="G415" t="inlineStr">
        <is>
          <t>VANSBRO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23085-2022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46229</v>
      </c>
      <c r="F416" t="inlineStr">
        <is>
          <t>DALARNAS LÄN</t>
        </is>
      </c>
      <c r="G416" t="inlineStr">
        <is>
          <t>VANSBRO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46229</v>
      </c>
      <c r="F417" t="inlineStr">
        <is>
          <t>DALARNAS LÄN</t>
        </is>
      </c>
      <c r="G417" t="inlineStr">
        <is>
          <t>VANSBRO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46229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29411-2024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45483</v>
      </c>
      <c r="E419" s="1" t="n">
        <v>46229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46229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46229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46229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46229</v>
      </c>
      <c r="F423" t="inlineStr">
        <is>
          <t>DALARNAS LÄN</t>
        </is>
      </c>
      <c r="G423" t="inlineStr">
        <is>
          <t>VANSBRO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46229</v>
      </c>
      <c r="F424" t="inlineStr">
        <is>
          <t>DALARNAS LÄN</t>
        </is>
      </c>
      <c r="G424" t="inlineStr">
        <is>
          <t>VANSBRO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46229</v>
      </c>
      <c r="F425" t="inlineStr">
        <is>
          <t>DALARNAS LÄN</t>
        </is>
      </c>
      <c r="G425" t="inlineStr">
        <is>
          <t>VANSBRO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46229</v>
      </c>
      <c r="F426" t="inlineStr">
        <is>
          <t>DALARNAS LÄN</t>
        </is>
      </c>
      <c r="G426" t="inlineStr">
        <is>
          <t>VANSBRO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46229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46229</v>
      </c>
      <c r="F428" t="inlineStr">
        <is>
          <t>DALARNAS LÄN</t>
        </is>
      </c>
      <c r="G428" t="inlineStr">
        <is>
          <t>VANSBRO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46229</v>
      </c>
      <c r="F429" t="inlineStr">
        <is>
          <t>DALARNAS LÄN</t>
        </is>
      </c>
      <c r="G429" t="inlineStr">
        <is>
          <t>VANSBRO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46229</v>
      </c>
      <c r="F430" t="inlineStr">
        <is>
          <t>DALARNAS LÄN</t>
        </is>
      </c>
      <c r="G430" t="inlineStr">
        <is>
          <t>VANSBRO</t>
        </is>
      </c>
      <c r="I430" t="n">
        <v>27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46229</v>
      </c>
      <c r="F431" t="inlineStr">
        <is>
          <t>DALARNAS LÄN</t>
        </is>
      </c>
      <c r="G431" t="inlineStr">
        <is>
          <t>VANSBRO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46229</v>
      </c>
      <c r="F432" t="inlineStr">
        <is>
          <t>DALARNAS LÄN</t>
        </is>
      </c>
      <c r="G432" t="inlineStr">
        <is>
          <t>VANSBRO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46229</v>
      </c>
      <c r="F433" t="inlineStr">
        <is>
          <t>DALARNAS LÄN</t>
        </is>
      </c>
      <c r="G433" t="inlineStr">
        <is>
          <t>VANSBRO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46229</v>
      </c>
      <c r="F434" t="inlineStr">
        <is>
          <t>DALARNAS LÄN</t>
        </is>
      </c>
      <c r="G434" t="inlineStr">
        <is>
          <t>VANSBRO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46229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46229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46229</v>
      </c>
      <c r="F437" t="inlineStr">
        <is>
          <t>DALARNAS LÄN</t>
        </is>
      </c>
      <c r="G437" t="inlineStr">
        <is>
          <t>VANSBRO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46229</v>
      </c>
      <c r="F438" t="inlineStr">
        <is>
          <t>DALARNAS LÄN</t>
        </is>
      </c>
      <c r="G438" t="inlineStr">
        <is>
          <t>VANSBRO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46229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46229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46229</v>
      </c>
      <c r="F441" t="inlineStr">
        <is>
          <t>DALARNAS LÄN</t>
        </is>
      </c>
      <c r="G441" t="inlineStr">
        <is>
          <t>VANSBRO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45868</v>
      </c>
      <c r="E442" s="1" t="n">
        <v>46229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46229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46229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46229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46229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46229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46229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2026-07-26T01:52:20Z</dcterms:created>
  <dcterms:modified xmlns:dcterms="http://purl.org/dc/terms/" xmlns:xsi="http://www.w3.org/2001/XMLSchema-instance" xsi:type="dcterms:W3CDTF">2026-07-26T01:52:21Z</dcterms:modified>
</cp:coreProperties>
</file>