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46315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46315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46315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46315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46315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46315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46315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46315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46315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46315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46315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46315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46315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46315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46315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3854-2024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46315</v>
      </c>
      <c r="F24" t="inlineStr">
        <is>
          <t>DALARNAS LÄN</t>
        </is>
      </c>
      <c r="G24" t="inlineStr">
        <is>
          <t>VANSBRO</t>
        </is>
      </c>
      <c r="H24" t="inlineStr">
        <is>
          <t>Kyrkan</t>
        </is>
      </c>
      <c r="I24" t="n">
        <v>4.6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3</v>
      </c>
      <c r="V24" s="2" t="inlineStr">
        <is>
          <t>Garnlav
Tretåig hackspett
Björksplintborre
Utter</t>
        </is>
      </c>
      <c r="W24">
        <f>HYPERLINK("https://klasma.github.io/Logging_2021/artfynd/A 3854-2024 artfynd.xlsx", "A 3854-2024")</f>
        <v/>
      </c>
      <c r="X24">
        <f>HYPERLINK("https://klasma.github.io/Logging_2021/kartor/A 3854-2024 karta.png", "A 3854-2024")</f>
        <v/>
      </c>
      <c r="Y24">
        <f>HYPERLINK("https://klasma.github.io/Logging_2021/kartor_geotiff/A 3854-2024 georefererad karta.tif", "A 3854-2024")</f>
        <v/>
      </c>
      <c r="AA24">
        <f>HYPERLINK("https://klasma.github.io/Logging_2021/klagomål/A 3854-2024 FSC-klagomål.docx", "A 3854-2024")</f>
        <v/>
      </c>
      <c r="AB24">
        <f>HYPERLINK("https://klasma.github.io/Logging_2021/klagomålsmail/A 3854-2024 FSC-klagomål mail.docx", "A 3854-2024")</f>
        <v/>
      </c>
      <c r="AC24">
        <f>HYPERLINK("https://klasma.github.io/Logging_2021/tillsyn/A 3854-2024 tillsynsbegäran.docx", "A 3854-2024")</f>
        <v/>
      </c>
      <c r="AD24">
        <f>HYPERLINK("https://klasma.github.io/Logging_2021/tillsynsmail/A 3854-2024 tillsynsbegäran mail.docx", "A 3854-2024")</f>
        <v/>
      </c>
      <c r="AE24">
        <f>HYPERLINK("https://klasma.github.io/Logging_2021/fåglar/A 3854-2024 prioriterade fågelarter.docx", "A 3854-2024")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46315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46315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46315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46315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46315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46315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46315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46315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46315</v>
      </c>
      <c r="F33" t="inlineStr">
        <is>
          <t>DALARNAS LÄN</t>
        </is>
      </c>
      <c r="G33" t="inlineStr">
        <is>
          <t>VANSBRO</t>
        </is>
      </c>
      <c r="I33" t="n">
        <v>0.7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8</v>
      </c>
      <c r="U33" t="n">
        <v>8</v>
      </c>
      <c r="V33" s="2" t="inlineStr">
        <is>
          <t>Kolflarnlav
Mörk kolflarnlav
Tjäder</t>
        </is>
      </c>
      <c r="W33">
        <f>HYPERLINK("https://klasma.github.io/Logging_2021/artfynd/A 33000-2025 artfynd.xlsx", "A 33000-2025")</f>
        <v/>
      </c>
      <c r="X33">
        <f>HYPERLINK("https://klasma.github.io/Logging_2021/kartor/A 33000-2025 karta.png", "A 33000-2025")</f>
        <v/>
      </c>
      <c r="Y33">
        <f>HYPERLINK("https://klasma.github.io/Logging_2021/kartor_geotiff/A 33000-2025 georefererad karta.tif", "A 33000-2025")</f>
        <v/>
      </c>
      <c r="AA33">
        <f>HYPERLINK("https://klasma.github.io/Logging_2021/klagomål/A 33000-2025 FSC-klagomål.docx", "A 33000-2025")</f>
        <v/>
      </c>
      <c r="AB33">
        <f>HYPERLINK("https://klasma.github.io/Logging_2021/klagomålsmail/A 33000-2025 FSC-klagomål mail.docx", "A 33000-2025")</f>
        <v/>
      </c>
      <c r="AC33">
        <f>HYPERLINK("https://klasma.github.io/Logging_2021/tillsyn/A 33000-2025 tillsynsbegäran.docx", "A 33000-2025")</f>
        <v/>
      </c>
      <c r="AD33">
        <f>HYPERLINK("https://klasma.github.io/Logging_2021/tillsynsmail/A 33000-2025 tillsynsbegäran mail.docx", "A 33000-2025")</f>
        <v/>
      </c>
      <c r="AE33">
        <f>HYPERLINK("https://klasma.github.io/Logging_2021/fåglar/A 33000-2025 prioriterade fågelarter.docx", "A 33000-2025")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46315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46315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46315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46315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46315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19656-2026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46315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18.2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Ängsblåvinge
Berggräsfjäril</t>
        </is>
      </c>
      <c r="W39">
        <f>HYPERLINK("https://klasma.github.io/Logging_2021/artfynd/A 19656-2026 artfynd.xlsx", "A 19656-2026")</f>
        <v/>
      </c>
      <c r="X39">
        <f>HYPERLINK("https://klasma.github.io/Logging_2021/kartor/A 19656-2026 karta.png", "A 19656-2026")</f>
        <v/>
      </c>
      <c r="Y39">
        <f>HYPERLINK("https://klasma.github.io/Logging_2021/kartor_geotiff/A 19656-2026 georefererad karta.tif", "A 19656-2026")</f>
        <v/>
      </c>
      <c r="AA39">
        <f>HYPERLINK("https://klasma.github.io/Logging_2021/klagomål/A 19656-2026 FSC-klagomål.docx", "A 19656-2026")</f>
        <v/>
      </c>
      <c r="AB39">
        <f>HYPERLINK("https://klasma.github.io/Logging_2021/klagomålsmail/A 19656-2026 FSC-klagomål mail.docx", "A 19656-2026")</f>
        <v/>
      </c>
      <c r="AC39">
        <f>HYPERLINK("https://klasma.github.io/Logging_2021/tillsyn/A 19656-2026 tillsynsbegäran.docx", "A 19656-2026")</f>
        <v/>
      </c>
      <c r="AD39">
        <f>HYPERLINK("https://klasma.github.io/Logging_2021/tillsynsmail/A 19656-2026 tillsynsbegäran mail.docx", "A 19656-2026")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46315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52675-2025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45956</v>
      </c>
      <c r="E41" s="1" t="n">
        <v>46315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4.5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Motaggsvamp</t>
        </is>
      </c>
      <c r="W41">
        <f>HYPERLINK("https://klasma.github.io/Logging_2021/artfynd/A 52675-2025 artfynd.xlsx", "A 52675-2025")</f>
        <v/>
      </c>
      <c r="X41">
        <f>HYPERLINK("https://klasma.github.io/Logging_2021/kartor/A 52675-2025 karta.png", "A 52675-2025")</f>
        <v/>
      </c>
      <c r="Y41">
        <f>HYPERLINK("https://klasma.github.io/Logging_2021/kartor_geotiff/A 52675-2025 georefererad karta.tif", "A 52675-2025")</f>
        <v/>
      </c>
      <c r="AA41">
        <f>HYPERLINK("https://klasma.github.io/Logging_2021/klagomål/A 52675-2025 FSC-klagomål.docx", "A 52675-2025")</f>
        <v/>
      </c>
      <c r="AB41">
        <f>HYPERLINK("https://klasma.github.io/Logging_2021/klagomålsmail/A 52675-2025 FSC-klagomål mail.docx", "A 52675-2025")</f>
        <v/>
      </c>
      <c r="AC41">
        <f>HYPERLINK("https://klasma.github.io/Logging_2021/tillsyn/A 52675-2025 tillsynsbegäran.docx", "A 52675-2025")</f>
        <v/>
      </c>
      <c r="AD41">
        <f>HYPERLINK("https://klasma.github.io/Logging_2021/tillsynsmail/A 52675-2025 tillsynsbegäran mail.docx", "A 52675-2025")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46315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46315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46315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46315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46315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46315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46315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46315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46315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27052-2025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46315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HYPERLINK("https://klasma.github.io/Logging_2021/artfynd/A 27052-2025 artfynd.xlsx", "A 27052-2025")</f>
        <v/>
      </c>
      <c r="X51">
        <f>HYPERLINK("https://klasma.github.io/Logging_2021/kartor/A 27052-2025 karta.png", "A 27052-2025")</f>
        <v/>
      </c>
      <c r="Y51">
        <f>HYPERLINK("https://klasma.github.io/Logging_2021/kartor_geotiff/A 27052-2025 georefererad karta.tif", "A 27052-2025")</f>
        <v/>
      </c>
      <c r="AA51">
        <f>HYPERLINK("https://klasma.github.io/Logging_2021/klagomål/A 27052-2025 FSC-klagomål.docx", "A 27052-2025")</f>
        <v/>
      </c>
      <c r="AB51">
        <f>HYPERLINK("https://klasma.github.io/Logging_2021/klagomålsmail/A 27052-2025 FSC-klagomål mail.docx", "A 27052-2025")</f>
        <v/>
      </c>
      <c r="AC51">
        <f>HYPERLINK("https://klasma.github.io/Logging_2021/tillsyn/A 27052-2025 tillsynsbegäran.docx", "A 27052-2025")</f>
        <v/>
      </c>
      <c r="AD51">
        <f>HYPERLINK("https://klasma.github.io/Logging_2021/tillsynsmail/A 27052-2025 tillsynsbegäran mail.docx", "A 27052-2025")</f>
        <v/>
      </c>
      <c r="AE51">
        <f>HYPERLINK("https://klasma.github.io/Logging_2021/fåglar/A 27052-2025 prioriterade fågelarter.docx", "A 27052-2025")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46315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46315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46315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46315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46315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46315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46315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46315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46315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46315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46315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46315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46315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46315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46315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46315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46315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46315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46315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46315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46315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46315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46315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46315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46315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46315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46315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46315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46315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46315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46315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46315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46315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45363</v>
      </c>
      <c r="E85" s="1" t="n">
        <v>46315</v>
      </c>
      <c r="F85" t="inlineStr">
        <is>
          <t>DALARNAS LÄN</t>
        </is>
      </c>
      <c r="G85" t="inlineStr">
        <is>
          <t>VANSBRO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46315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45749</v>
      </c>
      <c r="E87" s="1" t="n">
        <v>46315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46315</v>
      </c>
      <c r="F88" t="inlineStr">
        <is>
          <t>DALARNAS LÄN</t>
        </is>
      </c>
      <c r="G88" t="inlineStr">
        <is>
          <t>VANSBRO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45533</v>
      </c>
      <c r="E89" s="1" t="n">
        <v>46315</v>
      </c>
      <c r="F89" t="inlineStr">
        <is>
          <t>DALARNAS LÄN</t>
        </is>
      </c>
      <c r="G89" t="inlineStr">
        <is>
          <t>VANSBRO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45512</v>
      </c>
      <c r="E90" s="1" t="n">
        <v>46315</v>
      </c>
      <c r="F90" t="inlineStr">
        <is>
          <t>DALARNAS LÄN</t>
        </is>
      </c>
      <c r="G90" t="inlineStr">
        <is>
          <t>VANSBRO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46315</v>
      </c>
      <c r="F91" t="inlineStr">
        <is>
          <t>DALARNAS LÄN</t>
        </is>
      </c>
      <c r="G91" t="inlineStr">
        <is>
          <t>VANSBRO</t>
        </is>
      </c>
      <c r="H91" t="inlineStr">
        <is>
          <t>Övriga statliga verk och myndigheter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46315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45457</v>
      </c>
      <c r="E93" s="1" t="n">
        <v>46315</v>
      </c>
      <c r="F93" t="inlineStr">
        <is>
          <t>DALARNAS LÄN</t>
        </is>
      </c>
      <c r="G93" t="inlineStr">
        <is>
          <t>VANSBRO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46315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46315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46315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46315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46315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46315</v>
      </c>
      <c r="F99" t="inlineStr">
        <is>
          <t>DALARNAS LÄN</t>
        </is>
      </c>
      <c r="G99" t="inlineStr">
        <is>
          <t>VANSBRO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60848-2024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46315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46315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46315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46315</v>
      </c>
      <c r="F103" t="inlineStr">
        <is>
          <t>DALARNAS LÄN</t>
        </is>
      </c>
      <c r="G103" t="inlineStr">
        <is>
          <t>VANSBRO</t>
        </is>
      </c>
      <c r="H103" t="inlineStr">
        <is>
          <t>Övriga statliga verk och myndigheter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46315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46315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46315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46315</v>
      </c>
      <c r="F107" t="inlineStr">
        <is>
          <t>DALARNAS LÄN</t>
        </is>
      </c>
      <c r="G107" t="inlineStr">
        <is>
          <t>VANSBRO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45689</v>
      </c>
      <c r="E108" s="1" t="n">
        <v>46315</v>
      </c>
      <c r="F108" t="inlineStr">
        <is>
          <t>DALARNAS LÄN</t>
        </is>
      </c>
      <c r="G108" t="inlineStr">
        <is>
          <t>VANSBRO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46315</v>
      </c>
      <c r="F109" t="inlineStr">
        <is>
          <t>DALARNAS LÄN</t>
        </is>
      </c>
      <c r="G109" t="inlineStr">
        <is>
          <t>VANSBRO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46315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45498</v>
      </c>
      <c r="E111" s="1" t="n">
        <v>46315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46315</v>
      </c>
      <c r="F112" t="inlineStr">
        <is>
          <t>DALARNAS LÄN</t>
        </is>
      </c>
      <c r="G112" t="inlineStr">
        <is>
          <t>VANSBRO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45085</v>
      </c>
      <c r="E113" s="1" t="n">
        <v>46315</v>
      </c>
      <c r="F113" t="inlineStr">
        <is>
          <t>DALARNAS LÄN</t>
        </is>
      </c>
      <c r="G113" t="inlineStr">
        <is>
          <t>VANSBRO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46315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46315</v>
      </c>
      <c r="F115" t="inlineStr">
        <is>
          <t>DALARNAS LÄN</t>
        </is>
      </c>
      <c r="G115" t="inlineStr">
        <is>
          <t>VANSBRO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20931-2022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44701</v>
      </c>
      <c r="E116" s="1" t="n">
        <v>46315</v>
      </c>
      <c r="F116" t="inlineStr">
        <is>
          <t>DALARNAS LÄN</t>
        </is>
      </c>
      <c r="G116" t="inlineStr">
        <is>
          <t>VANSBRO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45689</v>
      </c>
      <c r="E117" s="1" t="n">
        <v>46315</v>
      </c>
      <c r="F117" t="inlineStr">
        <is>
          <t>DALARNAS LÄN</t>
        </is>
      </c>
      <c r="G117" t="inlineStr">
        <is>
          <t>VANSBRO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46315</v>
      </c>
      <c r="F118" t="inlineStr">
        <is>
          <t>DALARNAS LÄN</t>
        </is>
      </c>
      <c r="G118" t="inlineStr">
        <is>
          <t>VANSBRO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46315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45299</v>
      </c>
      <c r="E120" s="1" t="n">
        <v>46315</v>
      </c>
      <c r="F120" t="inlineStr">
        <is>
          <t>DALARNAS LÄN</t>
        </is>
      </c>
      <c r="G120" t="inlineStr">
        <is>
          <t>VANSBRO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46315</v>
      </c>
      <c r="F121" t="inlineStr">
        <is>
          <t>DALARNAS LÄN</t>
        </is>
      </c>
      <c r="G121" t="inlineStr">
        <is>
          <t>VANSBRO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45601</v>
      </c>
      <c r="E122" s="1" t="n">
        <v>46315</v>
      </c>
      <c r="F122" t="inlineStr">
        <is>
          <t>DALARNAS LÄN</t>
        </is>
      </c>
      <c r="G122" t="inlineStr">
        <is>
          <t>VANSBRO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46315</v>
      </c>
      <c r="F123" t="inlineStr">
        <is>
          <t>DALARNAS LÄN</t>
        </is>
      </c>
      <c r="G123" t="inlineStr">
        <is>
          <t>VANSBRO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45481</v>
      </c>
      <c r="E124" s="1" t="n">
        <v>46315</v>
      </c>
      <c r="F124" t="inlineStr">
        <is>
          <t>DALARNAS LÄN</t>
        </is>
      </c>
      <c r="G124" t="inlineStr">
        <is>
          <t>VANSBRO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46315</v>
      </c>
      <c r="F125" t="inlineStr">
        <is>
          <t>DALARNAS LÄN</t>
        </is>
      </c>
      <c r="G125" t="inlineStr">
        <is>
          <t>VANSBRO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46315</v>
      </c>
      <c r="F126" t="inlineStr">
        <is>
          <t>DALARNAS LÄN</t>
        </is>
      </c>
      <c r="G126" t="inlineStr">
        <is>
          <t>VANSBRO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46315</v>
      </c>
      <c r="F127" t="inlineStr">
        <is>
          <t>DALARNAS LÄN</t>
        </is>
      </c>
      <c r="G127" t="inlineStr">
        <is>
          <t>VANSBRO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51396-2022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44869</v>
      </c>
      <c r="E128" s="1" t="n">
        <v>46315</v>
      </c>
      <c r="F128" t="inlineStr">
        <is>
          <t>DALARNAS LÄN</t>
        </is>
      </c>
      <c r="G128" t="inlineStr">
        <is>
          <t>VANSBRO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38670-2025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45884</v>
      </c>
      <c r="E129" s="1" t="n">
        <v>46315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45532</v>
      </c>
      <c r="E130" s="1" t="n">
        <v>46315</v>
      </c>
      <c r="F130" t="inlineStr">
        <is>
          <t>DALARNAS LÄN</t>
        </is>
      </c>
      <c r="G130" t="inlineStr">
        <is>
          <t>VANSBRO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11598-2025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45727</v>
      </c>
      <c r="E131" s="1" t="n">
        <v>46315</v>
      </c>
      <c r="F131" t="inlineStr">
        <is>
          <t>DALARNAS LÄN</t>
        </is>
      </c>
      <c r="G131" t="inlineStr">
        <is>
          <t>VANSBRO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45631</v>
      </c>
      <c r="E132" s="1" t="n">
        <v>46315</v>
      </c>
      <c r="F132" t="inlineStr">
        <is>
          <t>DALARNAS LÄN</t>
        </is>
      </c>
      <c r="G132" t="inlineStr">
        <is>
          <t>VANSBRO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46315</v>
      </c>
      <c r="F133" t="inlineStr">
        <is>
          <t>DALARNAS LÄN</t>
        </is>
      </c>
      <c r="G133" t="inlineStr">
        <is>
          <t>VANSBRO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46315</v>
      </c>
      <c r="F134" t="inlineStr">
        <is>
          <t>DALARNAS LÄN</t>
        </is>
      </c>
      <c r="G134" t="inlineStr">
        <is>
          <t>VANSBRO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45672</v>
      </c>
      <c r="E135" s="1" t="n">
        <v>46315</v>
      </c>
      <c r="F135" t="inlineStr">
        <is>
          <t>DALARNAS LÄN</t>
        </is>
      </c>
      <c r="G135" t="inlineStr">
        <is>
          <t>VANSBRO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46315</v>
      </c>
      <c r="F136" t="inlineStr">
        <is>
          <t>DALARNAS LÄN</t>
        </is>
      </c>
      <c r="G136" t="inlineStr">
        <is>
          <t>VANSBRO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46315</v>
      </c>
      <c r="F137" t="inlineStr">
        <is>
          <t>DALARNAS LÄN</t>
        </is>
      </c>
      <c r="G137" t="inlineStr">
        <is>
          <t>VANSBRO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46315</v>
      </c>
      <c r="F138" t="inlineStr">
        <is>
          <t>DALARNAS LÄN</t>
        </is>
      </c>
      <c r="G138" t="inlineStr">
        <is>
          <t>VANSBRO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46315</v>
      </c>
      <c r="F139" t="inlineStr">
        <is>
          <t>DALARNAS LÄN</t>
        </is>
      </c>
      <c r="G139" t="inlineStr">
        <is>
          <t>VANSBRO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46315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45225</v>
      </c>
      <c r="E141" s="1" t="n">
        <v>46315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46315</v>
      </c>
      <c r="F142" t="inlineStr">
        <is>
          <t>DALARNAS LÄN</t>
        </is>
      </c>
      <c r="G142" t="inlineStr">
        <is>
          <t>VANSBRO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45691</v>
      </c>
      <c r="E143" s="1" t="n">
        <v>46315</v>
      </c>
      <c r="F143" t="inlineStr">
        <is>
          <t>DALARNAS LÄN</t>
        </is>
      </c>
      <c r="G143" t="inlineStr">
        <is>
          <t>VANSBRO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44957</v>
      </c>
      <c r="E144" s="1" t="n">
        <v>46315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46315</v>
      </c>
      <c r="F145" t="inlineStr">
        <is>
          <t>DALARNAS LÄN</t>
        </is>
      </c>
      <c r="G145" t="inlineStr">
        <is>
          <t>VANSBRO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46315</v>
      </c>
      <c r="F146" t="inlineStr">
        <is>
          <t>DALARNAS LÄN</t>
        </is>
      </c>
      <c r="G146" t="inlineStr">
        <is>
          <t>VANSBRO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46051</v>
      </c>
      <c r="E147" s="1" t="n">
        <v>46315</v>
      </c>
      <c r="F147" t="inlineStr">
        <is>
          <t>DALARNAS LÄN</t>
        </is>
      </c>
      <c r="G147" t="inlineStr">
        <is>
          <t>VANSBRO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45940</v>
      </c>
      <c r="E148" s="1" t="n">
        <v>46315</v>
      </c>
      <c r="F148" t="inlineStr">
        <is>
          <t>DALARNAS LÄN</t>
        </is>
      </c>
      <c r="G148" t="inlineStr">
        <is>
          <t>VANSBRO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46315</v>
      </c>
      <c r="F149" t="inlineStr">
        <is>
          <t>DALARNAS LÄN</t>
        </is>
      </c>
      <c r="G149" t="inlineStr">
        <is>
          <t>VANSBRO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46315</v>
      </c>
      <c r="F150" t="inlineStr">
        <is>
          <t>DALARNAS LÄN</t>
        </is>
      </c>
      <c r="G150" t="inlineStr">
        <is>
          <t>VANSBRO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46315</v>
      </c>
      <c r="F151" t="inlineStr">
        <is>
          <t>DALARNAS LÄN</t>
        </is>
      </c>
      <c r="G151" t="inlineStr">
        <is>
          <t>VANSBRO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46315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46315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46315</v>
      </c>
      <c r="F154" t="inlineStr">
        <is>
          <t>DALARNAS LÄN</t>
        </is>
      </c>
      <c r="G154" t="inlineStr">
        <is>
          <t>VANSBRO</t>
        </is>
      </c>
      <c r="H154" t="inlineStr">
        <is>
          <t>Kommuner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46315</v>
      </c>
      <c r="F155" t="inlineStr">
        <is>
          <t>DALARNAS LÄN</t>
        </is>
      </c>
      <c r="G155" t="inlineStr">
        <is>
          <t>VANSBRO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46315</v>
      </c>
      <c r="F156" t="inlineStr">
        <is>
          <t>DALARNAS LÄN</t>
        </is>
      </c>
      <c r="G156" t="inlineStr">
        <is>
          <t>VANSBRO</t>
        </is>
      </c>
      <c r="I156" t="n">
        <v>15.8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45689</v>
      </c>
      <c r="E157" s="1" t="n">
        <v>46315</v>
      </c>
      <c r="F157" t="inlineStr">
        <is>
          <t>DALARNAS LÄN</t>
        </is>
      </c>
      <c r="G157" t="inlineStr">
        <is>
          <t>VANSBRO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45689</v>
      </c>
      <c r="E158" s="1" t="n">
        <v>46315</v>
      </c>
      <c r="F158" t="inlineStr">
        <is>
          <t>DALARNAS LÄN</t>
        </is>
      </c>
      <c r="G158" t="inlineStr">
        <is>
          <t>VANSBRO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46315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46315</v>
      </c>
      <c r="F160" t="inlineStr">
        <is>
          <t>DALARNAS LÄN</t>
        </is>
      </c>
      <c r="G160" t="inlineStr">
        <is>
          <t>VANSBRO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46315</v>
      </c>
      <c r="F161" t="inlineStr">
        <is>
          <t>DALARNAS LÄN</t>
        </is>
      </c>
      <c r="G161" t="inlineStr">
        <is>
          <t>VANSBRO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46315</v>
      </c>
      <c r="F162" t="inlineStr">
        <is>
          <t>DALARNAS LÄN</t>
        </is>
      </c>
      <c r="G162" t="inlineStr">
        <is>
          <t>VANSBRO</t>
        </is>
      </c>
      <c r="H162" t="inlineStr">
        <is>
          <t>Övriga statliga verk och myndigheter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45933</v>
      </c>
      <c r="E163" s="1" t="n">
        <v>46315</v>
      </c>
      <c r="F163" t="inlineStr">
        <is>
          <t>DALARNAS LÄN</t>
        </is>
      </c>
      <c r="G163" t="inlineStr">
        <is>
          <t>VANSBRO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8694-2023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44972</v>
      </c>
      <c r="E164" s="1" t="n">
        <v>46315</v>
      </c>
      <c r="F164" t="inlineStr">
        <is>
          <t>DALARNAS LÄN</t>
        </is>
      </c>
      <c r="G164" t="inlineStr">
        <is>
          <t>VANSBRO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46315</v>
      </c>
      <c r="F165" t="inlineStr">
        <is>
          <t>DALARNAS LÄN</t>
        </is>
      </c>
      <c r="G165" t="inlineStr">
        <is>
          <t>VANSBRO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48840-2025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45937</v>
      </c>
      <c r="E166" s="1" t="n">
        <v>46315</v>
      </c>
      <c r="F166" t="inlineStr">
        <is>
          <t>DALARNAS LÄN</t>
        </is>
      </c>
      <c r="G166" t="inlineStr">
        <is>
          <t>VANSBRO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46315</v>
      </c>
      <c r="F167" t="inlineStr">
        <is>
          <t>DALARNAS LÄN</t>
        </is>
      </c>
      <c r="G167" t="inlineStr">
        <is>
          <t>VANSBRO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46315</v>
      </c>
      <c r="F168" t="inlineStr">
        <is>
          <t>DALARNAS LÄN</t>
        </is>
      </c>
      <c r="G168" t="inlineStr">
        <is>
          <t>VANSBRO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46315</v>
      </c>
      <c r="F169" t="inlineStr">
        <is>
          <t>DALARNAS LÄN</t>
        </is>
      </c>
      <c r="G169" t="inlineStr">
        <is>
          <t>VANSBRO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46315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46315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46315</v>
      </c>
      <c r="F172" t="inlineStr">
        <is>
          <t>DALARNAS LÄN</t>
        </is>
      </c>
      <c r="G172" t="inlineStr">
        <is>
          <t>VANSBRO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45950</v>
      </c>
      <c r="E173" s="1" t="n">
        <v>46315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46315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46315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46315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45956</v>
      </c>
      <c r="E177" s="1" t="n">
        <v>46315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46315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46315</v>
      </c>
      <c r="F179" t="inlineStr">
        <is>
          <t>DALARNAS LÄN</t>
        </is>
      </c>
      <c r="G179" t="inlineStr">
        <is>
          <t>VANSBRO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46315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46315</v>
      </c>
      <c r="F181" t="inlineStr">
        <is>
          <t>DALARNAS LÄN</t>
        </is>
      </c>
      <c r="G181" t="inlineStr">
        <is>
          <t>VANSBRO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46315</v>
      </c>
      <c r="F182" t="inlineStr">
        <is>
          <t>DALARNAS LÄN</t>
        </is>
      </c>
      <c r="G182" t="inlineStr">
        <is>
          <t>VANSBRO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46315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46315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46315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46315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46315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46315</v>
      </c>
      <c r="F188" t="inlineStr">
        <is>
          <t>DALARNAS LÄN</t>
        </is>
      </c>
      <c r="G188" t="inlineStr">
        <is>
          <t>VANSBRO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46315</v>
      </c>
      <c r="F189" t="inlineStr">
        <is>
          <t>DALARNAS LÄN</t>
        </is>
      </c>
      <c r="G189" t="inlineStr">
        <is>
          <t>VANSBRO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46315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46315</v>
      </c>
      <c r="F191" t="inlineStr">
        <is>
          <t>DALARNAS LÄN</t>
        </is>
      </c>
      <c r="G191" t="inlineStr">
        <is>
          <t>VANSBRO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46315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60031-2022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44909</v>
      </c>
      <c r="E193" s="1" t="n">
        <v>46315</v>
      </c>
      <c r="F193" t="inlineStr">
        <is>
          <t>DALARNAS LÄN</t>
        </is>
      </c>
      <c r="G193" t="inlineStr">
        <is>
          <t>VANSBRO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45247</v>
      </c>
      <c r="E194" s="1" t="n">
        <v>46315</v>
      </c>
      <c r="F194" t="inlineStr">
        <is>
          <t>DALARNAS LÄN</t>
        </is>
      </c>
      <c r="G194" t="inlineStr">
        <is>
          <t>VANSBRO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46315</v>
      </c>
      <c r="F195" t="inlineStr">
        <is>
          <t>DALARNAS LÄN</t>
        </is>
      </c>
      <c r="G195" t="inlineStr">
        <is>
          <t>VANSBRO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45520</v>
      </c>
      <c r="E196" s="1" t="n">
        <v>46315</v>
      </c>
      <c r="F196" t="inlineStr">
        <is>
          <t>DALARNAS LÄN</t>
        </is>
      </c>
      <c r="G196" t="inlineStr">
        <is>
          <t>VANSBRO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35299-2024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45530</v>
      </c>
      <c r="E197" s="1" t="n">
        <v>46315</v>
      </c>
      <c r="F197" t="inlineStr">
        <is>
          <t>DALARNAS LÄN</t>
        </is>
      </c>
      <c r="G197" t="inlineStr">
        <is>
          <t>VANSBRO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46315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46315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13062-2023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45002</v>
      </c>
      <c r="E200" s="1" t="n">
        <v>46315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46315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44925</v>
      </c>
      <c r="E202" s="1" t="n">
        <v>46315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46315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45987</v>
      </c>
      <c r="E204" s="1" t="n">
        <v>46315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5386-2024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45331</v>
      </c>
      <c r="E205" s="1" t="n">
        <v>46315</v>
      </c>
      <c r="F205" t="inlineStr">
        <is>
          <t>DALARNAS LÄN</t>
        </is>
      </c>
      <c r="G205" t="inlineStr">
        <is>
          <t>VANSBRO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46315</v>
      </c>
      <c r="F206" t="inlineStr">
        <is>
          <t>DALARNAS LÄN</t>
        </is>
      </c>
      <c r="G206" t="inlineStr">
        <is>
          <t>VANSBRO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46315</v>
      </c>
      <c r="F207" t="inlineStr">
        <is>
          <t>DALARNAS LÄN</t>
        </is>
      </c>
      <c r="G207" t="inlineStr">
        <is>
          <t>VANSBRO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46315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46315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öst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46002</v>
      </c>
      <c r="E210" s="1" t="n">
        <v>46315</v>
      </c>
      <c r="F210" t="inlineStr">
        <is>
          <t>DALARNAS LÄN</t>
        </is>
      </c>
      <c r="G210" t="inlineStr">
        <is>
          <t>VANSBRO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46315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46315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46315</v>
      </c>
      <c r="F213" t="inlineStr">
        <is>
          <t>DALARNAS LÄN</t>
        </is>
      </c>
      <c r="G213" t="inlineStr">
        <is>
          <t>VANSBRO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46033</v>
      </c>
      <c r="E214" s="1" t="n">
        <v>46315</v>
      </c>
      <c r="F214" t="inlineStr">
        <is>
          <t>DALARNAS LÄN</t>
        </is>
      </c>
      <c r="G214" t="inlineStr">
        <is>
          <t>VANSBRO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46315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45331</v>
      </c>
      <c r="E216" s="1" t="n">
        <v>46315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46315</v>
      </c>
      <c r="F217" t="inlineStr">
        <is>
          <t>DALARNAS LÄN</t>
        </is>
      </c>
      <c r="G217" t="inlineStr">
        <is>
          <t>VANSBRO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46315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45.8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46315</v>
      </c>
      <c r="F219" t="inlineStr">
        <is>
          <t>DALARNAS LÄN</t>
        </is>
      </c>
      <c r="G219" t="inlineStr">
        <is>
          <t>VANSBRO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46042</v>
      </c>
      <c r="E220" s="1" t="n">
        <v>46315</v>
      </c>
      <c r="F220" t="inlineStr">
        <is>
          <t>DALARNAS LÄN</t>
        </is>
      </c>
      <c r="G220" t="inlineStr">
        <is>
          <t>VANSBRO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46315</v>
      </c>
      <c r="F221" t="inlineStr">
        <is>
          <t>DALARNAS LÄN</t>
        </is>
      </c>
      <c r="G221" t="inlineStr">
        <is>
          <t>VANSBRO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46044</v>
      </c>
      <c r="E222" s="1" t="n">
        <v>46315</v>
      </c>
      <c r="F222" t="inlineStr">
        <is>
          <t>DALARNAS LÄN</t>
        </is>
      </c>
      <c r="G222" t="inlineStr">
        <is>
          <t>VANSBRO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11485-2024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45372</v>
      </c>
      <c r="E223" s="1" t="n">
        <v>46315</v>
      </c>
      <c r="F223" t="inlineStr">
        <is>
          <t>DALARNAS LÄN</t>
        </is>
      </c>
      <c r="G223" t="inlineStr">
        <is>
          <t>VANSBRO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46315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46315</v>
      </c>
      <c r="F225" t="inlineStr">
        <is>
          <t>DALARNAS LÄN</t>
        </is>
      </c>
      <c r="G225" t="inlineStr">
        <is>
          <t>VANSBRO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46049</v>
      </c>
      <c r="E226" s="1" t="n">
        <v>46315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46315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46315</v>
      </c>
      <c r="F228" t="inlineStr">
        <is>
          <t>DALARNAS LÄN</t>
        </is>
      </c>
      <c r="G228" t="inlineStr">
        <is>
          <t>VANSBRO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46315</v>
      </c>
      <c r="F229" t="inlineStr">
        <is>
          <t>DALARNAS LÄN</t>
        </is>
      </c>
      <c r="G229" t="inlineStr">
        <is>
          <t>VANSBRO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46315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46181</v>
      </c>
      <c r="E231" s="1" t="n">
        <v>46315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46052</v>
      </c>
      <c r="E232" s="1" t="n">
        <v>46315</v>
      </c>
      <c r="F232" t="inlineStr">
        <is>
          <t>DALARNAS LÄN</t>
        </is>
      </c>
      <c r="G232" t="inlineStr">
        <is>
          <t>VANSBRO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46315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44648</v>
      </c>
      <c r="E234" s="1" t="n">
        <v>46315</v>
      </c>
      <c r="F234" t="inlineStr">
        <is>
          <t>DALARNAS LÄN</t>
        </is>
      </c>
      <c r="G234" t="inlineStr">
        <is>
          <t>VANSBRO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45665</v>
      </c>
      <c r="E235" s="1" t="n">
        <v>46315</v>
      </c>
      <c r="F235" t="inlineStr">
        <is>
          <t>DALARNAS LÄN</t>
        </is>
      </c>
      <c r="G235" t="inlineStr">
        <is>
          <t>VANSBRO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46315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46315</v>
      </c>
      <c r="F237" t="inlineStr">
        <is>
          <t>DALARNAS LÄN</t>
        </is>
      </c>
      <c r="G237" t="inlineStr">
        <is>
          <t>VANSBRO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46315</v>
      </c>
      <c r="F238" t="inlineStr">
        <is>
          <t>DALARNAS LÄN</t>
        </is>
      </c>
      <c r="G238" t="inlineStr">
        <is>
          <t>VANSBRO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46315</v>
      </c>
      <c r="F239" t="inlineStr">
        <is>
          <t>DALARNAS LÄN</t>
        </is>
      </c>
      <c r="G239" t="inlineStr">
        <is>
          <t>VANSBRO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46315</v>
      </c>
      <c r="F240" t="inlineStr">
        <is>
          <t>DALARNAS LÄN</t>
        </is>
      </c>
      <c r="G240" t="inlineStr">
        <is>
          <t>VANSBRO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46315</v>
      </c>
      <c r="F241" t="inlineStr">
        <is>
          <t>DALARNAS LÄN</t>
        </is>
      </c>
      <c r="G241" t="inlineStr">
        <is>
          <t>VANSBRO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46315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46315</v>
      </c>
      <c r="F243" t="inlineStr">
        <is>
          <t>DALARNAS LÄN</t>
        </is>
      </c>
      <c r="G243" t="inlineStr">
        <is>
          <t>VANSBRO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46315</v>
      </c>
      <c r="F244" t="inlineStr">
        <is>
          <t>DALARNAS LÄN</t>
        </is>
      </c>
      <c r="G244" t="inlineStr">
        <is>
          <t>VANSBRO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46315</v>
      </c>
      <c r="F245" t="inlineStr">
        <is>
          <t>DALARNAS LÄN</t>
        </is>
      </c>
      <c r="G245" t="inlineStr">
        <is>
          <t>VANSBRO</t>
        </is>
      </c>
      <c r="I245" t="n">
        <v>15.1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44728</v>
      </c>
      <c r="E246" s="1" t="n">
        <v>46315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44728</v>
      </c>
      <c r="E247" s="1" t="n">
        <v>46315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46315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45183</v>
      </c>
      <c r="E249" s="1" t="n">
        <v>46315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46315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45666</v>
      </c>
      <c r="E251" s="1" t="n">
        <v>46315</v>
      </c>
      <c r="F251" t="inlineStr">
        <is>
          <t>DALARNAS LÄN</t>
        </is>
      </c>
      <c r="G251" t="inlineStr">
        <is>
          <t>VANSBRO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46315</v>
      </c>
      <c r="F252" t="inlineStr">
        <is>
          <t>DALARNAS LÄN</t>
        </is>
      </c>
      <c r="G252" t="inlineStr">
        <is>
          <t>VANSBRO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44734</v>
      </c>
      <c r="E253" s="1" t="n">
        <v>46315</v>
      </c>
      <c r="F253" t="inlineStr">
        <is>
          <t>DALARNAS LÄN</t>
        </is>
      </c>
      <c r="G253" t="inlineStr">
        <is>
          <t>VANSBRO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45240</v>
      </c>
      <c r="E254" s="1" t="n">
        <v>46315</v>
      </c>
      <c r="F254" t="inlineStr">
        <is>
          <t>DALARNAS LÄN</t>
        </is>
      </c>
      <c r="G254" t="inlineStr">
        <is>
          <t>VANSBRO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64072-2025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46315</v>
      </c>
      <c r="F255" t="inlineStr">
        <is>
          <t>DALARNAS LÄN</t>
        </is>
      </c>
      <c r="G255" t="inlineStr">
        <is>
          <t>VANSBRO</t>
        </is>
      </c>
      <c r="I255" t="n">
        <v>19.1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46315</v>
      </c>
      <c r="F256" t="inlineStr">
        <is>
          <t>DALARNAS LÄN</t>
        </is>
      </c>
      <c r="G256" t="inlineStr">
        <is>
          <t>VANSBRO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46315</v>
      </c>
      <c r="F257" t="inlineStr">
        <is>
          <t>DALARNAS LÄN</t>
        </is>
      </c>
      <c r="G257" t="inlineStr">
        <is>
          <t>VANSBRO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46315</v>
      </c>
      <c r="F258" t="inlineStr">
        <is>
          <t>DALARNAS LÄN</t>
        </is>
      </c>
      <c r="G258" t="inlineStr">
        <is>
          <t>VANSBRO</t>
        </is>
      </c>
      <c r="H258" t="inlineStr">
        <is>
          <t>Övriga statliga verk och myndigheter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46315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46315</v>
      </c>
      <c r="F260" t="inlineStr">
        <is>
          <t>DALARNAS LÄN</t>
        </is>
      </c>
      <c r="G260" t="inlineStr">
        <is>
          <t>VANSBRO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46082</v>
      </c>
      <c r="E261" s="1" t="n">
        <v>46315</v>
      </c>
      <c r="F261" t="inlineStr">
        <is>
          <t>DALARNAS LÄN</t>
        </is>
      </c>
      <c r="G261" t="inlineStr">
        <is>
          <t>VANSBRO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11349-2026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46082</v>
      </c>
      <c r="E262" s="1" t="n">
        <v>46315</v>
      </c>
      <c r="F262" t="inlineStr">
        <is>
          <t>DALARNAS LÄN</t>
        </is>
      </c>
      <c r="G262" t="inlineStr">
        <is>
          <t>VANSBRO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46315</v>
      </c>
      <c r="F263" t="inlineStr">
        <is>
          <t>DALARNAS LÄN</t>
        </is>
      </c>
      <c r="G263" t="inlineStr">
        <is>
          <t>VANSBRO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46315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46315</v>
      </c>
      <c r="F265" t="inlineStr">
        <is>
          <t>DALARNAS LÄN</t>
        </is>
      </c>
      <c r="G265" t="inlineStr">
        <is>
          <t>VANSBRO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46315</v>
      </c>
      <c r="F266" t="inlineStr">
        <is>
          <t>DALARNAS LÄN</t>
        </is>
      </c>
      <c r="G266" t="inlineStr">
        <is>
          <t>VANSBRO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46315</v>
      </c>
      <c r="F267" t="inlineStr">
        <is>
          <t>DALARNAS LÄN</t>
        </is>
      </c>
      <c r="G267" t="inlineStr">
        <is>
          <t>VANSBRO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46315</v>
      </c>
      <c r="F268" t="inlineStr">
        <is>
          <t>DALARNAS LÄN</t>
        </is>
      </c>
      <c r="G268" t="inlineStr">
        <is>
          <t>VANSBRO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46315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46315</v>
      </c>
      <c r="F270" t="inlineStr">
        <is>
          <t>DALARNAS LÄN</t>
        </is>
      </c>
      <c r="G270" t="inlineStr">
        <is>
          <t>VANSBRO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46315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46315</v>
      </c>
      <c r="F272" t="inlineStr">
        <is>
          <t>DALARNAS LÄN</t>
        </is>
      </c>
      <c r="G272" t="inlineStr">
        <is>
          <t>VANSBRO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46315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46315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46315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46315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46315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46315</v>
      </c>
      <c r="F278" t="inlineStr">
        <is>
          <t>DALARNAS LÄN</t>
        </is>
      </c>
      <c r="G278" t="inlineStr">
        <is>
          <t>VANSBRO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45744</v>
      </c>
      <c r="E279" s="1" t="n">
        <v>46315</v>
      </c>
      <c r="F279" t="inlineStr">
        <is>
          <t>DALARNAS LÄN</t>
        </is>
      </c>
      <c r="G279" t="inlineStr">
        <is>
          <t>VANSBRO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46315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46315</v>
      </c>
      <c r="F281" t="inlineStr">
        <is>
          <t>DALARNAS LÄN</t>
        </is>
      </c>
      <c r="G281" t="inlineStr">
        <is>
          <t>VANSBRO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46315</v>
      </c>
      <c r="F282" t="inlineStr">
        <is>
          <t>DALARNAS LÄN</t>
        </is>
      </c>
      <c r="G282" t="inlineStr">
        <is>
          <t>VANSBRO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46315</v>
      </c>
      <c r="F283" t="inlineStr">
        <is>
          <t>DALARNAS LÄN</t>
        </is>
      </c>
      <c r="G283" t="inlineStr">
        <is>
          <t>VANSBRO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46315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46315</v>
      </c>
      <c r="F285" t="inlineStr">
        <is>
          <t>DALARNAS LÄN</t>
        </is>
      </c>
      <c r="G285" t="inlineStr">
        <is>
          <t>VANSBRO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46315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46315</v>
      </c>
      <c r="F287" t="inlineStr">
        <is>
          <t>DALARNAS LÄN</t>
        </is>
      </c>
      <c r="G287" t="inlineStr">
        <is>
          <t>VANSBRO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45322</v>
      </c>
      <c r="E288" s="1" t="n">
        <v>46315</v>
      </c>
      <c r="F288" t="inlineStr">
        <is>
          <t>DALARNAS LÄN</t>
        </is>
      </c>
      <c r="G288" t="inlineStr">
        <is>
          <t>VANSBRO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45254</v>
      </c>
      <c r="E289" s="1" t="n">
        <v>46315</v>
      </c>
      <c r="F289" t="inlineStr">
        <is>
          <t>DALARNAS LÄN</t>
        </is>
      </c>
      <c r="G289" t="inlineStr">
        <is>
          <t>VANSBRO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46315</v>
      </c>
      <c r="F290" t="inlineStr">
        <is>
          <t>DALARNAS LÄN</t>
        </is>
      </c>
      <c r="G290" t="inlineStr">
        <is>
          <t>VANSBRO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46315</v>
      </c>
      <c r="F291" t="inlineStr">
        <is>
          <t>DALARNAS LÄN</t>
        </is>
      </c>
      <c r="G291" t="inlineStr">
        <is>
          <t>VANSBRO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46315</v>
      </c>
      <c r="F292" t="inlineStr">
        <is>
          <t>DALARNAS LÄN</t>
        </is>
      </c>
      <c r="G292" t="inlineStr">
        <is>
          <t>VANSBRO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55078-2022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44886</v>
      </c>
      <c r="E293" s="1" t="n">
        <v>46315</v>
      </c>
      <c r="F293" t="inlineStr">
        <is>
          <t>DALARNAS LÄN</t>
        </is>
      </c>
      <c r="G293" t="inlineStr">
        <is>
          <t>VANSBRO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46315</v>
      </c>
      <c r="F294" t="inlineStr">
        <is>
          <t>DALARNAS LÄN</t>
        </is>
      </c>
      <c r="G294" t="inlineStr">
        <is>
          <t>VANSBRO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46315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46315</v>
      </c>
      <c r="F296" t="inlineStr">
        <is>
          <t>DALARNAS LÄN</t>
        </is>
      </c>
      <c r="G296" t="inlineStr">
        <is>
          <t>VANSBRO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46113</v>
      </c>
      <c r="E297" s="1" t="n">
        <v>46315</v>
      </c>
      <c r="F297" t="inlineStr">
        <is>
          <t>DALARNAS LÄN</t>
        </is>
      </c>
      <c r="G297" t="inlineStr">
        <is>
          <t>VANSBRO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46315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46120</v>
      </c>
      <c r="E299" s="1" t="n">
        <v>46315</v>
      </c>
      <c r="F299" t="inlineStr">
        <is>
          <t>DALARNAS LÄN</t>
        </is>
      </c>
      <c r="G299" t="inlineStr">
        <is>
          <t>VANSBRO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46315</v>
      </c>
      <c r="F300" t="inlineStr">
        <is>
          <t>DALARNAS LÄN</t>
        </is>
      </c>
      <c r="G300" t="inlineStr">
        <is>
          <t>VANSBRO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46315</v>
      </c>
      <c r="F301" t="inlineStr">
        <is>
          <t>DALARNAS LÄN</t>
        </is>
      </c>
      <c r="G301" t="inlineStr">
        <is>
          <t>VANSBRO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46315</v>
      </c>
      <c r="F302" t="inlineStr">
        <is>
          <t>DALARNAS LÄN</t>
        </is>
      </c>
      <c r="G302" t="inlineStr">
        <is>
          <t>VANSBRO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46315</v>
      </c>
      <c r="F303" t="inlineStr">
        <is>
          <t>DALARNAS LÄN</t>
        </is>
      </c>
      <c r="G303" t="inlineStr">
        <is>
          <t>VANSBRO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46315</v>
      </c>
      <c r="F304" t="inlineStr">
        <is>
          <t>DALARNAS LÄN</t>
        </is>
      </c>
      <c r="G304" t="inlineStr">
        <is>
          <t>VANSBRO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46124</v>
      </c>
      <c r="E305" s="1" t="n">
        <v>46315</v>
      </c>
      <c r="F305" t="inlineStr">
        <is>
          <t>DALARNAS LÄN</t>
        </is>
      </c>
      <c r="G305" t="inlineStr">
        <is>
          <t>VANSBRO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46125</v>
      </c>
      <c r="E306" s="1" t="n">
        <v>46315</v>
      </c>
      <c r="F306" t="inlineStr">
        <is>
          <t>DALARNAS LÄN</t>
        </is>
      </c>
      <c r="G306" t="inlineStr">
        <is>
          <t>VANSBRO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46315</v>
      </c>
      <c r="F307" t="inlineStr">
        <is>
          <t>DALARNAS LÄN</t>
        </is>
      </c>
      <c r="G307" t="inlineStr">
        <is>
          <t>VANSBRO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46315</v>
      </c>
      <c r="F308" t="inlineStr">
        <is>
          <t>DALARNAS LÄN</t>
        </is>
      </c>
      <c r="G308" t="inlineStr">
        <is>
          <t>VANSBRO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46315</v>
      </c>
      <c r="F309" t="inlineStr">
        <is>
          <t>DALARNAS LÄN</t>
        </is>
      </c>
      <c r="G309" t="inlineStr">
        <is>
          <t>VANSBRO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46315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18580-2026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46315</v>
      </c>
      <c r="F311" t="inlineStr">
        <is>
          <t>DALARNAS LÄN</t>
        </is>
      </c>
      <c r="G311" t="inlineStr">
        <is>
          <t>VANSBRO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46315</v>
      </c>
      <c r="F312" t="inlineStr">
        <is>
          <t>DALARNAS LÄN</t>
        </is>
      </c>
      <c r="G312" t="inlineStr">
        <is>
          <t>VANSBRO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46315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46128</v>
      </c>
      <c r="E314" s="1" t="n">
        <v>46315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46315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46128</v>
      </c>
      <c r="E316" s="1" t="n">
        <v>46315</v>
      </c>
      <c r="F316" t="inlineStr">
        <is>
          <t>DALARNAS LÄN</t>
        </is>
      </c>
      <c r="G316" t="inlineStr">
        <is>
          <t>VANSBRO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46203</v>
      </c>
      <c r="E317" s="1" t="n">
        <v>46315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29174-2026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46202</v>
      </c>
      <c r="E318" s="1" t="n">
        <v>46315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45315</v>
      </c>
      <c r="E319" s="1" t="n">
        <v>46315</v>
      </c>
      <c r="F319" t="inlineStr">
        <is>
          <t>DALARNAS LÄN</t>
        </is>
      </c>
      <c r="G319" t="inlineStr">
        <is>
          <t>VANSBRO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46315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46315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46203</v>
      </c>
      <c r="E322" s="1" t="n">
        <v>46315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11408-2025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45726</v>
      </c>
      <c r="E323" s="1" t="n">
        <v>46315</v>
      </c>
      <c r="F323" t="inlineStr">
        <is>
          <t>DALARNAS LÄN</t>
        </is>
      </c>
      <c r="G323" t="inlineStr">
        <is>
          <t>VANSBRO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46204</v>
      </c>
      <c r="E324" s="1" t="n">
        <v>46315</v>
      </c>
      <c r="F324" t="inlineStr">
        <is>
          <t>DALARNAS LÄN</t>
        </is>
      </c>
      <c r="G324" t="inlineStr">
        <is>
          <t>VANSBRO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46315</v>
      </c>
      <c r="F325" t="inlineStr">
        <is>
          <t>DALARNAS LÄN</t>
        </is>
      </c>
      <c r="G325" t="inlineStr">
        <is>
          <t>VANSBRO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46315</v>
      </c>
      <c r="F326" t="inlineStr">
        <is>
          <t>DALARNAS LÄN</t>
        </is>
      </c>
      <c r="G326" t="inlineStr">
        <is>
          <t>VANSBRO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46315</v>
      </c>
      <c r="F327" t="inlineStr">
        <is>
          <t>DALARNAS LÄN</t>
        </is>
      </c>
      <c r="G327" t="inlineStr">
        <is>
          <t>VANSBRO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45776</v>
      </c>
      <c r="E328" s="1" t="n">
        <v>46315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45806</v>
      </c>
      <c r="E329" s="1" t="n">
        <v>46315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45531</v>
      </c>
      <c r="E330" s="1" t="n">
        <v>46315</v>
      </c>
      <c r="F330" t="inlineStr">
        <is>
          <t>DALARNAS LÄN</t>
        </is>
      </c>
      <c r="G330" t="inlineStr">
        <is>
          <t>VANSBRO</t>
        </is>
      </c>
      <c r="H330" t="inlineStr">
        <is>
          <t>Övriga statliga verk och myndigheter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61515-2022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44916</v>
      </c>
      <c r="E331" s="1" t="n">
        <v>46315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46315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46315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46315</v>
      </c>
      <c r="F334" t="inlineStr">
        <is>
          <t>DALARNAS LÄN</t>
        </is>
      </c>
      <c r="G334" t="inlineStr">
        <is>
          <t>VANSBRO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46315</v>
      </c>
      <c r="F335" t="inlineStr">
        <is>
          <t>DALARNAS LÄN</t>
        </is>
      </c>
      <c r="G335" t="inlineStr">
        <is>
          <t>VANSBRO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46315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41371-2022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46315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46315</v>
      </c>
      <c r="F338" t="inlineStr">
        <is>
          <t>DALARNAS LÄN</t>
        </is>
      </c>
      <c r="G338" t="inlineStr">
        <is>
          <t>VANSBRO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17807-2022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44673</v>
      </c>
      <c r="E339" s="1" t="n">
        <v>46315</v>
      </c>
      <c r="F339" t="inlineStr">
        <is>
          <t>DALARNAS LÄN</t>
        </is>
      </c>
      <c r="G339" t="inlineStr">
        <is>
          <t>VANSBRO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46315</v>
      </c>
      <c r="F340" t="inlineStr">
        <is>
          <t>DALARNAS LÄN</t>
        </is>
      </c>
      <c r="G340" t="inlineStr">
        <is>
          <t>VANSBRO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46315</v>
      </c>
      <c r="F341" t="inlineStr">
        <is>
          <t>DALARNAS LÄN</t>
        </is>
      </c>
      <c r="G341" t="inlineStr">
        <is>
          <t>VANSBRO</t>
        </is>
      </c>
      <c r="H341" t="inlineStr">
        <is>
          <t>Övriga statliga verk och myndigheter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45448</v>
      </c>
      <c r="E342" s="1" t="n">
        <v>46315</v>
      </c>
      <c r="F342" t="inlineStr">
        <is>
          <t>DALARNAS LÄN</t>
        </is>
      </c>
      <c r="G342" t="inlineStr">
        <is>
          <t>VANSBRO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46210</v>
      </c>
      <c r="E343" s="1" t="n">
        <v>46315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46315</v>
      </c>
      <c r="F344" t="inlineStr">
        <is>
          <t>DALARNAS LÄN</t>
        </is>
      </c>
      <c r="G344" t="inlineStr">
        <is>
          <t>VANSBRO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46315</v>
      </c>
      <c r="F345" t="inlineStr">
        <is>
          <t>DALARNAS LÄN</t>
        </is>
      </c>
      <c r="G345" t="inlineStr">
        <is>
          <t>VANSBRO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46315</v>
      </c>
      <c r="F346" t="inlineStr">
        <is>
          <t>DALARNAS LÄN</t>
        </is>
      </c>
      <c r="G346" t="inlineStr">
        <is>
          <t>VANSBRO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46315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46212</v>
      </c>
      <c r="E348" s="1" t="n">
        <v>46315</v>
      </c>
      <c r="F348" t="inlineStr">
        <is>
          <t>DALARNAS LÄN</t>
        </is>
      </c>
      <c r="G348" t="inlineStr">
        <is>
          <t>VANSBRO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46315</v>
      </c>
      <c r="F349" t="inlineStr">
        <is>
          <t>DALARNAS LÄN</t>
        </is>
      </c>
      <c r="G349" t="inlineStr">
        <is>
          <t>VANSBRO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46315</v>
      </c>
      <c r="F350" t="inlineStr">
        <is>
          <t>DALARNAS LÄN</t>
        </is>
      </c>
      <c r="G350" t="inlineStr">
        <is>
          <t>VANSBRO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46315</v>
      </c>
      <c r="F351" t="inlineStr">
        <is>
          <t>DALARNAS LÄN</t>
        </is>
      </c>
      <c r="G351" t="inlineStr">
        <is>
          <t>VANSBRO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48005-2022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46315</v>
      </c>
      <c r="F352" t="inlineStr">
        <is>
          <t>DALARNAS LÄN</t>
        </is>
      </c>
      <c r="G352" t="inlineStr">
        <is>
          <t>VANSBRO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44796</v>
      </c>
      <c r="E353" s="1" t="n">
        <v>46315</v>
      </c>
      <c r="F353" t="inlineStr">
        <is>
          <t>DALARNAS LÄN</t>
        </is>
      </c>
      <c r="G353" t="inlineStr">
        <is>
          <t>VANSBRO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45214</v>
      </c>
      <c r="E354" s="1" t="n">
        <v>46315</v>
      </c>
      <c r="F354" t="inlineStr">
        <is>
          <t>DALARNAS LÄN</t>
        </is>
      </c>
      <c r="G354" t="inlineStr">
        <is>
          <t>VANSBRO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46315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45471</v>
      </c>
      <c r="E356" s="1" t="n">
        <v>46315</v>
      </c>
      <c r="F356" t="inlineStr">
        <is>
          <t>DALARNAS LÄN</t>
        </is>
      </c>
      <c r="G356" t="inlineStr">
        <is>
          <t>VANSBRO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45576</v>
      </c>
      <c r="E357" s="1" t="n">
        <v>46315</v>
      </c>
      <c r="F357" t="inlineStr">
        <is>
          <t>DALARNAS LÄN</t>
        </is>
      </c>
      <c r="G357" t="inlineStr">
        <is>
          <t>VANSBRO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46231</v>
      </c>
      <c r="E358" s="1" t="n">
        <v>46315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20.2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46315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45689</v>
      </c>
      <c r="E360" s="1" t="n">
        <v>46315</v>
      </c>
      <c r="F360" t="inlineStr">
        <is>
          <t>DALARNAS LÄN</t>
        </is>
      </c>
      <c r="G360" t="inlineStr">
        <is>
          <t>VANSBRO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46315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37433-2026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46275</v>
      </c>
      <c r="E362" s="1" t="n">
        <v>46315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45063</v>
      </c>
      <c r="E363" s="1" t="n">
        <v>46315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46275</v>
      </c>
      <c r="E364" s="1" t="n">
        <v>46315</v>
      </c>
      <c r="F364" t="inlineStr">
        <is>
          <t>DALARNAS LÄN</t>
        </is>
      </c>
      <c r="G364" t="inlineStr">
        <is>
          <t>VANSBRO</t>
        </is>
      </c>
      <c r="H364" t="inlineStr">
        <is>
          <t>Kyrkan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46276</v>
      </c>
      <c r="E365" s="1" t="n">
        <v>46315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46276</v>
      </c>
      <c r="E366" s="1" t="n">
        <v>46315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46315</v>
      </c>
      <c r="F367" t="inlineStr">
        <is>
          <t>DALARNAS LÄN</t>
        </is>
      </c>
      <c r="G367" t="inlineStr">
        <is>
          <t>VANSBRO</t>
        </is>
      </c>
      <c r="H367" t="inlineStr">
        <is>
          <t>Övriga statliga verk och myndigheter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44931</v>
      </c>
      <c r="E368" s="1" t="n">
        <v>46315</v>
      </c>
      <c r="F368" t="inlineStr">
        <is>
          <t>DALARNAS LÄN</t>
        </is>
      </c>
      <c r="G368" t="inlineStr">
        <is>
          <t>VANSBRO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46275</v>
      </c>
      <c r="E369" s="1" t="n">
        <v>46315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37467-2026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46275</v>
      </c>
      <c r="E370" s="1" t="n">
        <v>46315</v>
      </c>
      <c r="F370" t="inlineStr">
        <is>
          <t>DALARNAS LÄN</t>
        </is>
      </c>
      <c r="G370" t="inlineStr">
        <is>
          <t>VANSBRO</t>
        </is>
      </c>
      <c r="H370" t="inlineStr">
        <is>
          <t>Kommuner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46280</v>
      </c>
      <c r="E371" s="1" t="n">
        <v>46315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53498-2024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46315</v>
      </c>
      <c r="F372" t="inlineStr">
        <is>
          <t>DALARNAS LÄN</t>
        </is>
      </c>
      <c r="G372" t="inlineStr">
        <is>
          <t>VANSBRO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46280</v>
      </c>
      <c r="E373" s="1" t="n">
        <v>46315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48111-2024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45589</v>
      </c>
      <c r="E374" s="1" t="n">
        <v>46315</v>
      </c>
      <c r="F374" t="inlineStr">
        <is>
          <t>DALARNAS LÄN</t>
        </is>
      </c>
      <c r="G374" t="inlineStr">
        <is>
          <t>VANSBRO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46315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46315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38253-2026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46281</v>
      </c>
      <c r="E377" s="1" t="n">
        <v>46315</v>
      </c>
      <c r="F377" t="inlineStr">
        <is>
          <t>DALARNAS LÄN</t>
        </is>
      </c>
      <c r="G377" t="inlineStr">
        <is>
          <t>VANSBRO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46315</v>
      </c>
      <c r="F378" t="inlineStr">
        <is>
          <t>DALARNAS LÄN</t>
        </is>
      </c>
      <c r="G378" t="inlineStr">
        <is>
          <t>VANSBRO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44980</v>
      </c>
      <c r="E379" s="1" t="n">
        <v>46315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46281</v>
      </c>
      <c r="E380" s="1" t="n">
        <v>46315</v>
      </c>
      <c r="F380" t="inlineStr">
        <is>
          <t>DALARNAS LÄN</t>
        </is>
      </c>
      <c r="G380" t="inlineStr">
        <is>
          <t>VANSBRO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46281</v>
      </c>
      <c r="E381" s="1" t="n">
        <v>46315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46238</v>
      </c>
      <c r="E382" s="1" t="n">
        <v>46315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46315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46315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46315</v>
      </c>
      <c r="F385" t="inlineStr">
        <is>
          <t>DALARNAS LÄN</t>
        </is>
      </c>
      <c r="G385" t="inlineStr">
        <is>
          <t>VANSBRO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45169</v>
      </c>
      <c r="E386" s="1" t="n">
        <v>46315</v>
      </c>
      <c r="F386" t="inlineStr">
        <is>
          <t>DALARNAS LÄN</t>
        </is>
      </c>
      <c r="G386" t="inlineStr">
        <is>
          <t>VANSBRO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44791</v>
      </c>
      <c r="E387" s="1" t="n">
        <v>46315</v>
      </c>
      <c r="F387" t="inlineStr">
        <is>
          <t>DALARNAS LÄN</t>
        </is>
      </c>
      <c r="G387" t="inlineStr">
        <is>
          <t>VANSBRO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46315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46315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45296</v>
      </c>
      <c r="E390" s="1" t="n">
        <v>46315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8447-2022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44612</v>
      </c>
      <c r="E391" s="1" t="n">
        <v>46315</v>
      </c>
      <c r="F391" t="inlineStr">
        <is>
          <t>DALARNAS LÄN</t>
        </is>
      </c>
      <c r="G391" t="inlineStr">
        <is>
          <t>VANSBRO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46288</v>
      </c>
      <c r="E392" s="1" t="n">
        <v>46315</v>
      </c>
      <c r="F392" t="inlineStr">
        <is>
          <t>DALARNAS LÄN</t>
        </is>
      </c>
      <c r="G392" t="inlineStr">
        <is>
          <t>VANSBRO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35365-2022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44798</v>
      </c>
      <c r="E393" s="1" t="n">
        <v>46315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45722</v>
      </c>
      <c r="E394" s="1" t="n">
        <v>46315</v>
      </c>
      <c r="F394" t="inlineStr">
        <is>
          <t>DALARNAS LÄN</t>
        </is>
      </c>
      <c r="G394" t="inlineStr">
        <is>
          <t>VANSBRO</t>
        </is>
      </c>
      <c r="I394" t="n">
        <v>15.5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33520-2024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45519</v>
      </c>
      <c r="E395" s="1" t="n">
        <v>46315</v>
      </c>
      <c r="F395" t="inlineStr">
        <is>
          <t>DALARNAS LÄN</t>
        </is>
      </c>
      <c r="G395" t="inlineStr">
        <is>
          <t>VANSBRO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46315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62398-2021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44503</v>
      </c>
      <c r="E397" s="1" t="n">
        <v>46315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22.1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45453</v>
      </c>
      <c r="E398" s="1" t="n">
        <v>46315</v>
      </c>
      <c r="F398" t="inlineStr">
        <is>
          <t>DALARNAS LÄN</t>
        </is>
      </c>
      <c r="G398" t="inlineStr">
        <is>
          <t>VANSBRO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46315</v>
      </c>
      <c r="F399" t="inlineStr">
        <is>
          <t>DALARNAS LÄN</t>
        </is>
      </c>
      <c r="G399" t="inlineStr">
        <is>
          <t>VANSBRO</t>
        </is>
      </c>
      <c r="H399" t="inlineStr">
        <is>
          <t>Övriga statliga verk och myndigheter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46290</v>
      </c>
      <c r="E400" s="1" t="n">
        <v>46315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40424-2026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46294</v>
      </c>
      <c r="E401" s="1" t="n">
        <v>46315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45754</v>
      </c>
      <c r="E402" s="1" t="n">
        <v>46315</v>
      </c>
      <c r="F402" t="inlineStr">
        <is>
          <t>DALARNAS LÄN</t>
        </is>
      </c>
      <c r="G402" t="inlineStr">
        <is>
          <t>VANSBRO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46293</v>
      </c>
      <c r="E403" s="1" t="n">
        <v>46315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45712</v>
      </c>
      <c r="E404" s="1" t="n">
        <v>46315</v>
      </c>
      <c r="F404" t="inlineStr">
        <is>
          <t>DALARNAS LÄN</t>
        </is>
      </c>
      <c r="G404" t="inlineStr">
        <is>
          <t>VANSBRO</t>
        </is>
      </c>
      <c r="I404" t="n">
        <v>13.8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46315</v>
      </c>
      <c r="F405" t="inlineStr">
        <is>
          <t>DALARNAS LÄN</t>
        </is>
      </c>
      <c r="G405" t="inlineStr">
        <is>
          <t>VANSBRO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46294</v>
      </c>
      <c r="E406" s="1" t="n">
        <v>46315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46315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46294</v>
      </c>
      <c r="E408" s="1" t="n">
        <v>46315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45309</v>
      </c>
      <c r="E409" s="1" t="n">
        <v>46315</v>
      </c>
      <c r="F409" t="inlineStr">
        <is>
          <t>DALARNAS LÄN</t>
        </is>
      </c>
      <c r="G409" t="inlineStr">
        <is>
          <t>VANSBRO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46294</v>
      </c>
      <c r="E410" s="1" t="n">
        <v>46315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46315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46315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46253</v>
      </c>
      <c r="E413" s="1" t="n">
        <v>46315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46315</v>
      </c>
      <c r="F414" t="inlineStr">
        <is>
          <t>DALARNAS LÄN</t>
        </is>
      </c>
      <c r="G414" t="inlineStr">
        <is>
          <t>VANSBRO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46315</v>
      </c>
      <c r="F415" t="inlineStr">
        <is>
          <t>DALARNAS LÄN</t>
        </is>
      </c>
      <c r="G415" t="inlineStr">
        <is>
          <t>VANSBRO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46315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17.3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46315</v>
      </c>
      <c r="F417" t="inlineStr">
        <is>
          <t>DALARNAS LÄN</t>
        </is>
      </c>
      <c r="G417" t="inlineStr">
        <is>
          <t>VANSBRO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46315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33953-2026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46252</v>
      </c>
      <c r="E419" s="1" t="n">
        <v>46315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46315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18.9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46315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46315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46252</v>
      </c>
      <c r="E423" s="1" t="n">
        <v>46315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46300</v>
      </c>
      <c r="E424" s="1" t="n">
        <v>46315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46300</v>
      </c>
      <c r="E425" s="1" t="n">
        <v>46315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46297</v>
      </c>
      <c r="E426" s="1" t="n">
        <v>46315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45483</v>
      </c>
      <c r="E427" s="1" t="n">
        <v>46315</v>
      </c>
      <c r="F427" t="inlineStr">
        <is>
          <t>DALARNAS LÄN</t>
        </is>
      </c>
      <c r="G427" t="inlineStr">
        <is>
          <t>VANSBRO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46300</v>
      </c>
      <c r="E428" s="1" t="n">
        <v>46315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19.7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46315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46315</v>
      </c>
      <c r="F430" t="inlineStr">
        <is>
          <t>DALARNAS LÄN</t>
        </is>
      </c>
      <c r="G430" t="inlineStr">
        <is>
          <t>VANSBRO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45674</v>
      </c>
      <c r="E431" s="1" t="n">
        <v>46315</v>
      </c>
      <c r="F431" t="inlineStr">
        <is>
          <t>DALARNAS LÄN</t>
        </is>
      </c>
      <c r="G431" t="inlineStr">
        <is>
          <t>VANSBRO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46315</v>
      </c>
      <c r="F432" t="inlineStr">
        <is>
          <t>DALARNAS LÄN</t>
        </is>
      </c>
      <c r="G432" t="inlineStr">
        <is>
          <t>VANSBRO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46297</v>
      </c>
      <c r="E433" s="1" t="n">
        <v>46315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46315</v>
      </c>
      <c r="F434" t="inlineStr">
        <is>
          <t>DALARNAS LÄN</t>
        </is>
      </c>
      <c r="G434" t="inlineStr">
        <is>
          <t>VANSBRO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44719</v>
      </c>
      <c r="E435" s="1" t="n">
        <v>46315</v>
      </c>
      <c r="F435" t="inlineStr">
        <is>
          <t>DALARNAS LÄN</t>
        </is>
      </c>
      <c r="G435" t="inlineStr">
        <is>
          <t>VANSBRO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45492</v>
      </c>
      <c r="E436" s="1" t="n">
        <v>46315</v>
      </c>
      <c r="F436" t="inlineStr">
        <is>
          <t>DALARNAS LÄN</t>
        </is>
      </c>
      <c r="G436" t="inlineStr">
        <is>
          <t>VANSBRO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46315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46300</v>
      </c>
      <c r="E438" s="1" t="n">
        <v>46315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46315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46302</v>
      </c>
      <c r="E440" s="1" t="n">
        <v>46315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29411-2024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45483</v>
      </c>
      <c r="E441" s="1" t="n">
        <v>46315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46259</v>
      </c>
      <c r="E442" s="1" t="n">
        <v>46315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35050-2026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46259</v>
      </c>
      <c r="E443" s="1" t="n">
        <v>46315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45793</v>
      </c>
      <c r="E444" s="1" t="n">
        <v>46315</v>
      </c>
      <c r="F444" t="inlineStr">
        <is>
          <t>DALARNAS LÄN</t>
        </is>
      </c>
      <c r="G444" t="inlineStr">
        <is>
          <t>VANSBRO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46302</v>
      </c>
      <c r="E445" s="1" t="n">
        <v>46315</v>
      </c>
      <c r="F445" t="inlineStr">
        <is>
          <t>DALARNAS LÄN</t>
        </is>
      </c>
      <c r="G445" t="inlineStr">
        <is>
          <t>VANSBRO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45688</v>
      </c>
      <c r="E446" s="1" t="n">
        <v>46315</v>
      </c>
      <c r="F446" t="inlineStr">
        <is>
          <t>DALARNAS LÄN</t>
        </is>
      </c>
      <c r="G446" t="inlineStr">
        <is>
          <t>VANSBRO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46304</v>
      </c>
      <c r="E447" s="1" t="n">
        <v>46315</v>
      </c>
      <c r="F447" t="inlineStr">
        <is>
          <t>DALARNAS LÄN</t>
        </is>
      </c>
      <c r="G447" t="inlineStr">
        <is>
          <t>VANSBRO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46304</v>
      </c>
      <c r="E448" s="1" t="n">
        <v>46315</v>
      </c>
      <c r="F448" t="inlineStr">
        <is>
          <t>DALARNAS LÄN</t>
        </is>
      </c>
      <c r="G448" t="inlineStr">
        <is>
          <t>VANSBRO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35516-2024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46315</v>
      </c>
      <c r="F449" t="inlineStr">
        <is>
          <t>DALARNAS LÄN</t>
        </is>
      </c>
      <c r="G449" t="inlineStr">
        <is>
          <t>VANSBRO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24522-2025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45798</v>
      </c>
      <c r="E450" s="1" t="n">
        <v>46315</v>
      </c>
      <c r="F450" t="inlineStr">
        <is>
          <t>DALARNAS LÄN</t>
        </is>
      </c>
      <c r="G450" t="inlineStr">
        <is>
          <t>VANSBRO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41858-2026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46303</v>
      </c>
      <c r="E451" s="1" t="n">
        <v>46315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41921-2026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46315</v>
      </c>
      <c r="F452" t="inlineStr">
        <is>
          <t>DALARNAS LÄN</t>
        </is>
      </c>
      <c r="G452" t="inlineStr">
        <is>
          <t>VANSBRO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46315</v>
      </c>
      <c r="F453" t="inlineStr">
        <is>
          <t>DALARNAS LÄN</t>
        </is>
      </c>
      <c r="G453" t="inlineStr">
        <is>
          <t>VANSBRO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45807</v>
      </c>
      <c r="E454" s="1" t="n">
        <v>46315</v>
      </c>
      <c r="F454" t="inlineStr">
        <is>
          <t>DALARNAS LÄN</t>
        </is>
      </c>
      <c r="G454" t="inlineStr">
        <is>
          <t>VANSBRO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45807</v>
      </c>
      <c r="E455" s="1" t="n">
        <v>46315</v>
      </c>
      <c r="F455" t="inlineStr">
        <is>
          <t>DALARNAS LÄN</t>
        </is>
      </c>
      <c r="G455" t="inlineStr">
        <is>
          <t>VANSBRO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46308</v>
      </c>
      <c r="E456" s="1" t="n">
        <v>46315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46315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46315</v>
      </c>
      <c r="F458" t="inlineStr">
        <is>
          <t>DALARNAS LÄN</t>
        </is>
      </c>
      <c r="G458" t="inlineStr">
        <is>
          <t>VANSBRO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45811</v>
      </c>
      <c r="E459" s="1" t="n">
        <v>46315</v>
      </c>
      <c r="F459" t="inlineStr">
        <is>
          <t>DALARNAS LÄN</t>
        </is>
      </c>
      <c r="G459" t="inlineStr">
        <is>
          <t>VANSBRO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46307</v>
      </c>
      <c r="E460" s="1" t="n">
        <v>46315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45890</v>
      </c>
      <c r="E461" s="1" t="n">
        <v>46315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46315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46315</v>
      </c>
      <c r="F463" t="inlineStr">
        <is>
          <t>DALARNAS LÄN</t>
        </is>
      </c>
      <c r="G463" t="inlineStr">
        <is>
          <t>VANSBRO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27932-2026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46315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35579-2026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46262</v>
      </c>
      <c r="E465" s="1" t="n">
        <v>46315</v>
      </c>
      <c r="F465" t="inlineStr">
        <is>
          <t>DALARNAS LÄN</t>
        </is>
      </c>
      <c r="G465" t="inlineStr">
        <is>
          <t>VANSBRO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46308</v>
      </c>
      <c r="E466" s="1" t="n">
        <v>46315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45819</v>
      </c>
      <c r="E467" s="1" t="n">
        <v>46315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45824</v>
      </c>
      <c r="E468" s="1" t="n">
        <v>46315</v>
      </c>
      <c r="F468" t="inlineStr">
        <is>
          <t>DALARNAS LÄN</t>
        </is>
      </c>
      <c r="G468" t="inlineStr">
        <is>
          <t>VANSBRO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46309</v>
      </c>
      <c r="E469" s="1" t="n">
        <v>46315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46309</v>
      </c>
      <c r="E470" s="1" t="n">
        <v>46315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46266</v>
      </c>
      <c r="E471" s="1" t="n">
        <v>46315</v>
      </c>
      <c r="F471" t="inlineStr">
        <is>
          <t>DALARNAS LÄN</t>
        </is>
      </c>
      <c r="G471" t="inlineStr">
        <is>
          <t>VANSBRO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31196-2025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46315</v>
      </c>
      <c r="F472" t="inlineStr">
        <is>
          <t>DALARNAS LÄN</t>
        </is>
      </c>
      <c r="G472" t="inlineStr">
        <is>
          <t>VANSBRO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31499-2025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45833</v>
      </c>
      <c r="E473" s="1" t="n">
        <v>46315</v>
      </c>
      <c r="F473" t="inlineStr">
        <is>
          <t>DALARNAS LÄN</t>
        </is>
      </c>
      <c r="G473" t="inlineStr">
        <is>
          <t>VANSBRO</t>
        </is>
      </c>
      <c r="I473" t="n">
        <v>27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31489-2025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45833</v>
      </c>
      <c r="E474" s="1" t="n">
        <v>46315</v>
      </c>
      <c r="F474" t="inlineStr">
        <is>
          <t>DALARNAS LÄN</t>
        </is>
      </c>
      <c r="G474" t="inlineStr">
        <is>
          <t>VANSBRO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46315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45835</v>
      </c>
      <c r="E476" s="1" t="n">
        <v>46315</v>
      </c>
      <c r="F476" t="inlineStr">
        <is>
          <t>DALARNAS LÄN</t>
        </is>
      </c>
      <c r="G476" t="inlineStr">
        <is>
          <t>VANSBRO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46315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45840</v>
      </c>
      <c r="E478" s="1" t="n">
        <v>46315</v>
      </c>
      <c r="F478" t="inlineStr">
        <is>
          <t>DALARNAS LÄN</t>
        </is>
      </c>
      <c r="G478" t="inlineStr">
        <is>
          <t>VANSBRO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46272</v>
      </c>
      <c r="E479" s="1" t="n">
        <v>46315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45840</v>
      </c>
      <c r="E480" s="1" t="n">
        <v>46315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öst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46315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öst AB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46315</v>
      </c>
      <c r="F482" t="inlineStr">
        <is>
          <t>DALARNAS LÄN</t>
        </is>
      </c>
      <c r="G482" t="inlineStr">
        <is>
          <t>VANSBRO</t>
        </is>
      </c>
      <c r="H482" t="inlineStr">
        <is>
          <t>Kyrkan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45846</v>
      </c>
      <c r="E483" s="1" t="n">
        <v>46315</v>
      </c>
      <c r="F483" t="inlineStr">
        <is>
          <t>DALARNAS LÄN</t>
        </is>
      </c>
      <c r="G483" t="inlineStr">
        <is>
          <t>VANSBRO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46268</v>
      </c>
      <c r="E484" s="1" t="n">
        <v>46315</v>
      </c>
      <c r="F484" t="inlineStr">
        <is>
          <t>DALARNAS LÄN</t>
        </is>
      </c>
      <c r="G484" t="inlineStr">
        <is>
          <t>VANSBRO</t>
        </is>
      </c>
      <c r="H484" t="inlineStr">
        <is>
          <t>Kyrkan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45854</v>
      </c>
      <c r="E485" s="1" t="n">
        <v>46315</v>
      </c>
      <c r="F485" t="inlineStr">
        <is>
          <t>DALARNAS LÄN</t>
        </is>
      </c>
      <c r="G485" t="inlineStr">
        <is>
          <t>VANSBRO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46268</v>
      </c>
      <c r="E486" s="1" t="n">
        <v>46315</v>
      </c>
      <c r="F486" t="inlineStr">
        <is>
          <t>DALARNAS LÄN</t>
        </is>
      </c>
      <c r="G486" t="inlineStr">
        <is>
          <t>VANSBRO</t>
        </is>
      </c>
      <c r="H486" t="inlineStr">
        <is>
          <t>Kyrkan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45860</v>
      </c>
      <c r="E487" s="1" t="n">
        <v>46315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öst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46315</v>
      </c>
      <c r="F488" t="inlineStr">
        <is>
          <t>DALARNAS LÄN</t>
        </is>
      </c>
      <c r="G488" t="inlineStr">
        <is>
          <t>VANSBRO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45754</v>
      </c>
      <c r="E489" s="1" t="n">
        <v>46315</v>
      </c>
      <c r="F489" t="inlineStr">
        <is>
          <t>DALARNAS LÄN</t>
        </is>
      </c>
      <c r="G489" t="inlineStr">
        <is>
          <t>VANSBRO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46315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46315</v>
      </c>
      <c r="F491" t="inlineStr">
        <is>
          <t>DALARNAS LÄN</t>
        </is>
      </c>
      <c r="G491" t="inlineStr">
        <is>
          <t>VANSBRO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45876</v>
      </c>
      <c r="E492" s="1" t="n">
        <v>46315</v>
      </c>
      <c r="F492" t="inlineStr">
        <is>
          <t>DALARNAS LÄN</t>
        </is>
      </c>
      <c r="G492" t="inlineStr">
        <is>
          <t>VANSBRO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1286-2024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45401</v>
      </c>
      <c r="E493" s="1" t="n">
        <v>46315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220.8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4782-2022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44802</v>
      </c>
      <c r="E494" s="1" t="n">
        <v>46315</v>
      </c>
      <c r="F494" t="inlineStr">
        <is>
          <t>DALARNAS LÄN</t>
        </is>
      </c>
      <c r="G494" t="inlineStr">
        <is>
          <t>VANSBRO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3514-2023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45208</v>
      </c>
      <c r="E495" s="1" t="n">
        <v>46315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409-2025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45699</v>
      </c>
      <c r="E496" s="1" t="n">
        <v>46315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277.1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91-2026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46035</v>
      </c>
      <c r="E497" s="1" t="n">
        <v>46315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153.5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747-2026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46089</v>
      </c>
      <c r="E498" s="1" t="n">
        <v>46315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82.40000000000001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2026-10-20T01:51:53Z</dcterms:created>
  <dcterms:modified xmlns:dcterms="http://purl.org/dc/terms/" xmlns:xsi="http://www.w3.org/2001/XMLSchema-instance" xsi:type="dcterms:W3CDTF">2026-10-20T01:51:54Z</dcterms:modified>
</cp:coreProperties>
</file>